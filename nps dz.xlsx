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28800" windowHeight="12210" activeTab="1"/>
  </bookViews>
  <sheets>
    <sheet name="Данные" sheetId="1" r:id="rId1"/>
    <sheet name="результат" sheetId="2" r:id="rId2"/>
  </sheets>
  <definedNames>
    <definedName name="_xlnm._FilterDatabase" localSheetId="0" hidden="1">Данные!$BP$1:$BQ$1001</definedName>
  </definedNames>
  <calcPr calcId="162913"/>
</workbook>
</file>

<file path=xl/calcChain.xml><?xml version="1.0" encoding="utf-8"?>
<calcChain xmlns="http://schemas.openxmlformats.org/spreadsheetml/2006/main">
  <c r="CN2" i="1" l="1"/>
  <c r="CO2" i="1"/>
  <c r="CP2" i="1"/>
  <c r="CQ2" i="1"/>
  <c r="CR2" i="1"/>
  <c r="CS2" i="1"/>
  <c r="CT2" i="1"/>
  <c r="CU2" i="1"/>
  <c r="CV2" i="1"/>
  <c r="CW2" i="1"/>
  <c r="CX2" i="1"/>
  <c r="CY2" i="1"/>
  <c r="CN3" i="1"/>
  <c r="CO3" i="1"/>
  <c r="CP3" i="1"/>
  <c r="CQ3" i="1"/>
  <c r="CR3" i="1"/>
  <c r="CS3" i="1"/>
  <c r="CT3" i="1"/>
  <c r="CU3" i="1"/>
  <c r="CV3" i="1"/>
  <c r="CW3" i="1"/>
  <c r="CX3" i="1"/>
  <c r="CN4" i="1"/>
  <c r="CO4" i="1"/>
  <c r="CP4" i="1"/>
  <c r="CQ4" i="1"/>
  <c r="CR4" i="1"/>
  <c r="CS4" i="1"/>
  <c r="CT4" i="1"/>
  <c r="CU4" i="1"/>
  <c r="CV4" i="1"/>
  <c r="CW4" i="1"/>
  <c r="CX4" i="1"/>
  <c r="CN5" i="1"/>
  <c r="CO5" i="1"/>
  <c r="CP5" i="1"/>
  <c r="CQ5" i="1"/>
  <c r="CR5" i="1"/>
  <c r="CS5" i="1"/>
  <c r="CT5" i="1"/>
  <c r="CU5" i="1"/>
  <c r="CV5" i="1"/>
  <c r="CW5" i="1"/>
  <c r="CX5" i="1"/>
  <c r="CN6" i="1"/>
  <c r="CO6" i="1"/>
  <c r="CP6" i="1"/>
  <c r="CQ6" i="1"/>
  <c r="CR6" i="1"/>
  <c r="CS6" i="1"/>
  <c r="CT6" i="1"/>
  <c r="CU6" i="1"/>
  <c r="CV6" i="1"/>
  <c r="CW6" i="1"/>
  <c r="CX6" i="1"/>
  <c r="CN7" i="1"/>
  <c r="CO7" i="1"/>
  <c r="CP7" i="1"/>
  <c r="CQ7" i="1"/>
  <c r="CR7" i="1"/>
  <c r="CS7" i="1"/>
  <c r="CT7" i="1"/>
  <c r="CU7" i="1"/>
  <c r="CV7" i="1"/>
  <c r="CW7" i="1"/>
  <c r="CX7" i="1"/>
  <c r="CN8" i="1"/>
  <c r="CO8" i="1"/>
  <c r="CP8" i="1"/>
  <c r="CQ8" i="1"/>
  <c r="CR8" i="1"/>
  <c r="CS8" i="1"/>
  <c r="CT8" i="1"/>
  <c r="CU8" i="1"/>
  <c r="CV8" i="1"/>
  <c r="CW8" i="1"/>
  <c r="CX8" i="1"/>
  <c r="CN9" i="1"/>
  <c r="CO9" i="1"/>
  <c r="CP9" i="1"/>
  <c r="CQ9" i="1"/>
  <c r="CR9" i="1"/>
  <c r="CS9" i="1"/>
  <c r="CT9" i="1"/>
  <c r="CU9" i="1"/>
  <c r="CV9" i="1"/>
  <c r="CW9" i="1"/>
  <c r="CX9" i="1"/>
  <c r="CN10" i="1"/>
  <c r="CO10" i="1"/>
  <c r="CP10" i="1"/>
  <c r="CQ10" i="1"/>
  <c r="CR10" i="1"/>
  <c r="CS10" i="1"/>
  <c r="CT10" i="1"/>
  <c r="CU10" i="1"/>
  <c r="CV10" i="1"/>
  <c r="CW10" i="1"/>
  <c r="CX10" i="1"/>
  <c r="CN11" i="1"/>
  <c r="CO11" i="1"/>
  <c r="CP11" i="1"/>
  <c r="CQ11" i="1"/>
  <c r="CR11" i="1"/>
  <c r="CS11" i="1"/>
  <c r="CT11" i="1"/>
  <c r="CU11" i="1"/>
  <c r="CV11" i="1"/>
  <c r="CW11" i="1"/>
  <c r="CX11" i="1"/>
  <c r="CN12" i="1"/>
  <c r="CO12" i="1"/>
  <c r="CP12" i="1"/>
  <c r="CQ12" i="1"/>
  <c r="CR12" i="1"/>
  <c r="CS12" i="1"/>
  <c r="CT12" i="1"/>
  <c r="CU12" i="1"/>
  <c r="CV12" i="1"/>
  <c r="CW12" i="1"/>
  <c r="CX12" i="1"/>
  <c r="CN13" i="1"/>
  <c r="CO13" i="1"/>
  <c r="CP13" i="1"/>
  <c r="CQ13" i="1"/>
  <c r="CR13" i="1"/>
  <c r="CS13" i="1"/>
  <c r="CT13" i="1"/>
  <c r="CU13" i="1"/>
  <c r="CV13" i="1"/>
  <c r="CW13" i="1"/>
  <c r="CX13" i="1"/>
  <c r="CM3" i="1"/>
  <c r="CM4" i="1"/>
  <c r="CM5" i="1"/>
  <c r="CM6" i="1"/>
  <c r="CM7" i="1"/>
  <c r="CM8" i="1"/>
  <c r="CM9" i="1"/>
  <c r="CM10" i="1"/>
  <c r="CM11" i="1"/>
  <c r="CM12" i="1"/>
  <c r="CM13" i="1"/>
  <c r="CM2" i="1"/>
  <c r="CC3" i="1"/>
  <c r="CC4" i="1"/>
  <c r="CC5" i="1"/>
  <c r="CC6" i="1"/>
  <c r="CC7" i="1"/>
  <c r="CC8" i="1"/>
  <c r="CC9" i="1"/>
  <c r="CC10" i="1"/>
  <c r="CC11" i="1"/>
  <c r="CC12" i="1"/>
  <c r="CC13" i="1"/>
  <c r="CC14" i="1"/>
  <c r="CC15" i="1"/>
  <c r="CC16" i="1"/>
  <c r="CC17" i="1"/>
  <c r="CC18" i="1"/>
  <c r="CC19" i="1"/>
  <c r="CC20" i="1"/>
  <c r="CC21" i="1"/>
  <c r="CC22" i="1"/>
  <c r="CC23" i="1"/>
  <c r="CC24" i="1"/>
  <c r="CC25" i="1"/>
  <c r="CC26" i="1"/>
  <c r="CC27" i="1"/>
  <c r="CC28" i="1"/>
  <c r="CC29" i="1"/>
  <c r="CC30" i="1"/>
  <c r="CC31" i="1"/>
  <c r="CC32" i="1"/>
  <c r="CC33" i="1"/>
  <c r="CC34" i="1"/>
  <c r="CC35" i="1"/>
  <c r="CC36" i="1"/>
  <c r="CC37" i="1"/>
  <c r="CC38" i="1"/>
  <c r="CC39" i="1"/>
  <c r="CC40" i="1"/>
  <c r="CC41" i="1"/>
  <c r="CC42" i="1"/>
  <c r="CC43" i="1"/>
  <c r="CC44" i="1"/>
  <c r="CC45" i="1"/>
  <c r="CC46" i="1"/>
  <c r="CC47" i="1"/>
  <c r="CC48" i="1"/>
  <c r="CC49" i="1"/>
  <c r="CC50" i="1"/>
  <c r="CC51" i="1"/>
  <c r="CC52" i="1"/>
  <c r="CC53" i="1"/>
  <c r="CC54" i="1"/>
  <c r="CC55" i="1"/>
  <c r="CC56" i="1"/>
  <c r="CC57" i="1"/>
  <c r="CC58" i="1"/>
  <c r="CC59" i="1"/>
  <c r="CC60" i="1"/>
  <c r="CC61" i="1"/>
  <c r="CC62" i="1"/>
  <c r="CC63" i="1"/>
  <c r="CC64" i="1"/>
  <c r="CC65" i="1"/>
  <c r="CC66" i="1"/>
  <c r="CC67" i="1"/>
  <c r="CC68" i="1"/>
  <c r="CC69" i="1"/>
  <c r="CC70" i="1"/>
  <c r="CC71" i="1"/>
  <c r="CC72" i="1"/>
  <c r="CC73" i="1"/>
  <c r="CC74" i="1"/>
  <c r="CC75" i="1"/>
  <c r="CC76" i="1"/>
  <c r="CC77" i="1"/>
  <c r="CC78" i="1"/>
  <c r="CC79" i="1"/>
  <c r="CC80" i="1"/>
  <c r="CC81" i="1"/>
  <c r="CC82" i="1"/>
  <c r="CC83" i="1"/>
  <c r="CC84" i="1"/>
  <c r="CC85" i="1"/>
  <c r="CC86" i="1"/>
  <c r="CC87" i="1"/>
  <c r="CC88" i="1"/>
  <c r="CC89" i="1"/>
  <c r="CC90" i="1"/>
  <c r="CC91" i="1"/>
  <c r="CC92" i="1"/>
  <c r="CC93" i="1"/>
  <c r="CC94" i="1"/>
  <c r="CC95" i="1"/>
  <c r="CC96" i="1"/>
  <c r="CC97" i="1"/>
  <c r="CC98" i="1"/>
  <c r="CC99" i="1"/>
  <c r="CC100" i="1"/>
  <c r="CC101" i="1"/>
  <c r="CC102" i="1"/>
  <c r="CC103" i="1"/>
  <c r="CC104" i="1"/>
  <c r="CC105" i="1"/>
  <c r="CC106" i="1"/>
  <c r="CC107" i="1"/>
  <c r="CC108" i="1"/>
  <c r="CC109" i="1"/>
  <c r="CC110" i="1"/>
  <c r="CC111" i="1"/>
  <c r="CC112" i="1"/>
  <c r="CC113" i="1"/>
  <c r="CC114" i="1"/>
  <c r="CC115" i="1"/>
  <c r="CC116" i="1"/>
  <c r="CC117" i="1"/>
  <c r="CC118" i="1"/>
  <c r="CC119" i="1"/>
  <c r="CC120" i="1"/>
  <c r="CC121" i="1"/>
  <c r="CC122" i="1"/>
  <c r="CC123" i="1"/>
  <c r="CC124" i="1"/>
  <c r="CC125" i="1"/>
  <c r="CC126" i="1"/>
  <c r="CC127" i="1"/>
  <c r="CC128" i="1"/>
  <c r="CC129" i="1"/>
  <c r="CC130" i="1"/>
  <c r="CC131" i="1"/>
  <c r="CC132" i="1"/>
  <c r="CC133" i="1"/>
  <c r="CC134" i="1"/>
  <c r="CC135" i="1"/>
  <c r="CC136" i="1"/>
  <c r="CC137" i="1"/>
  <c r="CC138" i="1"/>
  <c r="CC139" i="1"/>
  <c r="CC140" i="1"/>
  <c r="CC141" i="1"/>
  <c r="CC142" i="1"/>
  <c r="CC143" i="1"/>
  <c r="CC144" i="1"/>
  <c r="CC145" i="1"/>
  <c r="CC146" i="1"/>
  <c r="CC147" i="1"/>
  <c r="CC148" i="1"/>
  <c r="CC149" i="1"/>
  <c r="CC150" i="1"/>
  <c r="CC151" i="1"/>
  <c r="CC152" i="1"/>
  <c r="CC153" i="1"/>
  <c r="CC154" i="1"/>
  <c r="CC155" i="1"/>
  <c r="CC156" i="1"/>
  <c r="CC157" i="1"/>
  <c r="CC158" i="1"/>
  <c r="CC159" i="1"/>
  <c r="CC160" i="1"/>
  <c r="CC161" i="1"/>
  <c r="CC162" i="1"/>
  <c r="CC163" i="1"/>
  <c r="CC164" i="1"/>
  <c r="CC165" i="1"/>
  <c r="CC166" i="1"/>
  <c r="CC167" i="1"/>
  <c r="CC168" i="1"/>
  <c r="CC169" i="1"/>
  <c r="CC170" i="1"/>
  <c r="CC171" i="1"/>
  <c r="CC172" i="1"/>
  <c r="CC173" i="1"/>
  <c r="CC174" i="1"/>
  <c r="CC175" i="1"/>
  <c r="CC176" i="1"/>
  <c r="CC177" i="1"/>
  <c r="CC178" i="1"/>
  <c r="CC179" i="1"/>
  <c r="CC180" i="1"/>
  <c r="CC181" i="1"/>
  <c r="CC182" i="1"/>
  <c r="CC183" i="1"/>
  <c r="CC184" i="1"/>
  <c r="CC185" i="1"/>
  <c r="CC186" i="1"/>
  <c r="CC187" i="1"/>
  <c r="CC188" i="1"/>
  <c r="CC189" i="1"/>
  <c r="CC190" i="1"/>
  <c r="CC191" i="1"/>
  <c r="CC192" i="1"/>
  <c r="CC193" i="1"/>
  <c r="CC194" i="1"/>
  <c r="CC195" i="1"/>
  <c r="CC196" i="1"/>
  <c r="CC197" i="1"/>
  <c r="CC198" i="1"/>
  <c r="CC199" i="1"/>
  <c r="CC200" i="1"/>
  <c r="CC201" i="1"/>
  <c r="CC202" i="1"/>
  <c r="CC203" i="1"/>
  <c r="CC204" i="1"/>
  <c r="CC205" i="1"/>
  <c r="CC206" i="1"/>
  <c r="CC207" i="1"/>
  <c r="CC208" i="1"/>
  <c r="CC209" i="1"/>
  <c r="CC210" i="1"/>
  <c r="CC211" i="1"/>
  <c r="CC212" i="1"/>
  <c r="CC213" i="1"/>
  <c r="CC214" i="1"/>
  <c r="CC215" i="1"/>
  <c r="CC216" i="1"/>
  <c r="CC217" i="1"/>
  <c r="CC218" i="1"/>
  <c r="CC219" i="1"/>
  <c r="CC220" i="1"/>
  <c r="CC221" i="1"/>
  <c r="CC222" i="1"/>
  <c r="CC223" i="1"/>
  <c r="CC224" i="1"/>
  <c r="CC225" i="1"/>
  <c r="CC226" i="1"/>
  <c r="CC227" i="1"/>
  <c r="CC228" i="1"/>
  <c r="CC229" i="1"/>
  <c r="CC230" i="1"/>
  <c r="CC231" i="1"/>
  <c r="CC232" i="1"/>
  <c r="CC233" i="1"/>
  <c r="CC234" i="1"/>
  <c r="CC235" i="1"/>
  <c r="CC236" i="1"/>
  <c r="CC237" i="1"/>
  <c r="CC238" i="1"/>
  <c r="CC239" i="1"/>
  <c r="CC240" i="1"/>
  <c r="CC241" i="1"/>
  <c r="CC242" i="1"/>
  <c r="CC243" i="1"/>
  <c r="CC244" i="1"/>
  <c r="CC245" i="1"/>
  <c r="CC246" i="1"/>
  <c r="CC247" i="1"/>
  <c r="CC248" i="1"/>
  <c r="CC249" i="1"/>
  <c r="CC250" i="1"/>
  <c r="CC251" i="1"/>
  <c r="CC252" i="1"/>
  <c r="CC253" i="1"/>
  <c r="CC254" i="1"/>
  <c r="CC255" i="1"/>
  <c r="CC256" i="1"/>
  <c r="CC257" i="1"/>
  <c r="CC258" i="1"/>
  <c r="CC259" i="1"/>
  <c r="CC260" i="1"/>
  <c r="CC261" i="1"/>
  <c r="CC262" i="1"/>
  <c r="CC263" i="1"/>
  <c r="CC264" i="1"/>
  <c r="CC265" i="1"/>
  <c r="CC266" i="1"/>
  <c r="CC267" i="1"/>
  <c r="CC268" i="1"/>
  <c r="CC269" i="1"/>
  <c r="CC270" i="1"/>
  <c r="CC271" i="1"/>
  <c r="CC272" i="1"/>
  <c r="CC273" i="1"/>
  <c r="CC274" i="1"/>
  <c r="CC275" i="1"/>
  <c r="CC276" i="1"/>
  <c r="CC277" i="1"/>
  <c r="CC278" i="1"/>
  <c r="CC279" i="1"/>
  <c r="CC280" i="1"/>
  <c r="CC281" i="1"/>
  <c r="CC282" i="1"/>
  <c r="CC283" i="1"/>
  <c r="CC284" i="1"/>
  <c r="CC285" i="1"/>
  <c r="CC286" i="1"/>
  <c r="CC287" i="1"/>
  <c r="CC288" i="1"/>
  <c r="CC289" i="1"/>
  <c r="CC290" i="1"/>
  <c r="CC291" i="1"/>
  <c r="CC292" i="1"/>
  <c r="CC293" i="1"/>
  <c r="CC294" i="1"/>
  <c r="CC295" i="1"/>
  <c r="CC296" i="1"/>
  <c r="CC297" i="1"/>
  <c r="CC298" i="1"/>
  <c r="CC299" i="1"/>
  <c r="CC300" i="1"/>
  <c r="CC301" i="1"/>
  <c r="CC302" i="1"/>
  <c r="CC303" i="1"/>
  <c r="CC304" i="1"/>
  <c r="CC305" i="1"/>
  <c r="CC306" i="1"/>
  <c r="CC307" i="1"/>
  <c r="CC308" i="1"/>
  <c r="CC309" i="1"/>
  <c r="CC310" i="1"/>
  <c r="CC311" i="1"/>
  <c r="CC312" i="1"/>
  <c r="CC313" i="1"/>
  <c r="CC314" i="1"/>
  <c r="CC315" i="1"/>
  <c r="CC316" i="1"/>
  <c r="CC317" i="1"/>
  <c r="CC318" i="1"/>
  <c r="CC319" i="1"/>
  <c r="CC320" i="1"/>
  <c r="CC321" i="1"/>
  <c r="CC322" i="1"/>
  <c r="CC323" i="1"/>
  <c r="CC324" i="1"/>
  <c r="CC325" i="1"/>
  <c r="CC326" i="1"/>
  <c r="CC327" i="1"/>
  <c r="CC328" i="1"/>
  <c r="CC329" i="1"/>
  <c r="CC330" i="1"/>
  <c r="CC331" i="1"/>
  <c r="CC332" i="1"/>
  <c r="CC333" i="1"/>
  <c r="CC334" i="1"/>
  <c r="CC335" i="1"/>
  <c r="CC336" i="1"/>
  <c r="CC337" i="1"/>
  <c r="CC338" i="1"/>
  <c r="CC339" i="1"/>
  <c r="CC340" i="1"/>
  <c r="CC341" i="1"/>
  <c r="CC342" i="1"/>
  <c r="CC343" i="1"/>
  <c r="CC344" i="1"/>
  <c r="CC345" i="1"/>
  <c r="CC346" i="1"/>
  <c r="CC347" i="1"/>
  <c r="CC348" i="1"/>
  <c r="CC349" i="1"/>
  <c r="CC350" i="1"/>
  <c r="CC351" i="1"/>
  <c r="CC352" i="1"/>
  <c r="CC353" i="1"/>
  <c r="CC354" i="1"/>
  <c r="CC355" i="1"/>
  <c r="CC356" i="1"/>
  <c r="CC357" i="1"/>
  <c r="CC358" i="1"/>
  <c r="CC359" i="1"/>
  <c r="CC360" i="1"/>
  <c r="CC361" i="1"/>
  <c r="CC362" i="1"/>
  <c r="CC363" i="1"/>
  <c r="CC364" i="1"/>
  <c r="CC365" i="1"/>
  <c r="CC366" i="1"/>
  <c r="CC367" i="1"/>
  <c r="CC368" i="1"/>
  <c r="CC369" i="1"/>
  <c r="CC370" i="1"/>
  <c r="CC371" i="1"/>
  <c r="CC372" i="1"/>
  <c r="CC373" i="1"/>
  <c r="CC374" i="1"/>
  <c r="CC375" i="1"/>
  <c r="CC376" i="1"/>
  <c r="CC377" i="1"/>
  <c r="CC378" i="1"/>
  <c r="CC379" i="1"/>
  <c r="CC380" i="1"/>
  <c r="CC381" i="1"/>
  <c r="CC382" i="1"/>
  <c r="CC383" i="1"/>
  <c r="CC384" i="1"/>
  <c r="CC385" i="1"/>
  <c r="CC386" i="1"/>
  <c r="CC387" i="1"/>
  <c r="CC388" i="1"/>
  <c r="CC389" i="1"/>
  <c r="CC390" i="1"/>
  <c r="CC391" i="1"/>
  <c r="CC392" i="1"/>
  <c r="CC393" i="1"/>
  <c r="CC394" i="1"/>
  <c r="CC395" i="1"/>
  <c r="CC396" i="1"/>
  <c r="CC397" i="1"/>
  <c r="CC398" i="1"/>
  <c r="CC399" i="1"/>
  <c r="CC400" i="1"/>
  <c r="CC401" i="1"/>
  <c r="CC402" i="1"/>
  <c r="CC403" i="1"/>
  <c r="CC404" i="1"/>
  <c r="CC405" i="1"/>
  <c r="CC406" i="1"/>
  <c r="CC407" i="1"/>
  <c r="CC408" i="1"/>
  <c r="CC409" i="1"/>
  <c r="CC410" i="1"/>
  <c r="CC411" i="1"/>
  <c r="CC412" i="1"/>
  <c r="CC413" i="1"/>
  <c r="CC414" i="1"/>
  <c r="CC415" i="1"/>
  <c r="CC416" i="1"/>
  <c r="CC417" i="1"/>
  <c r="CC418" i="1"/>
  <c r="CC419" i="1"/>
  <c r="CC420" i="1"/>
  <c r="CC421" i="1"/>
  <c r="CC422" i="1"/>
  <c r="CC423" i="1"/>
  <c r="CC424" i="1"/>
  <c r="CC425" i="1"/>
  <c r="CC426" i="1"/>
  <c r="CC427" i="1"/>
  <c r="CC428" i="1"/>
  <c r="CC429" i="1"/>
  <c r="CC430" i="1"/>
  <c r="CC431" i="1"/>
  <c r="CC432" i="1"/>
  <c r="CC433" i="1"/>
  <c r="CC434" i="1"/>
  <c r="CC435" i="1"/>
  <c r="CC436" i="1"/>
  <c r="CC437" i="1"/>
  <c r="CC438" i="1"/>
  <c r="CC439" i="1"/>
  <c r="CC440" i="1"/>
  <c r="CC441" i="1"/>
  <c r="CC442" i="1"/>
  <c r="CC443" i="1"/>
  <c r="CC444" i="1"/>
  <c r="CC445" i="1"/>
  <c r="CC446" i="1"/>
  <c r="CC447" i="1"/>
  <c r="CC448" i="1"/>
  <c r="CC449" i="1"/>
  <c r="CC450" i="1"/>
  <c r="CC451" i="1"/>
  <c r="CC452" i="1"/>
  <c r="CC453" i="1"/>
  <c r="CC454" i="1"/>
  <c r="CC455" i="1"/>
  <c r="CC456" i="1"/>
  <c r="CC457" i="1"/>
  <c r="CC458" i="1"/>
  <c r="CC459" i="1"/>
  <c r="CC460" i="1"/>
  <c r="CC461" i="1"/>
  <c r="CC462" i="1"/>
  <c r="CC463" i="1"/>
  <c r="CC464" i="1"/>
  <c r="CC465" i="1"/>
  <c r="CC466" i="1"/>
  <c r="CC467" i="1"/>
  <c r="CC468" i="1"/>
  <c r="CC469" i="1"/>
  <c r="CC470" i="1"/>
  <c r="CC471" i="1"/>
  <c r="CC472" i="1"/>
  <c r="CC473" i="1"/>
  <c r="CC474" i="1"/>
  <c r="CC475" i="1"/>
  <c r="CC476" i="1"/>
  <c r="CC477" i="1"/>
  <c r="CC478" i="1"/>
  <c r="CC479" i="1"/>
  <c r="CC480" i="1"/>
  <c r="CC481" i="1"/>
  <c r="CC482" i="1"/>
  <c r="CC483" i="1"/>
  <c r="CC484" i="1"/>
  <c r="CC485" i="1"/>
  <c r="CC486" i="1"/>
  <c r="CC487" i="1"/>
  <c r="CC488" i="1"/>
  <c r="CC489" i="1"/>
  <c r="CC490" i="1"/>
  <c r="CC491" i="1"/>
  <c r="CC492" i="1"/>
  <c r="CC493" i="1"/>
  <c r="CC494" i="1"/>
  <c r="CC495" i="1"/>
  <c r="CC496" i="1"/>
  <c r="CC497" i="1"/>
  <c r="CC498" i="1"/>
  <c r="CC499" i="1"/>
  <c r="CC500" i="1"/>
  <c r="CC501" i="1"/>
  <c r="CC502" i="1"/>
  <c r="CC503" i="1"/>
  <c r="CC504" i="1"/>
  <c r="CC505" i="1"/>
  <c r="CC506" i="1"/>
  <c r="CC507" i="1"/>
  <c r="CC508" i="1"/>
  <c r="CC509" i="1"/>
  <c r="CC510" i="1"/>
  <c r="CC511" i="1"/>
  <c r="CC512" i="1"/>
  <c r="CC513" i="1"/>
  <c r="CC514" i="1"/>
  <c r="CC515" i="1"/>
  <c r="CC516" i="1"/>
  <c r="CC517" i="1"/>
  <c r="CC518" i="1"/>
  <c r="CC519" i="1"/>
  <c r="CC520" i="1"/>
  <c r="CC521" i="1"/>
  <c r="CC522" i="1"/>
  <c r="CC523" i="1"/>
  <c r="CC524" i="1"/>
  <c r="CC525" i="1"/>
  <c r="CC526" i="1"/>
  <c r="CC527" i="1"/>
  <c r="CC528" i="1"/>
  <c r="CC529" i="1"/>
  <c r="CC530" i="1"/>
  <c r="CC531" i="1"/>
  <c r="CC532" i="1"/>
  <c r="CC533" i="1"/>
  <c r="CC534" i="1"/>
  <c r="CC535" i="1"/>
  <c r="CC536" i="1"/>
  <c r="CC537" i="1"/>
  <c r="CC538" i="1"/>
  <c r="CC539" i="1"/>
  <c r="CC540" i="1"/>
  <c r="CC541" i="1"/>
  <c r="CC542" i="1"/>
  <c r="CC543" i="1"/>
  <c r="CC544" i="1"/>
  <c r="CC545" i="1"/>
  <c r="CC546" i="1"/>
  <c r="CC547" i="1"/>
  <c r="CC548" i="1"/>
  <c r="CC549" i="1"/>
  <c r="CC550" i="1"/>
  <c r="CC551" i="1"/>
  <c r="CC552" i="1"/>
  <c r="CC553" i="1"/>
  <c r="CC554" i="1"/>
  <c r="CC555" i="1"/>
  <c r="CC556" i="1"/>
  <c r="CC557" i="1"/>
  <c r="CC558" i="1"/>
  <c r="CC559" i="1"/>
  <c r="CC560" i="1"/>
  <c r="CC561" i="1"/>
  <c r="CC562" i="1"/>
  <c r="CC563" i="1"/>
  <c r="CC564" i="1"/>
  <c r="CC565" i="1"/>
  <c r="CC566" i="1"/>
  <c r="CC567" i="1"/>
  <c r="CC568" i="1"/>
  <c r="CC569" i="1"/>
  <c r="CC570" i="1"/>
  <c r="CC571" i="1"/>
  <c r="CC572" i="1"/>
  <c r="CC573" i="1"/>
  <c r="CC574" i="1"/>
  <c r="CC575" i="1"/>
  <c r="CC576" i="1"/>
  <c r="CC577" i="1"/>
  <c r="CC578" i="1"/>
  <c r="CC579" i="1"/>
  <c r="CC580" i="1"/>
  <c r="CC581" i="1"/>
  <c r="CC582" i="1"/>
  <c r="CC583" i="1"/>
  <c r="CC584" i="1"/>
  <c r="CC585" i="1"/>
  <c r="CC586" i="1"/>
  <c r="CC587" i="1"/>
  <c r="CC588" i="1"/>
  <c r="CC589" i="1"/>
  <c r="CC590" i="1"/>
  <c r="CC591" i="1"/>
  <c r="CC592" i="1"/>
  <c r="CC593" i="1"/>
  <c r="CC594" i="1"/>
  <c r="CC595" i="1"/>
  <c r="CC596" i="1"/>
  <c r="CC597" i="1"/>
  <c r="CC598" i="1"/>
  <c r="CC599" i="1"/>
  <c r="CC600" i="1"/>
  <c r="CC601" i="1"/>
  <c r="CC602" i="1"/>
  <c r="CC603" i="1"/>
  <c r="CC604" i="1"/>
  <c r="CC605" i="1"/>
  <c r="CC606" i="1"/>
  <c r="CC607" i="1"/>
  <c r="CC608" i="1"/>
  <c r="CC609" i="1"/>
  <c r="CC610" i="1"/>
  <c r="CC611" i="1"/>
  <c r="CC612" i="1"/>
  <c r="CC613" i="1"/>
  <c r="CC614" i="1"/>
  <c r="CC615" i="1"/>
  <c r="CC616" i="1"/>
  <c r="CC617" i="1"/>
  <c r="CC618" i="1"/>
  <c r="CC619" i="1"/>
  <c r="CC620" i="1"/>
  <c r="CC621" i="1"/>
  <c r="CC622" i="1"/>
  <c r="CC623" i="1"/>
  <c r="CC624" i="1"/>
  <c r="CC625" i="1"/>
  <c r="CC626" i="1"/>
  <c r="CC627" i="1"/>
  <c r="CC628" i="1"/>
  <c r="CC629" i="1"/>
  <c r="CC630" i="1"/>
  <c r="CC631" i="1"/>
  <c r="CC632" i="1"/>
  <c r="CC633" i="1"/>
  <c r="CC634" i="1"/>
  <c r="CC635" i="1"/>
  <c r="CC636" i="1"/>
  <c r="CC637" i="1"/>
  <c r="CC638" i="1"/>
  <c r="CC639" i="1"/>
  <c r="CC640" i="1"/>
  <c r="CC641" i="1"/>
  <c r="CC642" i="1"/>
  <c r="CC643" i="1"/>
  <c r="CC644" i="1"/>
  <c r="CC645" i="1"/>
  <c r="CC646" i="1"/>
  <c r="CC647" i="1"/>
  <c r="CC648" i="1"/>
  <c r="CC649" i="1"/>
  <c r="CC650" i="1"/>
  <c r="CC651" i="1"/>
  <c r="CC652" i="1"/>
  <c r="CC653" i="1"/>
  <c r="CC654" i="1"/>
  <c r="CC655" i="1"/>
  <c r="CC656" i="1"/>
  <c r="CC657" i="1"/>
  <c r="CC658" i="1"/>
  <c r="CC659" i="1"/>
  <c r="CC660" i="1"/>
  <c r="CC661" i="1"/>
  <c r="CC662" i="1"/>
  <c r="CC663" i="1"/>
  <c r="CC664" i="1"/>
  <c r="CC665" i="1"/>
  <c r="CC666" i="1"/>
  <c r="CC667" i="1"/>
  <c r="CC668" i="1"/>
  <c r="CC669" i="1"/>
  <c r="CC670" i="1"/>
  <c r="CC671" i="1"/>
  <c r="CC672" i="1"/>
  <c r="CC673" i="1"/>
  <c r="CC674" i="1"/>
  <c r="CC675" i="1"/>
  <c r="CC676" i="1"/>
  <c r="CC677" i="1"/>
  <c r="CC678" i="1"/>
  <c r="CC679" i="1"/>
  <c r="CC680" i="1"/>
  <c r="CC681" i="1"/>
  <c r="CC682" i="1"/>
  <c r="CC683" i="1"/>
  <c r="CC684" i="1"/>
  <c r="CC685" i="1"/>
  <c r="CC686" i="1"/>
  <c r="CC687" i="1"/>
  <c r="CC688" i="1"/>
  <c r="CC689" i="1"/>
  <c r="CC690" i="1"/>
  <c r="CC691" i="1"/>
  <c r="CC692" i="1"/>
  <c r="CC693" i="1"/>
  <c r="CC694" i="1"/>
  <c r="CC695" i="1"/>
  <c r="CC696" i="1"/>
  <c r="CC697" i="1"/>
  <c r="CC698" i="1"/>
  <c r="CC699" i="1"/>
  <c r="CC700" i="1"/>
  <c r="CC701" i="1"/>
  <c r="CC702" i="1"/>
  <c r="CC703" i="1"/>
  <c r="CC704" i="1"/>
  <c r="CC705" i="1"/>
  <c r="CC706" i="1"/>
  <c r="CC707" i="1"/>
  <c r="CC708" i="1"/>
  <c r="CC709" i="1"/>
  <c r="CC710" i="1"/>
  <c r="CC711" i="1"/>
  <c r="CC712" i="1"/>
  <c r="CC713" i="1"/>
  <c r="CC714" i="1"/>
  <c r="CC715" i="1"/>
  <c r="CC716" i="1"/>
  <c r="CC717" i="1"/>
  <c r="CC718" i="1"/>
  <c r="CC719" i="1"/>
  <c r="CC720" i="1"/>
  <c r="CC721" i="1"/>
  <c r="CC722" i="1"/>
  <c r="CC723" i="1"/>
  <c r="CC724" i="1"/>
  <c r="CC725" i="1"/>
  <c r="CC726" i="1"/>
  <c r="CC727" i="1"/>
  <c r="CC728" i="1"/>
  <c r="CC729" i="1"/>
  <c r="CC730" i="1"/>
  <c r="CC731" i="1"/>
  <c r="CC732" i="1"/>
  <c r="CC733" i="1"/>
  <c r="CC734" i="1"/>
  <c r="CC735" i="1"/>
  <c r="CC736" i="1"/>
  <c r="CC737" i="1"/>
  <c r="CC738" i="1"/>
  <c r="CC739" i="1"/>
  <c r="CC740" i="1"/>
  <c r="CC741" i="1"/>
  <c r="CC742" i="1"/>
  <c r="CC743" i="1"/>
  <c r="CC744" i="1"/>
  <c r="CC745" i="1"/>
  <c r="CC746" i="1"/>
  <c r="CC747" i="1"/>
  <c r="CC748" i="1"/>
  <c r="CC749" i="1"/>
  <c r="CC750" i="1"/>
  <c r="CC751" i="1"/>
  <c r="CC752" i="1"/>
  <c r="CC753" i="1"/>
  <c r="CC754" i="1"/>
  <c r="CC755" i="1"/>
  <c r="CC756" i="1"/>
  <c r="CC757" i="1"/>
  <c r="CC758" i="1"/>
  <c r="CC759" i="1"/>
  <c r="CC760" i="1"/>
  <c r="CC761" i="1"/>
  <c r="CC762" i="1"/>
  <c r="CC763" i="1"/>
  <c r="CC764" i="1"/>
  <c r="CC765" i="1"/>
  <c r="CC766" i="1"/>
  <c r="CC767" i="1"/>
  <c r="CC768" i="1"/>
  <c r="CC769" i="1"/>
  <c r="CC770" i="1"/>
  <c r="CC771" i="1"/>
  <c r="CC772" i="1"/>
  <c r="CC773" i="1"/>
  <c r="CC774" i="1"/>
  <c r="CC775" i="1"/>
  <c r="CC776" i="1"/>
  <c r="CC777" i="1"/>
  <c r="CC778" i="1"/>
  <c r="CC779" i="1"/>
  <c r="CC780" i="1"/>
  <c r="CC781" i="1"/>
  <c r="CC782" i="1"/>
  <c r="CC783" i="1"/>
  <c r="CC784" i="1"/>
  <c r="CC785" i="1"/>
  <c r="CC786" i="1"/>
  <c r="CC787" i="1"/>
  <c r="CC788" i="1"/>
  <c r="CC789" i="1"/>
  <c r="CC790" i="1"/>
  <c r="CC791" i="1"/>
  <c r="CC792" i="1"/>
  <c r="CC793" i="1"/>
  <c r="CC794" i="1"/>
  <c r="CC795" i="1"/>
  <c r="CC796" i="1"/>
  <c r="CC797" i="1"/>
  <c r="CC798" i="1"/>
  <c r="CC799" i="1"/>
  <c r="CC800" i="1"/>
  <c r="CC801" i="1"/>
  <c r="CC802" i="1"/>
  <c r="CC803" i="1"/>
  <c r="CC804" i="1"/>
  <c r="CC805" i="1"/>
  <c r="CC806" i="1"/>
  <c r="CC807" i="1"/>
  <c r="CC808" i="1"/>
  <c r="CC809" i="1"/>
  <c r="CC810" i="1"/>
  <c r="CC811" i="1"/>
  <c r="CC812" i="1"/>
  <c r="CC813" i="1"/>
  <c r="CC814" i="1"/>
  <c r="CC815" i="1"/>
  <c r="CC816" i="1"/>
  <c r="CC817" i="1"/>
  <c r="CC818" i="1"/>
  <c r="CC819" i="1"/>
  <c r="CC820" i="1"/>
  <c r="CC821" i="1"/>
  <c r="CC822" i="1"/>
  <c r="CC823" i="1"/>
  <c r="CC824" i="1"/>
  <c r="CC825" i="1"/>
  <c r="CC826" i="1"/>
  <c r="CC827" i="1"/>
  <c r="CC828" i="1"/>
  <c r="CC829" i="1"/>
  <c r="CC830" i="1"/>
  <c r="CC831" i="1"/>
  <c r="CC832" i="1"/>
  <c r="CC833" i="1"/>
  <c r="CC834" i="1"/>
  <c r="CC835" i="1"/>
  <c r="CC836" i="1"/>
  <c r="CC837" i="1"/>
  <c r="CC838" i="1"/>
  <c r="CC839" i="1"/>
  <c r="CC840" i="1"/>
  <c r="CC841" i="1"/>
  <c r="CC842" i="1"/>
  <c r="CC843" i="1"/>
  <c r="CC844" i="1"/>
  <c r="CC845" i="1"/>
  <c r="CC846" i="1"/>
  <c r="CC847" i="1"/>
  <c r="CC848" i="1"/>
  <c r="CC849" i="1"/>
  <c r="CC850" i="1"/>
  <c r="CC851" i="1"/>
  <c r="CC852" i="1"/>
  <c r="CC853" i="1"/>
  <c r="CC854" i="1"/>
  <c r="CC855" i="1"/>
  <c r="CC856" i="1"/>
  <c r="CC857" i="1"/>
  <c r="CC858" i="1"/>
  <c r="CC859" i="1"/>
  <c r="CC860" i="1"/>
  <c r="CC861" i="1"/>
  <c r="CC862" i="1"/>
  <c r="CC863" i="1"/>
  <c r="CC864" i="1"/>
  <c r="CC865" i="1"/>
  <c r="CC866" i="1"/>
  <c r="CC867" i="1"/>
  <c r="CC868" i="1"/>
  <c r="CC869" i="1"/>
  <c r="CC870" i="1"/>
  <c r="CC871" i="1"/>
  <c r="CC872" i="1"/>
  <c r="CC873" i="1"/>
  <c r="CC874" i="1"/>
  <c r="CC875" i="1"/>
  <c r="CC876" i="1"/>
  <c r="CC877" i="1"/>
  <c r="CC878" i="1"/>
  <c r="CC879" i="1"/>
  <c r="CC880" i="1"/>
  <c r="CC881" i="1"/>
  <c r="CC882" i="1"/>
  <c r="CC883" i="1"/>
  <c r="CC884" i="1"/>
  <c r="CC885" i="1"/>
  <c r="CC886" i="1"/>
  <c r="CC887" i="1"/>
  <c r="CC888" i="1"/>
  <c r="CC889" i="1"/>
  <c r="CC890" i="1"/>
  <c r="CC891" i="1"/>
  <c r="CC892" i="1"/>
  <c r="CC893" i="1"/>
  <c r="CC894" i="1"/>
  <c r="CC895" i="1"/>
  <c r="CC896" i="1"/>
  <c r="CC897" i="1"/>
  <c r="CC898" i="1"/>
  <c r="CC899" i="1"/>
  <c r="CC900" i="1"/>
  <c r="CC901" i="1"/>
  <c r="CC902" i="1"/>
  <c r="CC903" i="1"/>
  <c r="CC904" i="1"/>
  <c r="CC905" i="1"/>
  <c r="CC906" i="1"/>
  <c r="CC907" i="1"/>
  <c r="CC908" i="1"/>
  <c r="CC909" i="1"/>
  <c r="CC910" i="1"/>
  <c r="CC911" i="1"/>
  <c r="CC912" i="1"/>
  <c r="CC913" i="1"/>
  <c r="CC914" i="1"/>
  <c r="CC915" i="1"/>
  <c r="CC916" i="1"/>
  <c r="CC917" i="1"/>
  <c r="CC918" i="1"/>
  <c r="CC919" i="1"/>
  <c r="CC920" i="1"/>
  <c r="CC921" i="1"/>
  <c r="CC922" i="1"/>
  <c r="CC923" i="1"/>
  <c r="CC924" i="1"/>
  <c r="CC925" i="1"/>
  <c r="CC926" i="1"/>
  <c r="CC927" i="1"/>
  <c r="CC928" i="1"/>
  <c r="CC929" i="1"/>
  <c r="CC930" i="1"/>
  <c r="CC931" i="1"/>
  <c r="CC932" i="1"/>
  <c r="CC933" i="1"/>
  <c r="CC934" i="1"/>
  <c r="CC935" i="1"/>
  <c r="CC936" i="1"/>
  <c r="CC937" i="1"/>
  <c r="CC938" i="1"/>
  <c r="CC939" i="1"/>
  <c r="CC940" i="1"/>
  <c r="CC941" i="1"/>
  <c r="CC942" i="1"/>
  <c r="CC943" i="1"/>
  <c r="CC944" i="1"/>
  <c r="CC945" i="1"/>
  <c r="CC946" i="1"/>
  <c r="CC947" i="1"/>
  <c r="CC948" i="1"/>
  <c r="CC949" i="1"/>
  <c r="CC950" i="1"/>
  <c r="CC951" i="1"/>
  <c r="CC952" i="1"/>
  <c r="CC953" i="1"/>
  <c r="CC954" i="1"/>
  <c r="CC955" i="1"/>
  <c r="CC956" i="1"/>
  <c r="CC957" i="1"/>
  <c r="CC958" i="1"/>
  <c r="CC959" i="1"/>
  <c r="CC960" i="1"/>
  <c r="CC961" i="1"/>
  <c r="CC962" i="1"/>
  <c r="CC963" i="1"/>
  <c r="CC964" i="1"/>
  <c r="CC965" i="1"/>
  <c r="CC966" i="1"/>
  <c r="CC967" i="1"/>
  <c r="CC968" i="1"/>
  <c r="CC969" i="1"/>
  <c r="CC970" i="1"/>
  <c r="CC971" i="1"/>
  <c r="CC972" i="1"/>
  <c r="CC973" i="1"/>
  <c r="CC974" i="1"/>
  <c r="CC975" i="1"/>
  <c r="CC976" i="1"/>
  <c r="CC977" i="1"/>
  <c r="CC978" i="1"/>
  <c r="CC979" i="1"/>
  <c r="CC980" i="1"/>
  <c r="CC981" i="1"/>
  <c r="CC982" i="1"/>
  <c r="CC983" i="1"/>
  <c r="CC984" i="1"/>
  <c r="CC985" i="1"/>
  <c r="CC986" i="1"/>
  <c r="CC987" i="1"/>
  <c r="CC988" i="1"/>
  <c r="CC989" i="1"/>
  <c r="CC990" i="1"/>
  <c r="CC991" i="1"/>
  <c r="CC992" i="1"/>
  <c r="CC993" i="1"/>
  <c r="CC994" i="1"/>
  <c r="CC995" i="1"/>
  <c r="CC996" i="1"/>
  <c r="CC997" i="1"/>
  <c r="CC998" i="1"/>
  <c r="CC999" i="1"/>
  <c r="CC1000" i="1"/>
  <c r="CC1001" i="1"/>
  <c r="CC2" i="1"/>
  <c r="CA3" i="1"/>
  <c r="CB3" i="1"/>
  <c r="CA4" i="1"/>
  <c r="CB4" i="1"/>
  <c r="CA5" i="1"/>
  <c r="CB5" i="1"/>
  <c r="CA6" i="1"/>
  <c r="CB6" i="1"/>
  <c r="CA7" i="1"/>
  <c r="CB7" i="1"/>
  <c r="CA8" i="1"/>
  <c r="CB8" i="1"/>
  <c r="CA9" i="1"/>
  <c r="CB9" i="1"/>
  <c r="CA10" i="1"/>
  <c r="CB10" i="1"/>
  <c r="CA11" i="1"/>
  <c r="CB11" i="1"/>
  <c r="CA12" i="1"/>
  <c r="CB12" i="1"/>
  <c r="CA13" i="1"/>
  <c r="CB13" i="1"/>
  <c r="CA14" i="1"/>
  <c r="CB14" i="1"/>
  <c r="CA15" i="1"/>
  <c r="CB15" i="1"/>
  <c r="CA16" i="1"/>
  <c r="CB16" i="1"/>
  <c r="CA17" i="1"/>
  <c r="CB17" i="1"/>
  <c r="CA18" i="1"/>
  <c r="CB18" i="1"/>
  <c r="CA19" i="1"/>
  <c r="CB19" i="1"/>
  <c r="CA20" i="1"/>
  <c r="CB20" i="1"/>
  <c r="CA21" i="1"/>
  <c r="CB21" i="1"/>
  <c r="CA22" i="1"/>
  <c r="CB22" i="1"/>
  <c r="CA23" i="1"/>
  <c r="CB23" i="1"/>
  <c r="CA24" i="1"/>
  <c r="CB24" i="1"/>
  <c r="CA25" i="1"/>
  <c r="CB25" i="1"/>
  <c r="CA26" i="1"/>
  <c r="CB26" i="1"/>
  <c r="CA27" i="1"/>
  <c r="CB27" i="1"/>
  <c r="CA28" i="1"/>
  <c r="CB28" i="1"/>
  <c r="CA29" i="1"/>
  <c r="CB29" i="1"/>
  <c r="CA30" i="1"/>
  <c r="CB30" i="1"/>
  <c r="CA31" i="1"/>
  <c r="CB31" i="1"/>
  <c r="CA32" i="1"/>
  <c r="CB32" i="1"/>
  <c r="CA33" i="1"/>
  <c r="CB33" i="1"/>
  <c r="CA34" i="1"/>
  <c r="CB34" i="1"/>
  <c r="CA35" i="1"/>
  <c r="CB35" i="1"/>
  <c r="CA36" i="1"/>
  <c r="CB36" i="1"/>
  <c r="CA37" i="1"/>
  <c r="CB37" i="1"/>
  <c r="CA38" i="1"/>
  <c r="CB38" i="1"/>
  <c r="CA39" i="1"/>
  <c r="CB39" i="1"/>
  <c r="CA40" i="1"/>
  <c r="CB40" i="1"/>
  <c r="CA41" i="1"/>
  <c r="CB41" i="1"/>
  <c r="CA42" i="1"/>
  <c r="CB42" i="1"/>
  <c r="CA43" i="1"/>
  <c r="CB43" i="1"/>
  <c r="CA44" i="1"/>
  <c r="CB44" i="1"/>
  <c r="CA45" i="1"/>
  <c r="CB45" i="1"/>
  <c r="CA46" i="1"/>
  <c r="CB46" i="1"/>
  <c r="CA47" i="1"/>
  <c r="CB47" i="1"/>
  <c r="CA48" i="1"/>
  <c r="CB48" i="1"/>
  <c r="CA49" i="1"/>
  <c r="CB49" i="1"/>
  <c r="CA50" i="1"/>
  <c r="CB50" i="1"/>
  <c r="CA51" i="1"/>
  <c r="CB51" i="1"/>
  <c r="CA52" i="1"/>
  <c r="CB52" i="1"/>
  <c r="CA53" i="1"/>
  <c r="CB53" i="1"/>
  <c r="CA54" i="1"/>
  <c r="CB54" i="1"/>
  <c r="CA55" i="1"/>
  <c r="CB55" i="1"/>
  <c r="CA56" i="1"/>
  <c r="CB56" i="1"/>
  <c r="CA57" i="1"/>
  <c r="CB57" i="1"/>
  <c r="CA58" i="1"/>
  <c r="CB58" i="1"/>
  <c r="CA59" i="1"/>
  <c r="CB59" i="1"/>
  <c r="CA60" i="1"/>
  <c r="CB60" i="1"/>
  <c r="CA61" i="1"/>
  <c r="CB61" i="1"/>
  <c r="CA62" i="1"/>
  <c r="CB62" i="1"/>
  <c r="CA63" i="1"/>
  <c r="CB63" i="1"/>
  <c r="CA64" i="1"/>
  <c r="CB64" i="1"/>
  <c r="CA65" i="1"/>
  <c r="CB65" i="1"/>
  <c r="CA66" i="1"/>
  <c r="CB66" i="1"/>
  <c r="CA67" i="1"/>
  <c r="CB67" i="1"/>
  <c r="CA68" i="1"/>
  <c r="CB68" i="1"/>
  <c r="CA69" i="1"/>
  <c r="CB69" i="1"/>
  <c r="CA70" i="1"/>
  <c r="CB70" i="1"/>
  <c r="CA71" i="1"/>
  <c r="CB71" i="1"/>
  <c r="CA72" i="1"/>
  <c r="CB72" i="1"/>
  <c r="CA73" i="1"/>
  <c r="CB73" i="1"/>
  <c r="CA74" i="1"/>
  <c r="CB74" i="1"/>
  <c r="CA75" i="1"/>
  <c r="CB75" i="1"/>
  <c r="CA76" i="1"/>
  <c r="CB76" i="1"/>
  <c r="CA77" i="1"/>
  <c r="CB77" i="1"/>
  <c r="CA78" i="1"/>
  <c r="CB78" i="1"/>
  <c r="CA79" i="1"/>
  <c r="CB79" i="1"/>
  <c r="CA80" i="1"/>
  <c r="CB80" i="1"/>
  <c r="CA81" i="1"/>
  <c r="CB81" i="1"/>
  <c r="CA82" i="1"/>
  <c r="CB82" i="1"/>
  <c r="CA83" i="1"/>
  <c r="CB83" i="1"/>
  <c r="CA84" i="1"/>
  <c r="CB84" i="1"/>
  <c r="CA85" i="1"/>
  <c r="CB85" i="1"/>
  <c r="CA86" i="1"/>
  <c r="CB86" i="1"/>
  <c r="CA87" i="1"/>
  <c r="CB87" i="1"/>
  <c r="CA88" i="1"/>
  <c r="CB88" i="1"/>
  <c r="CA89" i="1"/>
  <c r="CB89" i="1"/>
  <c r="CA90" i="1"/>
  <c r="CB90" i="1"/>
  <c r="CA91" i="1"/>
  <c r="CB91" i="1"/>
  <c r="CA92" i="1"/>
  <c r="CB92" i="1"/>
  <c r="CA93" i="1"/>
  <c r="CB93" i="1"/>
  <c r="CA94" i="1"/>
  <c r="CB94" i="1"/>
  <c r="CA95" i="1"/>
  <c r="CB95" i="1"/>
  <c r="CA96" i="1"/>
  <c r="CB96" i="1"/>
  <c r="CA97" i="1"/>
  <c r="CB97" i="1"/>
  <c r="CA98" i="1"/>
  <c r="CB98" i="1"/>
  <c r="CA99" i="1"/>
  <c r="CB99" i="1"/>
  <c r="CA100" i="1"/>
  <c r="CB100" i="1"/>
  <c r="CA101" i="1"/>
  <c r="CB101" i="1"/>
  <c r="CA102" i="1"/>
  <c r="CB102" i="1"/>
  <c r="CA103" i="1"/>
  <c r="CB103" i="1"/>
  <c r="CA104" i="1"/>
  <c r="CB104" i="1"/>
  <c r="CA105" i="1"/>
  <c r="CB105" i="1"/>
  <c r="CA106" i="1"/>
  <c r="CB106" i="1"/>
  <c r="CA107" i="1"/>
  <c r="CB107" i="1"/>
  <c r="CA108" i="1"/>
  <c r="CB108" i="1"/>
  <c r="CA109" i="1"/>
  <c r="CB109" i="1"/>
  <c r="CA110" i="1"/>
  <c r="CB110" i="1"/>
  <c r="CA111" i="1"/>
  <c r="CB111" i="1"/>
  <c r="CA112" i="1"/>
  <c r="CB112" i="1"/>
  <c r="CA113" i="1"/>
  <c r="CB113" i="1"/>
  <c r="CA114" i="1"/>
  <c r="CB114" i="1"/>
  <c r="CA115" i="1"/>
  <c r="CB115" i="1"/>
  <c r="CA116" i="1"/>
  <c r="CB116" i="1"/>
  <c r="CA117" i="1"/>
  <c r="CB117" i="1"/>
  <c r="CA118" i="1"/>
  <c r="CB118" i="1"/>
  <c r="CA119" i="1"/>
  <c r="CB119" i="1"/>
  <c r="CA120" i="1"/>
  <c r="CB120" i="1"/>
  <c r="CA121" i="1"/>
  <c r="CB121" i="1"/>
  <c r="CA122" i="1"/>
  <c r="CB122" i="1"/>
  <c r="CA123" i="1"/>
  <c r="CB123" i="1"/>
  <c r="CA124" i="1"/>
  <c r="CB124" i="1"/>
  <c r="CA125" i="1"/>
  <c r="CB125" i="1"/>
  <c r="CA126" i="1"/>
  <c r="CB126" i="1"/>
  <c r="CA127" i="1"/>
  <c r="CB127" i="1"/>
  <c r="CA128" i="1"/>
  <c r="CB128" i="1"/>
  <c r="CA129" i="1"/>
  <c r="CB129" i="1"/>
  <c r="CA130" i="1"/>
  <c r="CB130" i="1"/>
  <c r="CA131" i="1"/>
  <c r="CB131" i="1"/>
  <c r="CA132" i="1"/>
  <c r="CB132" i="1"/>
  <c r="CA133" i="1"/>
  <c r="CB133" i="1"/>
  <c r="CA134" i="1"/>
  <c r="CB134" i="1"/>
  <c r="CA135" i="1"/>
  <c r="CB135" i="1"/>
  <c r="CA136" i="1"/>
  <c r="CB136" i="1"/>
  <c r="CA137" i="1"/>
  <c r="CB137" i="1"/>
  <c r="CA138" i="1"/>
  <c r="CB138" i="1"/>
  <c r="CA139" i="1"/>
  <c r="CB139" i="1"/>
  <c r="CA140" i="1"/>
  <c r="CB140" i="1"/>
  <c r="CA141" i="1"/>
  <c r="CB141" i="1"/>
  <c r="CA142" i="1"/>
  <c r="CB142" i="1"/>
  <c r="CA143" i="1"/>
  <c r="CB143" i="1"/>
  <c r="CA144" i="1"/>
  <c r="CB144" i="1"/>
  <c r="CA145" i="1"/>
  <c r="CB145" i="1"/>
  <c r="CA146" i="1"/>
  <c r="CB146" i="1"/>
  <c r="CA147" i="1"/>
  <c r="CB147" i="1"/>
  <c r="CA148" i="1"/>
  <c r="CB148" i="1"/>
  <c r="CA149" i="1"/>
  <c r="CB149" i="1"/>
  <c r="CA150" i="1"/>
  <c r="CB150" i="1"/>
  <c r="CA151" i="1"/>
  <c r="CB151" i="1"/>
  <c r="CA152" i="1"/>
  <c r="CB152" i="1"/>
  <c r="CA153" i="1"/>
  <c r="CB153" i="1"/>
  <c r="CA154" i="1"/>
  <c r="CB154" i="1"/>
  <c r="CA155" i="1"/>
  <c r="CB155" i="1"/>
  <c r="CA156" i="1"/>
  <c r="CB156" i="1"/>
  <c r="CA157" i="1"/>
  <c r="CB157" i="1"/>
  <c r="CA158" i="1"/>
  <c r="CB158" i="1"/>
  <c r="CA159" i="1"/>
  <c r="CB159" i="1"/>
  <c r="CA160" i="1"/>
  <c r="CB160" i="1"/>
  <c r="CA161" i="1"/>
  <c r="CB161" i="1"/>
  <c r="CA162" i="1"/>
  <c r="CB162" i="1"/>
  <c r="CA163" i="1"/>
  <c r="CB163" i="1"/>
  <c r="CA164" i="1"/>
  <c r="CB164" i="1"/>
  <c r="CA165" i="1"/>
  <c r="CB165" i="1"/>
  <c r="CA166" i="1"/>
  <c r="CB166" i="1"/>
  <c r="CA167" i="1"/>
  <c r="CB167" i="1"/>
  <c r="CA168" i="1"/>
  <c r="CB168" i="1"/>
  <c r="CA169" i="1"/>
  <c r="CB169" i="1"/>
  <c r="CA170" i="1"/>
  <c r="CB170" i="1"/>
  <c r="CA171" i="1"/>
  <c r="CB171" i="1"/>
  <c r="CA172" i="1"/>
  <c r="CB172" i="1"/>
  <c r="CA173" i="1"/>
  <c r="CB173" i="1"/>
  <c r="CA174" i="1"/>
  <c r="CB174" i="1"/>
  <c r="CA175" i="1"/>
  <c r="CB175" i="1"/>
  <c r="CA176" i="1"/>
  <c r="CB176" i="1"/>
  <c r="CA177" i="1"/>
  <c r="CB177" i="1"/>
  <c r="CA178" i="1"/>
  <c r="CB178" i="1"/>
  <c r="CA179" i="1"/>
  <c r="CB179" i="1"/>
  <c r="CA180" i="1"/>
  <c r="CB180" i="1"/>
  <c r="CA181" i="1"/>
  <c r="CB181" i="1"/>
  <c r="CA182" i="1"/>
  <c r="CB182" i="1"/>
  <c r="CA183" i="1"/>
  <c r="CB183" i="1"/>
  <c r="CA184" i="1"/>
  <c r="CB184" i="1"/>
  <c r="CA185" i="1"/>
  <c r="CB185" i="1"/>
  <c r="CA186" i="1"/>
  <c r="CB186" i="1"/>
  <c r="CA187" i="1"/>
  <c r="CB187" i="1"/>
  <c r="CA188" i="1"/>
  <c r="CB188" i="1"/>
  <c r="CA189" i="1"/>
  <c r="CB189" i="1"/>
  <c r="CA190" i="1"/>
  <c r="CB190" i="1"/>
  <c r="CA191" i="1"/>
  <c r="CB191" i="1"/>
  <c r="CA192" i="1"/>
  <c r="CB192" i="1"/>
  <c r="CA193" i="1"/>
  <c r="CB193" i="1"/>
  <c r="CA194" i="1"/>
  <c r="CB194" i="1"/>
  <c r="CA195" i="1"/>
  <c r="CB195" i="1"/>
  <c r="CA196" i="1"/>
  <c r="CB196" i="1"/>
  <c r="CA197" i="1"/>
  <c r="CB197" i="1"/>
  <c r="CA198" i="1"/>
  <c r="CB198" i="1"/>
  <c r="CA199" i="1"/>
  <c r="CB199" i="1"/>
  <c r="CA200" i="1"/>
  <c r="CB200" i="1"/>
  <c r="CA201" i="1"/>
  <c r="CB201" i="1"/>
  <c r="CA202" i="1"/>
  <c r="CB202" i="1"/>
  <c r="CA203" i="1"/>
  <c r="CB203" i="1"/>
  <c r="CA204" i="1"/>
  <c r="CB204" i="1"/>
  <c r="CA205" i="1"/>
  <c r="CB205" i="1"/>
  <c r="CA206" i="1"/>
  <c r="CB206" i="1"/>
  <c r="CA207" i="1"/>
  <c r="CB207" i="1"/>
  <c r="CA208" i="1"/>
  <c r="CB208" i="1"/>
  <c r="CA209" i="1"/>
  <c r="CB209" i="1"/>
  <c r="CA210" i="1"/>
  <c r="CB210" i="1"/>
  <c r="CA211" i="1"/>
  <c r="CB211" i="1"/>
  <c r="CA212" i="1"/>
  <c r="CB212" i="1"/>
  <c r="CA213" i="1"/>
  <c r="CB213" i="1"/>
  <c r="CA214" i="1"/>
  <c r="CB214" i="1"/>
  <c r="CA215" i="1"/>
  <c r="CB215" i="1"/>
  <c r="CA216" i="1"/>
  <c r="CB216" i="1"/>
  <c r="CA217" i="1"/>
  <c r="CB217" i="1"/>
  <c r="CA218" i="1"/>
  <c r="CB218" i="1"/>
  <c r="CA219" i="1"/>
  <c r="CB219" i="1"/>
  <c r="CA220" i="1"/>
  <c r="CB220" i="1"/>
  <c r="CA221" i="1"/>
  <c r="CB221" i="1"/>
  <c r="CA222" i="1"/>
  <c r="CB222" i="1"/>
  <c r="CA223" i="1"/>
  <c r="CB223" i="1"/>
  <c r="CA224" i="1"/>
  <c r="CB224" i="1"/>
  <c r="CA225" i="1"/>
  <c r="CB225" i="1"/>
  <c r="CA226" i="1"/>
  <c r="CB226" i="1"/>
  <c r="CA227" i="1"/>
  <c r="CB227" i="1"/>
  <c r="CA228" i="1"/>
  <c r="CB228" i="1"/>
  <c r="CA229" i="1"/>
  <c r="CB229" i="1"/>
  <c r="CA230" i="1"/>
  <c r="CB230" i="1"/>
  <c r="CA231" i="1"/>
  <c r="CB231" i="1"/>
  <c r="CA232" i="1"/>
  <c r="CB232" i="1"/>
  <c r="CA233" i="1"/>
  <c r="CB233" i="1"/>
  <c r="CA234" i="1"/>
  <c r="CB234" i="1"/>
  <c r="CA235" i="1"/>
  <c r="CB235" i="1"/>
  <c r="CA236" i="1"/>
  <c r="CB236" i="1"/>
  <c r="CA237" i="1"/>
  <c r="CB237" i="1"/>
  <c r="CA238" i="1"/>
  <c r="CB238" i="1"/>
  <c r="CA239" i="1"/>
  <c r="CB239" i="1"/>
  <c r="CA240" i="1"/>
  <c r="CB240" i="1"/>
  <c r="CA241" i="1"/>
  <c r="CB241" i="1"/>
  <c r="CA242" i="1"/>
  <c r="CB242" i="1"/>
  <c r="CA243" i="1"/>
  <c r="CB243" i="1"/>
  <c r="CA244" i="1"/>
  <c r="CB244" i="1"/>
  <c r="CA245" i="1"/>
  <c r="CB245" i="1"/>
  <c r="CA246" i="1"/>
  <c r="CB246" i="1"/>
  <c r="CA247" i="1"/>
  <c r="CB247" i="1"/>
  <c r="CA248" i="1"/>
  <c r="CB248" i="1"/>
  <c r="CA249" i="1"/>
  <c r="CB249" i="1"/>
  <c r="CA250" i="1"/>
  <c r="CB250" i="1"/>
  <c r="CA251" i="1"/>
  <c r="CB251" i="1"/>
  <c r="CA252" i="1"/>
  <c r="CB252" i="1"/>
  <c r="CA253" i="1"/>
  <c r="CB253" i="1"/>
  <c r="CA254" i="1"/>
  <c r="CB254" i="1"/>
  <c r="CA255" i="1"/>
  <c r="CB255" i="1"/>
  <c r="CA256" i="1"/>
  <c r="CB256" i="1"/>
  <c r="CA257" i="1"/>
  <c r="CB257" i="1"/>
  <c r="CA258" i="1"/>
  <c r="CB258" i="1"/>
  <c r="CA259" i="1"/>
  <c r="CB259" i="1"/>
  <c r="CA260" i="1"/>
  <c r="CB260" i="1"/>
  <c r="CA261" i="1"/>
  <c r="CB261" i="1"/>
  <c r="CA262" i="1"/>
  <c r="CB262" i="1"/>
  <c r="CA263" i="1"/>
  <c r="CB263" i="1"/>
  <c r="CA264" i="1"/>
  <c r="CB264" i="1"/>
  <c r="CA265" i="1"/>
  <c r="CB265" i="1"/>
  <c r="CA266" i="1"/>
  <c r="CB266" i="1"/>
  <c r="CA267" i="1"/>
  <c r="CB267" i="1"/>
  <c r="CA268" i="1"/>
  <c r="CB268" i="1"/>
  <c r="CA269" i="1"/>
  <c r="CB269" i="1"/>
  <c r="CA270" i="1"/>
  <c r="CB270" i="1"/>
  <c r="CA271" i="1"/>
  <c r="CB271" i="1"/>
  <c r="CA272" i="1"/>
  <c r="CB272" i="1"/>
  <c r="CA273" i="1"/>
  <c r="CB273" i="1"/>
  <c r="CA274" i="1"/>
  <c r="CB274" i="1"/>
  <c r="CA275" i="1"/>
  <c r="CB275" i="1"/>
  <c r="CA276" i="1"/>
  <c r="CB276" i="1"/>
  <c r="CA277" i="1"/>
  <c r="CB277" i="1"/>
  <c r="CA278" i="1"/>
  <c r="CB278" i="1"/>
  <c r="CA279" i="1"/>
  <c r="CB279" i="1"/>
  <c r="CA280" i="1"/>
  <c r="CB280" i="1"/>
  <c r="CA281" i="1"/>
  <c r="CB281" i="1"/>
  <c r="CA282" i="1"/>
  <c r="CB282" i="1"/>
  <c r="CA283" i="1"/>
  <c r="CB283" i="1"/>
  <c r="CA284" i="1"/>
  <c r="CB284" i="1"/>
  <c r="CA285" i="1"/>
  <c r="CB285" i="1"/>
  <c r="CA286" i="1"/>
  <c r="CB286" i="1"/>
  <c r="CA287" i="1"/>
  <c r="CB287" i="1"/>
  <c r="CA288" i="1"/>
  <c r="CB288" i="1"/>
  <c r="CA289" i="1"/>
  <c r="CB289" i="1"/>
  <c r="CA290" i="1"/>
  <c r="CB290" i="1"/>
  <c r="CA291" i="1"/>
  <c r="CB291" i="1"/>
  <c r="CA292" i="1"/>
  <c r="CB292" i="1"/>
  <c r="CA293" i="1"/>
  <c r="CB293" i="1"/>
  <c r="CA294" i="1"/>
  <c r="CB294" i="1"/>
  <c r="CA295" i="1"/>
  <c r="CB295" i="1"/>
  <c r="CA296" i="1"/>
  <c r="CB296" i="1"/>
  <c r="CA297" i="1"/>
  <c r="CB297" i="1"/>
  <c r="CA298" i="1"/>
  <c r="CB298" i="1"/>
  <c r="CA299" i="1"/>
  <c r="CB299" i="1"/>
  <c r="CA300" i="1"/>
  <c r="CB300" i="1"/>
  <c r="CA301" i="1"/>
  <c r="CB301" i="1"/>
  <c r="CA302" i="1"/>
  <c r="CB302" i="1"/>
  <c r="CA303" i="1"/>
  <c r="CB303" i="1"/>
  <c r="CA304" i="1"/>
  <c r="CB304" i="1"/>
  <c r="CA305" i="1"/>
  <c r="CB305" i="1"/>
  <c r="CA306" i="1"/>
  <c r="CB306" i="1"/>
  <c r="CA307" i="1"/>
  <c r="CB307" i="1"/>
  <c r="CA308" i="1"/>
  <c r="CB308" i="1"/>
  <c r="CA309" i="1"/>
  <c r="CB309" i="1"/>
  <c r="CA310" i="1"/>
  <c r="CB310" i="1"/>
  <c r="CA311" i="1"/>
  <c r="CB311" i="1"/>
  <c r="CA312" i="1"/>
  <c r="CB312" i="1"/>
  <c r="CA313" i="1"/>
  <c r="CB313" i="1"/>
  <c r="CA314" i="1"/>
  <c r="CB314" i="1"/>
  <c r="CA315" i="1"/>
  <c r="CB315" i="1"/>
  <c r="CA316" i="1"/>
  <c r="CB316" i="1"/>
  <c r="CA317" i="1"/>
  <c r="CB317" i="1"/>
  <c r="CA318" i="1"/>
  <c r="CB318" i="1"/>
  <c r="CA319" i="1"/>
  <c r="CB319" i="1"/>
  <c r="CA320" i="1"/>
  <c r="CB320" i="1"/>
  <c r="CA321" i="1"/>
  <c r="CB321" i="1"/>
  <c r="CA322" i="1"/>
  <c r="CB322" i="1"/>
  <c r="CA323" i="1"/>
  <c r="CB323" i="1"/>
  <c r="CA324" i="1"/>
  <c r="CB324" i="1"/>
  <c r="CA325" i="1"/>
  <c r="CB325" i="1"/>
  <c r="CA326" i="1"/>
  <c r="CB326" i="1"/>
  <c r="CA327" i="1"/>
  <c r="CB327" i="1"/>
  <c r="CA328" i="1"/>
  <c r="CB328" i="1"/>
  <c r="CA329" i="1"/>
  <c r="CB329" i="1"/>
  <c r="CA330" i="1"/>
  <c r="CB330" i="1"/>
  <c r="CA331" i="1"/>
  <c r="CB331" i="1"/>
  <c r="CA332" i="1"/>
  <c r="CB332" i="1"/>
  <c r="CA333" i="1"/>
  <c r="CB333" i="1"/>
  <c r="CA334" i="1"/>
  <c r="CB334" i="1"/>
  <c r="CA335" i="1"/>
  <c r="CB335" i="1"/>
  <c r="CA336" i="1"/>
  <c r="CB336" i="1"/>
  <c r="CA337" i="1"/>
  <c r="CB337" i="1"/>
  <c r="CA338" i="1"/>
  <c r="CB338" i="1"/>
  <c r="CA339" i="1"/>
  <c r="CB339" i="1"/>
  <c r="CA340" i="1"/>
  <c r="CB340" i="1"/>
  <c r="CA341" i="1"/>
  <c r="CB341" i="1"/>
  <c r="CA342" i="1"/>
  <c r="CB342" i="1"/>
  <c r="CA343" i="1"/>
  <c r="CB343" i="1"/>
  <c r="CA344" i="1"/>
  <c r="CB344" i="1"/>
  <c r="CA345" i="1"/>
  <c r="CB345" i="1"/>
  <c r="CA346" i="1"/>
  <c r="CB346" i="1"/>
  <c r="CA347" i="1"/>
  <c r="CB347" i="1"/>
  <c r="CA348" i="1"/>
  <c r="CB348" i="1"/>
  <c r="CA349" i="1"/>
  <c r="CB349" i="1"/>
  <c r="CA350" i="1"/>
  <c r="CB350" i="1"/>
  <c r="CA351" i="1"/>
  <c r="CB351" i="1"/>
  <c r="CA352" i="1"/>
  <c r="CB352" i="1"/>
  <c r="CA353" i="1"/>
  <c r="CB353" i="1"/>
  <c r="CA354" i="1"/>
  <c r="CB354" i="1"/>
  <c r="CA355" i="1"/>
  <c r="CB355" i="1"/>
  <c r="CA356" i="1"/>
  <c r="CB356" i="1"/>
  <c r="CA357" i="1"/>
  <c r="CB357" i="1"/>
  <c r="CA358" i="1"/>
  <c r="CB358" i="1"/>
  <c r="CA359" i="1"/>
  <c r="CB359" i="1"/>
  <c r="CA360" i="1"/>
  <c r="CB360" i="1"/>
  <c r="CA361" i="1"/>
  <c r="CB361" i="1"/>
  <c r="CA362" i="1"/>
  <c r="CB362" i="1"/>
  <c r="CA363" i="1"/>
  <c r="CB363" i="1"/>
  <c r="CA364" i="1"/>
  <c r="CB364" i="1"/>
  <c r="CA365" i="1"/>
  <c r="CB365" i="1"/>
  <c r="CA366" i="1"/>
  <c r="CB366" i="1"/>
  <c r="CA367" i="1"/>
  <c r="CB367" i="1"/>
  <c r="CA368" i="1"/>
  <c r="CB368" i="1"/>
  <c r="CA369" i="1"/>
  <c r="CB369" i="1"/>
  <c r="CA370" i="1"/>
  <c r="CB370" i="1"/>
  <c r="CA371" i="1"/>
  <c r="CB371" i="1"/>
  <c r="CA372" i="1"/>
  <c r="CB372" i="1"/>
  <c r="CA373" i="1"/>
  <c r="CB373" i="1"/>
  <c r="CA374" i="1"/>
  <c r="CB374" i="1"/>
  <c r="CA375" i="1"/>
  <c r="CB375" i="1"/>
  <c r="CA376" i="1"/>
  <c r="CB376" i="1"/>
  <c r="CA377" i="1"/>
  <c r="CB377" i="1"/>
  <c r="CA378" i="1"/>
  <c r="CB378" i="1"/>
  <c r="CA379" i="1"/>
  <c r="CB379" i="1"/>
  <c r="CA380" i="1"/>
  <c r="CB380" i="1"/>
  <c r="CA381" i="1"/>
  <c r="CB381" i="1"/>
  <c r="CA382" i="1"/>
  <c r="CB382" i="1"/>
  <c r="CA383" i="1"/>
  <c r="CB383" i="1"/>
  <c r="CA384" i="1"/>
  <c r="CB384" i="1"/>
  <c r="CA385" i="1"/>
  <c r="CB385" i="1"/>
  <c r="CA386" i="1"/>
  <c r="CB386" i="1"/>
  <c r="CA387" i="1"/>
  <c r="CB387" i="1"/>
  <c r="CA388" i="1"/>
  <c r="CB388" i="1"/>
  <c r="CA389" i="1"/>
  <c r="CB389" i="1"/>
  <c r="CA390" i="1"/>
  <c r="CB390" i="1"/>
  <c r="CA391" i="1"/>
  <c r="CB391" i="1"/>
  <c r="CA392" i="1"/>
  <c r="CB392" i="1"/>
  <c r="CA393" i="1"/>
  <c r="CB393" i="1"/>
  <c r="CA394" i="1"/>
  <c r="CB394" i="1"/>
  <c r="CA395" i="1"/>
  <c r="CB395" i="1"/>
  <c r="CA396" i="1"/>
  <c r="CB396" i="1"/>
  <c r="CA397" i="1"/>
  <c r="CB397" i="1"/>
  <c r="CA398" i="1"/>
  <c r="CB398" i="1"/>
  <c r="CA399" i="1"/>
  <c r="CB399" i="1"/>
  <c r="CA400" i="1"/>
  <c r="CB400" i="1"/>
  <c r="CA401" i="1"/>
  <c r="CB401" i="1"/>
  <c r="CA402" i="1"/>
  <c r="CB402" i="1"/>
  <c r="CA403" i="1"/>
  <c r="CB403" i="1"/>
  <c r="CA404" i="1"/>
  <c r="CB404" i="1"/>
  <c r="CA405" i="1"/>
  <c r="CB405" i="1"/>
  <c r="CA406" i="1"/>
  <c r="CB406" i="1"/>
  <c r="CA407" i="1"/>
  <c r="CB407" i="1"/>
  <c r="CA408" i="1"/>
  <c r="CB408" i="1"/>
  <c r="CA409" i="1"/>
  <c r="CB409" i="1"/>
  <c r="CA410" i="1"/>
  <c r="CB410" i="1"/>
  <c r="CA411" i="1"/>
  <c r="CB411" i="1"/>
  <c r="CA412" i="1"/>
  <c r="CB412" i="1"/>
  <c r="CA413" i="1"/>
  <c r="CB413" i="1"/>
  <c r="CA414" i="1"/>
  <c r="CB414" i="1"/>
  <c r="CA415" i="1"/>
  <c r="CB415" i="1"/>
  <c r="CA416" i="1"/>
  <c r="CB416" i="1"/>
  <c r="CA417" i="1"/>
  <c r="CB417" i="1"/>
  <c r="CA418" i="1"/>
  <c r="CB418" i="1"/>
  <c r="CA419" i="1"/>
  <c r="CB419" i="1"/>
  <c r="CA420" i="1"/>
  <c r="CB420" i="1"/>
  <c r="CA421" i="1"/>
  <c r="CB421" i="1"/>
  <c r="CA422" i="1"/>
  <c r="CB422" i="1"/>
  <c r="CA423" i="1"/>
  <c r="CB423" i="1"/>
  <c r="CA424" i="1"/>
  <c r="CB424" i="1"/>
  <c r="CA425" i="1"/>
  <c r="CB425" i="1"/>
  <c r="CA426" i="1"/>
  <c r="CB426" i="1"/>
  <c r="CA427" i="1"/>
  <c r="CB427" i="1"/>
  <c r="CA428" i="1"/>
  <c r="CB428" i="1"/>
  <c r="CA429" i="1"/>
  <c r="CB429" i="1"/>
  <c r="CA430" i="1"/>
  <c r="CB430" i="1"/>
  <c r="CA431" i="1"/>
  <c r="CB431" i="1"/>
  <c r="CA432" i="1"/>
  <c r="CB432" i="1"/>
  <c r="CA433" i="1"/>
  <c r="CB433" i="1"/>
  <c r="CA434" i="1"/>
  <c r="CB434" i="1"/>
  <c r="CA435" i="1"/>
  <c r="CB435" i="1"/>
  <c r="CA436" i="1"/>
  <c r="CB436" i="1"/>
  <c r="CA437" i="1"/>
  <c r="CB437" i="1"/>
  <c r="CA438" i="1"/>
  <c r="CB438" i="1"/>
  <c r="CA439" i="1"/>
  <c r="CB439" i="1"/>
  <c r="CA440" i="1"/>
  <c r="CB440" i="1"/>
  <c r="CA441" i="1"/>
  <c r="CB441" i="1"/>
  <c r="CA442" i="1"/>
  <c r="CB442" i="1"/>
  <c r="CA443" i="1"/>
  <c r="CB443" i="1"/>
  <c r="CA444" i="1"/>
  <c r="CB444" i="1"/>
  <c r="CA445" i="1"/>
  <c r="CB445" i="1"/>
  <c r="CA446" i="1"/>
  <c r="CB446" i="1"/>
  <c r="CA447" i="1"/>
  <c r="CB447" i="1"/>
  <c r="CA448" i="1"/>
  <c r="CB448" i="1"/>
  <c r="CA449" i="1"/>
  <c r="CB449" i="1"/>
  <c r="CA450" i="1"/>
  <c r="CB450" i="1"/>
  <c r="CA451" i="1"/>
  <c r="CB451" i="1"/>
  <c r="CA452" i="1"/>
  <c r="CB452" i="1"/>
  <c r="CA453" i="1"/>
  <c r="CB453" i="1"/>
  <c r="CA454" i="1"/>
  <c r="CB454" i="1"/>
  <c r="CA455" i="1"/>
  <c r="CB455" i="1"/>
  <c r="CA456" i="1"/>
  <c r="CB456" i="1"/>
  <c r="CA457" i="1"/>
  <c r="CB457" i="1"/>
  <c r="CA458" i="1"/>
  <c r="CB458" i="1"/>
  <c r="CA459" i="1"/>
  <c r="CB459" i="1"/>
  <c r="CA460" i="1"/>
  <c r="CB460" i="1"/>
  <c r="CA461" i="1"/>
  <c r="CB461" i="1"/>
  <c r="CA462" i="1"/>
  <c r="CB462" i="1"/>
  <c r="CA463" i="1"/>
  <c r="CB463" i="1"/>
  <c r="CA464" i="1"/>
  <c r="CB464" i="1"/>
  <c r="CA465" i="1"/>
  <c r="CB465" i="1"/>
  <c r="CA466" i="1"/>
  <c r="CB466" i="1"/>
  <c r="CA467" i="1"/>
  <c r="CB467" i="1"/>
  <c r="CA468" i="1"/>
  <c r="CB468" i="1"/>
  <c r="CA469" i="1"/>
  <c r="CB469" i="1"/>
  <c r="CA470" i="1"/>
  <c r="CB470" i="1"/>
  <c r="CA471" i="1"/>
  <c r="CB471" i="1"/>
  <c r="CA472" i="1"/>
  <c r="CB472" i="1"/>
  <c r="CA473" i="1"/>
  <c r="CB473" i="1"/>
  <c r="CA474" i="1"/>
  <c r="CB474" i="1"/>
  <c r="CA475" i="1"/>
  <c r="CB475" i="1"/>
  <c r="CA476" i="1"/>
  <c r="CB476" i="1"/>
  <c r="CA477" i="1"/>
  <c r="CB477" i="1"/>
  <c r="CA478" i="1"/>
  <c r="CB478" i="1"/>
  <c r="CA479" i="1"/>
  <c r="CB479" i="1"/>
  <c r="CA480" i="1"/>
  <c r="CB480" i="1"/>
  <c r="CA481" i="1"/>
  <c r="CB481" i="1"/>
  <c r="CA482" i="1"/>
  <c r="CB482" i="1"/>
  <c r="CA483" i="1"/>
  <c r="CB483" i="1"/>
  <c r="CA484" i="1"/>
  <c r="CB484" i="1"/>
  <c r="CA485" i="1"/>
  <c r="CB485" i="1"/>
  <c r="CA486" i="1"/>
  <c r="CB486" i="1"/>
  <c r="CA487" i="1"/>
  <c r="CB487" i="1"/>
  <c r="CA488" i="1"/>
  <c r="CB488" i="1"/>
  <c r="CA489" i="1"/>
  <c r="CB489" i="1"/>
  <c r="CA490" i="1"/>
  <c r="CB490" i="1"/>
  <c r="CA491" i="1"/>
  <c r="CB491" i="1"/>
  <c r="CA492" i="1"/>
  <c r="CB492" i="1"/>
  <c r="CA493" i="1"/>
  <c r="CB493" i="1"/>
  <c r="CA494" i="1"/>
  <c r="CB494" i="1"/>
  <c r="CA495" i="1"/>
  <c r="CB495" i="1"/>
  <c r="CA496" i="1"/>
  <c r="CB496" i="1"/>
  <c r="CA497" i="1"/>
  <c r="CB497" i="1"/>
  <c r="CA498" i="1"/>
  <c r="CB498" i="1"/>
  <c r="CA499" i="1"/>
  <c r="CB499" i="1"/>
  <c r="CA500" i="1"/>
  <c r="CB500" i="1"/>
  <c r="CA501" i="1"/>
  <c r="CB501" i="1"/>
  <c r="CA502" i="1"/>
  <c r="CB502" i="1"/>
  <c r="CA503" i="1"/>
  <c r="CB503" i="1"/>
  <c r="CA504" i="1"/>
  <c r="CB504" i="1"/>
  <c r="CA505" i="1"/>
  <c r="CB505" i="1"/>
  <c r="CA506" i="1"/>
  <c r="CB506" i="1"/>
  <c r="CA507" i="1"/>
  <c r="CB507" i="1"/>
  <c r="CA508" i="1"/>
  <c r="CB508" i="1"/>
  <c r="CA509" i="1"/>
  <c r="CB509" i="1"/>
  <c r="CA510" i="1"/>
  <c r="CB510" i="1"/>
  <c r="CA511" i="1"/>
  <c r="CB511" i="1"/>
  <c r="CA512" i="1"/>
  <c r="CB512" i="1"/>
  <c r="CA513" i="1"/>
  <c r="CB513" i="1"/>
  <c r="CA514" i="1"/>
  <c r="CB514" i="1"/>
  <c r="CA515" i="1"/>
  <c r="CB515" i="1"/>
  <c r="CA516" i="1"/>
  <c r="CB516" i="1"/>
  <c r="CA517" i="1"/>
  <c r="CB517" i="1"/>
  <c r="CA518" i="1"/>
  <c r="CB518" i="1"/>
  <c r="CA519" i="1"/>
  <c r="CB519" i="1"/>
  <c r="CA520" i="1"/>
  <c r="CB520" i="1"/>
  <c r="CA521" i="1"/>
  <c r="CB521" i="1"/>
  <c r="CA522" i="1"/>
  <c r="CB522" i="1"/>
  <c r="CA523" i="1"/>
  <c r="CB523" i="1"/>
  <c r="CA524" i="1"/>
  <c r="CB524" i="1"/>
  <c r="CA525" i="1"/>
  <c r="CB525" i="1"/>
  <c r="CA526" i="1"/>
  <c r="CB526" i="1"/>
  <c r="CA527" i="1"/>
  <c r="CB527" i="1"/>
  <c r="CA528" i="1"/>
  <c r="CB528" i="1"/>
  <c r="CA529" i="1"/>
  <c r="CB529" i="1"/>
  <c r="CA530" i="1"/>
  <c r="CB530" i="1"/>
  <c r="CA531" i="1"/>
  <c r="CB531" i="1"/>
  <c r="CA532" i="1"/>
  <c r="CB532" i="1"/>
  <c r="CA533" i="1"/>
  <c r="CB533" i="1"/>
  <c r="CA534" i="1"/>
  <c r="CB534" i="1"/>
  <c r="CA535" i="1"/>
  <c r="CB535" i="1"/>
  <c r="CA536" i="1"/>
  <c r="CB536" i="1"/>
  <c r="CA537" i="1"/>
  <c r="CB537" i="1"/>
  <c r="CA538" i="1"/>
  <c r="CB538" i="1"/>
  <c r="CA539" i="1"/>
  <c r="CB539" i="1"/>
  <c r="CA540" i="1"/>
  <c r="CB540" i="1"/>
  <c r="CA541" i="1"/>
  <c r="CB541" i="1"/>
  <c r="CA542" i="1"/>
  <c r="CB542" i="1"/>
  <c r="CA543" i="1"/>
  <c r="CB543" i="1"/>
  <c r="CA544" i="1"/>
  <c r="CB544" i="1"/>
  <c r="CA545" i="1"/>
  <c r="CB545" i="1"/>
  <c r="CA546" i="1"/>
  <c r="CB546" i="1"/>
  <c r="CA547" i="1"/>
  <c r="CB547" i="1"/>
  <c r="CA548" i="1"/>
  <c r="CB548" i="1"/>
  <c r="CA549" i="1"/>
  <c r="CB549" i="1"/>
  <c r="CA550" i="1"/>
  <c r="CB550" i="1"/>
  <c r="CA551" i="1"/>
  <c r="CB551" i="1"/>
  <c r="CA552" i="1"/>
  <c r="CB552" i="1"/>
  <c r="CA553" i="1"/>
  <c r="CB553" i="1"/>
  <c r="CA554" i="1"/>
  <c r="CB554" i="1"/>
  <c r="CA555" i="1"/>
  <c r="CB555" i="1"/>
  <c r="CA556" i="1"/>
  <c r="CB556" i="1"/>
  <c r="CA557" i="1"/>
  <c r="CB557" i="1"/>
  <c r="CA558" i="1"/>
  <c r="CB558" i="1"/>
  <c r="CA559" i="1"/>
  <c r="CB559" i="1"/>
  <c r="CA560" i="1"/>
  <c r="CB560" i="1"/>
  <c r="CA561" i="1"/>
  <c r="CB561" i="1"/>
  <c r="CA562" i="1"/>
  <c r="CB562" i="1"/>
  <c r="CA563" i="1"/>
  <c r="CB563" i="1"/>
  <c r="CA564" i="1"/>
  <c r="CB564" i="1"/>
  <c r="CA565" i="1"/>
  <c r="CB565" i="1"/>
  <c r="CA566" i="1"/>
  <c r="CB566" i="1"/>
  <c r="CA567" i="1"/>
  <c r="CB567" i="1"/>
  <c r="CA568" i="1"/>
  <c r="CB568" i="1"/>
  <c r="CA569" i="1"/>
  <c r="CB569" i="1"/>
  <c r="CA570" i="1"/>
  <c r="CB570" i="1"/>
  <c r="CA571" i="1"/>
  <c r="CB571" i="1"/>
  <c r="CA572" i="1"/>
  <c r="CB572" i="1"/>
  <c r="CA573" i="1"/>
  <c r="CB573" i="1"/>
  <c r="CA574" i="1"/>
  <c r="CB574" i="1"/>
  <c r="CA575" i="1"/>
  <c r="CB575" i="1"/>
  <c r="CA576" i="1"/>
  <c r="CB576" i="1"/>
  <c r="CA577" i="1"/>
  <c r="CB577" i="1"/>
  <c r="CA578" i="1"/>
  <c r="CB578" i="1"/>
  <c r="CA579" i="1"/>
  <c r="CB579" i="1"/>
  <c r="CA580" i="1"/>
  <c r="CB580" i="1"/>
  <c r="CA581" i="1"/>
  <c r="CB581" i="1"/>
  <c r="CA582" i="1"/>
  <c r="CB582" i="1"/>
  <c r="CA583" i="1"/>
  <c r="CB583" i="1"/>
  <c r="CA584" i="1"/>
  <c r="CB584" i="1"/>
  <c r="CA585" i="1"/>
  <c r="CB585" i="1"/>
  <c r="CA586" i="1"/>
  <c r="CB586" i="1"/>
  <c r="CA587" i="1"/>
  <c r="CB587" i="1"/>
  <c r="CA588" i="1"/>
  <c r="CB588" i="1"/>
  <c r="CA589" i="1"/>
  <c r="CB589" i="1"/>
  <c r="CA590" i="1"/>
  <c r="CB590" i="1"/>
  <c r="CA591" i="1"/>
  <c r="CB591" i="1"/>
  <c r="CA592" i="1"/>
  <c r="CB592" i="1"/>
  <c r="CA593" i="1"/>
  <c r="CB593" i="1"/>
  <c r="CA594" i="1"/>
  <c r="CB594" i="1"/>
  <c r="CA595" i="1"/>
  <c r="CB595" i="1"/>
  <c r="CA596" i="1"/>
  <c r="CB596" i="1"/>
  <c r="CA597" i="1"/>
  <c r="CB597" i="1"/>
  <c r="CA598" i="1"/>
  <c r="CB598" i="1"/>
  <c r="CA599" i="1"/>
  <c r="CB599" i="1"/>
  <c r="CA600" i="1"/>
  <c r="CB600" i="1"/>
  <c r="CA601" i="1"/>
  <c r="CB601" i="1"/>
  <c r="CA602" i="1"/>
  <c r="CB602" i="1"/>
  <c r="CA603" i="1"/>
  <c r="CB603" i="1"/>
  <c r="CA604" i="1"/>
  <c r="CB604" i="1"/>
  <c r="CA605" i="1"/>
  <c r="CB605" i="1"/>
  <c r="CA606" i="1"/>
  <c r="CB606" i="1"/>
  <c r="CA607" i="1"/>
  <c r="CB607" i="1"/>
  <c r="CA608" i="1"/>
  <c r="CB608" i="1"/>
  <c r="CA609" i="1"/>
  <c r="CB609" i="1"/>
  <c r="CA610" i="1"/>
  <c r="CB610" i="1"/>
  <c r="CA611" i="1"/>
  <c r="CB611" i="1"/>
  <c r="CA612" i="1"/>
  <c r="CB612" i="1"/>
  <c r="CA613" i="1"/>
  <c r="CB613" i="1"/>
  <c r="CA614" i="1"/>
  <c r="CB614" i="1"/>
  <c r="CA615" i="1"/>
  <c r="CB615" i="1"/>
  <c r="CA616" i="1"/>
  <c r="CB616" i="1"/>
  <c r="CA617" i="1"/>
  <c r="CB617" i="1"/>
  <c r="CA618" i="1"/>
  <c r="CB618" i="1"/>
  <c r="CA619" i="1"/>
  <c r="CB619" i="1"/>
  <c r="CA620" i="1"/>
  <c r="CB620" i="1"/>
  <c r="CA621" i="1"/>
  <c r="CB621" i="1"/>
  <c r="CA622" i="1"/>
  <c r="CB622" i="1"/>
  <c r="CA623" i="1"/>
  <c r="CB623" i="1"/>
  <c r="CA624" i="1"/>
  <c r="CB624" i="1"/>
  <c r="CA625" i="1"/>
  <c r="CB625" i="1"/>
  <c r="CA626" i="1"/>
  <c r="CB626" i="1"/>
  <c r="CA627" i="1"/>
  <c r="CB627" i="1"/>
  <c r="CA628" i="1"/>
  <c r="CB628" i="1"/>
  <c r="CA629" i="1"/>
  <c r="CB629" i="1"/>
  <c r="CA630" i="1"/>
  <c r="CB630" i="1"/>
  <c r="CA631" i="1"/>
  <c r="CB631" i="1"/>
  <c r="CA632" i="1"/>
  <c r="CB632" i="1"/>
  <c r="CA633" i="1"/>
  <c r="CB633" i="1"/>
  <c r="CA634" i="1"/>
  <c r="CB634" i="1"/>
  <c r="CA635" i="1"/>
  <c r="CB635" i="1"/>
  <c r="CA636" i="1"/>
  <c r="CB636" i="1"/>
  <c r="CA637" i="1"/>
  <c r="CB637" i="1"/>
  <c r="CA638" i="1"/>
  <c r="CB638" i="1"/>
  <c r="CA639" i="1"/>
  <c r="CB639" i="1"/>
  <c r="CA640" i="1"/>
  <c r="CB640" i="1"/>
  <c r="CA641" i="1"/>
  <c r="CB641" i="1"/>
  <c r="CA642" i="1"/>
  <c r="CB642" i="1"/>
  <c r="CA643" i="1"/>
  <c r="CB643" i="1"/>
  <c r="CA644" i="1"/>
  <c r="CB644" i="1"/>
  <c r="CA645" i="1"/>
  <c r="CB645" i="1"/>
  <c r="CA646" i="1"/>
  <c r="CB646" i="1"/>
  <c r="CA647" i="1"/>
  <c r="CB647" i="1"/>
  <c r="CA648" i="1"/>
  <c r="CB648" i="1"/>
  <c r="CA649" i="1"/>
  <c r="CB649" i="1"/>
  <c r="CA650" i="1"/>
  <c r="CB650" i="1"/>
  <c r="CA651" i="1"/>
  <c r="CB651" i="1"/>
  <c r="CA652" i="1"/>
  <c r="CB652" i="1"/>
  <c r="CA653" i="1"/>
  <c r="CB653" i="1"/>
  <c r="CA654" i="1"/>
  <c r="CB654" i="1"/>
  <c r="CA655" i="1"/>
  <c r="CB655" i="1"/>
  <c r="CA656" i="1"/>
  <c r="CB656" i="1"/>
  <c r="CA657" i="1"/>
  <c r="CB657" i="1"/>
  <c r="CA658" i="1"/>
  <c r="CB658" i="1"/>
  <c r="CA659" i="1"/>
  <c r="CB659" i="1"/>
  <c r="CA660" i="1"/>
  <c r="CB660" i="1"/>
  <c r="CA661" i="1"/>
  <c r="CB661" i="1"/>
  <c r="CA662" i="1"/>
  <c r="CB662" i="1"/>
  <c r="CA663" i="1"/>
  <c r="CB663" i="1"/>
  <c r="CA664" i="1"/>
  <c r="CB664" i="1"/>
  <c r="CA665" i="1"/>
  <c r="CB665" i="1"/>
  <c r="CA666" i="1"/>
  <c r="CB666" i="1"/>
  <c r="CA667" i="1"/>
  <c r="CB667" i="1"/>
  <c r="CA668" i="1"/>
  <c r="CB668" i="1"/>
  <c r="CA669" i="1"/>
  <c r="CB669" i="1"/>
  <c r="CA670" i="1"/>
  <c r="CB670" i="1"/>
  <c r="CA671" i="1"/>
  <c r="CB671" i="1"/>
  <c r="CA672" i="1"/>
  <c r="CB672" i="1"/>
  <c r="CA673" i="1"/>
  <c r="CB673" i="1"/>
  <c r="CA674" i="1"/>
  <c r="CB674" i="1"/>
  <c r="CA675" i="1"/>
  <c r="CB675" i="1"/>
  <c r="CA676" i="1"/>
  <c r="CB676" i="1"/>
  <c r="CA677" i="1"/>
  <c r="CB677" i="1"/>
  <c r="CA678" i="1"/>
  <c r="CB678" i="1"/>
  <c r="CA679" i="1"/>
  <c r="CB679" i="1"/>
  <c r="CA680" i="1"/>
  <c r="CB680" i="1"/>
  <c r="CA681" i="1"/>
  <c r="CB681" i="1"/>
  <c r="CA682" i="1"/>
  <c r="CB682" i="1"/>
  <c r="CA683" i="1"/>
  <c r="CB683" i="1"/>
  <c r="CA684" i="1"/>
  <c r="CB684" i="1"/>
  <c r="CA685" i="1"/>
  <c r="CB685" i="1"/>
  <c r="CA686" i="1"/>
  <c r="CB686" i="1"/>
  <c r="CA687" i="1"/>
  <c r="CB687" i="1"/>
  <c r="CA688" i="1"/>
  <c r="CB688" i="1"/>
  <c r="CA689" i="1"/>
  <c r="CB689" i="1"/>
  <c r="CA690" i="1"/>
  <c r="CB690" i="1"/>
  <c r="CA691" i="1"/>
  <c r="CB691" i="1"/>
  <c r="CA692" i="1"/>
  <c r="CB692" i="1"/>
  <c r="CA693" i="1"/>
  <c r="CB693" i="1"/>
  <c r="CA694" i="1"/>
  <c r="CB694" i="1"/>
  <c r="CA695" i="1"/>
  <c r="CB695" i="1"/>
  <c r="CA696" i="1"/>
  <c r="CB696" i="1"/>
  <c r="CA697" i="1"/>
  <c r="CB697" i="1"/>
  <c r="CA698" i="1"/>
  <c r="CB698" i="1"/>
  <c r="CA699" i="1"/>
  <c r="CB699" i="1"/>
  <c r="CA700" i="1"/>
  <c r="CB700" i="1"/>
  <c r="CA701" i="1"/>
  <c r="CB701" i="1"/>
  <c r="CA702" i="1"/>
  <c r="CB702" i="1"/>
  <c r="CA703" i="1"/>
  <c r="CB703" i="1"/>
  <c r="CA704" i="1"/>
  <c r="CB704" i="1"/>
  <c r="CA705" i="1"/>
  <c r="CB705" i="1"/>
  <c r="CA706" i="1"/>
  <c r="CB706" i="1"/>
  <c r="CA707" i="1"/>
  <c r="CB707" i="1"/>
  <c r="CA708" i="1"/>
  <c r="CB708" i="1"/>
  <c r="CA709" i="1"/>
  <c r="CB709" i="1"/>
  <c r="CA710" i="1"/>
  <c r="CB710" i="1"/>
  <c r="CA711" i="1"/>
  <c r="CB711" i="1"/>
  <c r="CA712" i="1"/>
  <c r="CB712" i="1"/>
  <c r="CA713" i="1"/>
  <c r="CB713" i="1"/>
  <c r="CA714" i="1"/>
  <c r="CB714" i="1"/>
  <c r="CA715" i="1"/>
  <c r="CB715" i="1"/>
  <c r="CA716" i="1"/>
  <c r="CB716" i="1"/>
  <c r="CA717" i="1"/>
  <c r="CB717" i="1"/>
  <c r="CA718" i="1"/>
  <c r="CB718" i="1"/>
  <c r="CA719" i="1"/>
  <c r="CB719" i="1"/>
  <c r="CA720" i="1"/>
  <c r="CB720" i="1"/>
  <c r="CA721" i="1"/>
  <c r="CB721" i="1"/>
  <c r="CA722" i="1"/>
  <c r="CB722" i="1"/>
  <c r="CA723" i="1"/>
  <c r="CB723" i="1"/>
  <c r="CA724" i="1"/>
  <c r="CB724" i="1"/>
  <c r="CA725" i="1"/>
  <c r="CB725" i="1"/>
  <c r="CA726" i="1"/>
  <c r="CB726" i="1"/>
  <c r="CA727" i="1"/>
  <c r="CB727" i="1"/>
  <c r="CA728" i="1"/>
  <c r="CB728" i="1"/>
  <c r="CA729" i="1"/>
  <c r="CB729" i="1"/>
  <c r="CA730" i="1"/>
  <c r="CB730" i="1"/>
  <c r="CA731" i="1"/>
  <c r="CB731" i="1"/>
  <c r="CA732" i="1"/>
  <c r="CB732" i="1"/>
  <c r="CA733" i="1"/>
  <c r="CB733" i="1"/>
  <c r="CA734" i="1"/>
  <c r="CB734" i="1"/>
  <c r="CA735" i="1"/>
  <c r="CB735" i="1"/>
  <c r="CA736" i="1"/>
  <c r="CB736" i="1"/>
  <c r="CA737" i="1"/>
  <c r="CB737" i="1"/>
  <c r="CA738" i="1"/>
  <c r="CB738" i="1"/>
  <c r="CA739" i="1"/>
  <c r="CB739" i="1"/>
  <c r="CA740" i="1"/>
  <c r="CB740" i="1"/>
  <c r="CA741" i="1"/>
  <c r="CB741" i="1"/>
  <c r="CA742" i="1"/>
  <c r="CB742" i="1"/>
  <c r="CA743" i="1"/>
  <c r="CB743" i="1"/>
  <c r="CA744" i="1"/>
  <c r="CB744" i="1"/>
  <c r="CA745" i="1"/>
  <c r="CB745" i="1"/>
  <c r="CA746" i="1"/>
  <c r="CB746" i="1"/>
  <c r="CA747" i="1"/>
  <c r="CB747" i="1"/>
  <c r="CA748" i="1"/>
  <c r="CB748" i="1"/>
  <c r="CA749" i="1"/>
  <c r="CB749" i="1"/>
  <c r="CA750" i="1"/>
  <c r="CB750" i="1"/>
  <c r="CA751" i="1"/>
  <c r="CB751" i="1"/>
  <c r="CA752" i="1"/>
  <c r="CB752" i="1"/>
  <c r="CA753" i="1"/>
  <c r="CB753" i="1"/>
  <c r="CA754" i="1"/>
  <c r="CB754" i="1"/>
  <c r="CA755" i="1"/>
  <c r="CB755" i="1"/>
  <c r="CA756" i="1"/>
  <c r="CB756" i="1"/>
  <c r="CA757" i="1"/>
  <c r="CB757" i="1"/>
  <c r="CA758" i="1"/>
  <c r="CB758" i="1"/>
  <c r="CA759" i="1"/>
  <c r="CB759" i="1"/>
  <c r="CA760" i="1"/>
  <c r="CB760" i="1"/>
  <c r="CA761" i="1"/>
  <c r="CB761" i="1"/>
  <c r="CA762" i="1"/>
  <c r="CB762" i="1"/>
  <c r="CA763" i="1"/>
  <c r="CB763" i="1"/>
  <c r="CA764" i="1"/>
  <c r="CB764" i="1"/>
  <c r="CA765" i="1"/>
  <c r="CB765" i="1"/>
  <c r="CA766" i="1"/>
  <c r="CB766" i="1"/>
  <c r="CA767" i="1"/>
  <c r="CB767" i="1"/>
  <c r="CA768" i="1"/>
  <c r="CB768" i="1"/>
  <c r="CA769" i="1"/>
  <c r="CB769" i="1"/>
  <c r="CA770" i="1"/>
  <c r="CB770" i="1"/>
  <c r="CA771" i="1"/>
  <c r="CB771" i="1"/>
  <c r="CA772" i="1"/>
  <c r="CB772" i="1"/>
  <c r="CA773" i="1"/>
  <c r="CB773" i="1"/>
  <c r="CA774" i="1"/>
  <c r="CB774" i="1"/>
  <c r="CA775" i="1"/>
  <c r="CB775" i="1"/>
  <c r="CA776" i="1"/>
  <c r="CB776" i="1"/>
  <c r="CA777" i="1"/>
  <c r="CB777" i="1"/>
  <c r="CA778" i="1"/>
  <c r="CB778" i="1"/>
  <c r="CA779" i="1"/>
  <c r="CB779" i="1"/>
  <c r="CA780" i="1"/>
  <c r="CB780" i="1"/>
  <c r="CA781" i="1"/>
  <c r="CB781" i="1"/>
  <c r="CA782" i="1"/>
  <c r="CB782" i="1"/>
  <c r="CA783" i="1"/>
  <c r="CB783" i="1"/>
  <c r="CA784" i="1"/>
  <c r="CB784" i="1"/>
  <c r="CA785" i="1"/>
  <c r="CB785" i="1"/>
  <c r="CA786" i="1"/>
  <c r="CB786" i="1"/>
  <c r="CA787" i="1"/>
  <c r="CB787" i="1"/>
  <c r="CA788" i="1"/>
  <c r="CB788" i="1"/>
  <c r="CA789" i="1"/>
  <c r="CB789" i="1"/>
  <c r="CA790" i="1"/>
  <c r="CB790" i="1"/>
  <c r="CA791" i="1"/>
  <c r="CB791" i="1"/>
  <c r="CA792" i="1"/>
  <c r="CB792" i="1"/>
  <c r="CA793" i="1"/>
  <c r="CB793" i="1"/>
  <c r="CA794" i="1"/>
  <c r="CB794" i="1"/>
  <c r="CA795" i="1"/>
  <c r="CB795" i="1"/>
  <c r="CA796" i="1"/>
  <c r="CB796" i="1"/>
  <c r="CA797" i="1"/>
  <c r="CB797" i="1"/>
  <c r="CA798" i="1"/>
  <c r="CB798" i="1"/>
  <c r="CA799" i="1"/>
  <c r="CB799" i="1"/>
  <c r="CA800" i="1"/>
  <c r="CB800" i="1"/>
  <c r="CA801" i="1"/>
  <c r="CB801" i="1"/>
  <c r="CA802" i="1"/>
  <c r="CB802" i="1"/>
  <c r="CA803" i="1"/>
  <c r="CB803" i="1"/>
  <c r="CA804" i="1"/>
  <c r="CB804" i="1"/>
  <c r="CA805" i="1"/>
  <c r="CB805" i="1"/>
  <c r="CA806" i="1"/>
  <c r="CB806" i="1"/>
  <c r="CA807" i="1"/>
  <c r="CB807" i="1"/>
  <c r="CA808" i="1"/>
  <c r="CB808" i="1"/>
  <c r="CA809" i="1"/>
  <c r="CB809" i="1"/>
  <c r="CA810" i="1"/>
  <c r="CB810" i="1"/>
  <c r="CA811" i="1"/>
  <c r="CB811" i="1"/>
  <c r="CA812" i="1"/>
  <c r="CB812" i="1"/>
  <c r="CA813" i="1"/>
  <c r="CB813" i="1"/>
  <c r="CA814" i="1"/>
  <c r="CB814" i="1"/>
  <c r="CA815" i="1"/>
  <c r="CB815" i="1"/>
  <c r="CA816" i="1"/>
  <c r="CB816" i="1"/>
  <c r="CA817" i="1"/>
  <c r="CB817" i="1"/>
  <c r="CA818" i="1"/>
  <c r="CB818" i="1"/>
  <c r="CA819" i="1"/>
  <c r="CB819" i="1"/>
  <c r="CA820" i="1"/>
  <c r="CB820" i="1"/>
  <c r="CA821" i="1"/>
  <c r="CB821" i="1"/>
  <c r="CA822" i="1"/>
  <c r="CB822" i="1"/>
  <c r="CA823" i="1"/>
  <c r="CB823" i="1"/>
  <c r="CA824" i="1"/>
  <c r="CB824" i="1"/>
  <c r="CA825" i="1"/>
  <c r="CB825" i="1"/>
  <c r="CA826" i="1"/>
  <c r="CB826" i="1"/>
  <c r="CA827" i="1"/>
  <c r="CB827" i="1"/>
  <c r="CA828" i="1"/>
  <c r="CB828" i="1"/>
  <c r="CA829" i="1"/>
  <c r="CB829" i="1"/>
  <c r="CA830" i="1"/>
  <c r="CB830" i="1"/>
  <c r="CA831" i="1"/>
  <c r="CB831" i="1"/>
  <c r="CA832" i="1"/>
  <c r="CB832" i="1"/>
  <c r="CA833" i="1"/>
  <c r="CB833" i="1"/>
  <c r="CA834" i="1"/>
  <c r="CB834" i="1"/>
  <c r="CA835" i="1"/>
  <c r="CB835" i="1"/>
  <c r="CA836" i="1"/>
  <c r="CB836" i="1"/>
  <c r="CA837" i="1"/>
  <c r="CB837" i="1"/>
  <c r="CA838" i="1"/>
  <c r="CB838" i="1"/>
  <c r="CA839" i="1"/>
  <c r="CB839" i="1"/>
  <c r="CA840" i="1"/>
  <c r="CB840" i="1"/>
  <c r="CA841" i="1"/>
  <c r="CB841" i="1"/>
  <c r="CA842" i="1"/>
  <c r="CB842" i="1"/>
  <c r="CA843" i="1"/>
  <c r="CB843" i="1"/>
  <c r="CA844" i="1"/>
  <c r="CB844" i="1"/>
  <c r="CA845" i="1"/>
  <c r="CB845" i="1"/>
  <c r="CA846" i="1"/>
  <c r="CB846" i="1"/>
  <c r="CA847" i="1"/>
  <c r="CB847" i="1"/>
  <c r="CA848" i="1"/>
  <c r="CB848" i="1"/>
  <c r="CA849" i="1"/>
  <c r="CB849" i="1"/>
  <c r="CA850" i="1"/>
  <c r="CB850" i="1"/>
  <c r="CA851" i="1"/>
  <c r="CB851" i="1"/>
  <c r="CA852" i="1"/>
  <c r="CB852" i="1"/>
  <c r="CA853" i="1"/>
  <c r="CB853" i="1"/>
  <c r="CA854" i="1"/>
  <c r="CB854" i="1"/>
  <c r="CA855" i="1"/>
  <c r="CB855" i="1"/>
  <c r="CA856" i="1"/>
  <c r="CB856" i="1"/>
  <c r="CA857" i="1"/>
  <c r="CB857" i="1"/>
  <c r="CA858" i="1"/>
  <c r="CB858" i="1"/>
  <c r="CA859" i="1"/>
  <c r="CB859" i="1"/>
  <c r="CA860" i="1"/>
  <c r="CB860" i="1"/>
  <c r="CA861" i="1"/>
  <c r="CB861" i="1"/>
  <c r="CA862" i="1"/>
  <c r="CB862" i="1"/>
  <c r="CA863" i="1"/>
  <c r="CB863" i="1"/>
  <c r="CA864" i="1"/>
  <c r="CB864" i="1"/>
  <c r="CA865" i="1"/>
  <c r="CB865" i="1"/>
  <c r="CA866" i="1"/>
  <c r="CB866" i="1"/>
  <c r="CA867" i="1"/>
  <c r="CB867" i="1"/>
  <c r="CA868" i="1"/>
  <c r="CB868" i="1"/>
  <c r="CA869" i="1"/>
  <c r="CB869" i="1"/>
  <c r="CA870" i="1"/>
  <c r="CB870" i="1"/>
  <c r="CA871" i="1"/>
  <c r="CB871" i="1"/>
  <c r="CA872" i="1"/>
  <c r="CB872" i="1"/>
  <c r="CA873" i="1"/>
  <c r="CB873" i="1"/>
  <c r="CA874" i="1"/>
  <c r="CB874" i="1"/>
  <c r="CA875" i="1"/>
  <c r="CB875" i="1"/>
  <c r="CA876" i="1"/>
  <c r="CB876" i="1"/>
  <c r="CA877" i="1"/>
  <c r="CB877" i="1"/>
  <c r="CA878" i="1"/>
  <c r="CB878" i="1"/>
  <c r="CA879" i="1"/>
  <c r="CB879" i="1"/>
  <c r="CA880" i="1"/>
  <c r="CB880" i="1"/>
  <c r="CA881" i="1"/>
  <c r="CB881" i="1"/>
  <c r="CA882" i="1"/>
  <c r="CB882" i="1"/>
  <c r="CA883" i="1"/>
  <c r="CB883" i="1"/>
  <c r="CA884" i="1"/>
  <c r="CB884" i="1"/>
  <c r="CA885" i="1"/>
  <c r="CB885" i="1"/>
  <c r="CA886" i="1"/>
  <c r="CB886" i="1"/>
  <c r="CA887" i="1"/>
  <c r="CB887" i="1"/>
  <c r="CA888" i="1"/>
  <c r="CB888" i="1"/>
  <c r="CA889" i="1"/>
  <c r="CB889" i="1"/>
  <c r="CA890" i="1"/>
  <c r="CB890" i="1"/>
  <c r="CA891" i="1"/>
  <c r="CB891" i="1"/>
  <c r="CA892" i="1"/>
  <c r="CB892" i="1"/>
  <c r="CA893" i="1"/>
  <c r="CB893" i="1"/>
  <c r="CA894" i="1"/>
  <c r="CB894" i="1"/>
  <c r="CA895" i="1"/>
  <c r="CB895" i="1"/>
  <c r="CA896" i="1"/>
  <c r="CB896" i="1"/>
  <c r="CA897" i="1"/>
  <c r="CB897" i="1"/>
  <c r="CA898" i="1"/>
  <c r="CB898" i="1"/>
  <c r="CA899" i="1"/>
  <c r="CB899" i="1"/>
  <c r="CA900" i="1"/>
  <c r="CB900" i="1"/>
  <c r="CA901" i="1"/>
  <c r="CB901" i="1"/>
  <c r="CA902" i="1"/>
  <c r="CB902" i="1"/>
  <c r="CA903" i="1"/>
  <c r="CB903" i="1"/>
  <c r="CA904" i="1"/>
  <c r="CB904" i="1"/>
  <c r="CA905" i="1"/>
  <c r="CB905" i="1"/>
  <c r="CA906" i="1"/>
  <c r="CB906" i="1"/>
  <c r="CA907" i="1"/>
  <c r="CB907" i="1"/>
  <c r="CA908" i="1"/>
  <c r="CB908" i="1"/>
  <c r="CA909" i="1"/>
  <c r="CB909" i="1"/>
  <c r="CA910" i="1"/>
  <c r="CB910" i="1"/>
  <c r="CA911" i="1"/>
  <c r="CB911" i="1"/>
  <c r="CA912" i="1"/>
  <c r="CB912" i="1"/>
  <c r="CA913" i="1"/>
  <c r="CB913" i="1"/>
  <c r="CA914" i="1"/>
  <c r="CB914" i="1"/>
  <c r="CA915" i="1"/>
  <c r="CB915" i="1"/>
  <c r="CA916" i="1"/>
  <c r="CB916" i="1"/>
  <c r="CA917" i="1"/>
  <c r="CB917" i="1"/>
  <c r="CA918" i="1"/>
  <c r="CB918" i="1"/>
  <c r="CA919" i="1"/>
  <c r="CB919" i="1"/>
  <c r="CA920" i="1"/>
  <c r="CB920" i="1"/>
  <c r="CA921" i="1"/>
  <c r="CB921" i="1"/>
  <c r="CA922" i="1"/>
  <c r="CB922" i="1"/>
  <c r="CA923" i="1"/>
  <c r="CB923" i="1"/>
  <c r="CA924" i="1"/>
  <c r="CB924" i="1"/>
  <c r="CA925" i="1"/>
  <c r="CB925" i="1"/>
  <c r="CA926" i="1"/>
  <c r="CB926" i="1"/>
  <c r="CA927" i="1"/>
  <c r="CB927" i="1"/>
  <c r="CA928" i="1"/>
  <c r="CB928" i="1"/>
  <c r="CA929" i="1"/>
  <c r="CB929" i="1"/>
  <c r="CA930" i="1"/>
  <c r="CB930" i="1"/>
  <c r="CA931" i="1"/>
  <c r="CB931" i="1"/>
  <c r="CA932" i="1"/>
  <c r="CB932" i="1"/>
  <c r="CA933" i="1"/>
  <c r="CB933" i="1"/>
  <c r="CA934" i="1"/>
  <c r="CB934" i="1"/>
  <c r="CA935" i="1"/>
  <c r="CB935" i="1"/>
  <c r="CA936" i="1"/>
  <c r="CB936" i="1"/>
  <c r="CA937" i="1"/>
  <c r="CB937" i="1"/>
  <c r="CA938" i="1"/>
  <c r="CB938" i="1"/>
  <c r="CA939" i="1"/>
  <c r="CB939" i="1"/>
  <c r="CA940" i="1"/>
  <c r="CB940" i="1"/>
  <c r="CA941" i="1"/>
  <c r="CB941" i="1"/>
  <c r="CA942" i="1"/>
  <c r="CB942" i="1"/>
  <c r="CA943" i="1"/>
  <c r="CB943" i="1"/>
  <c r="CA944" i="1"/>
  <c r="CB944" i="1"/>
  <c r="CA945" i="1"/>
  <c r="CB945" i="1"/>
  <c r="CA946" i="1"/>
  <c r="CB946" i="1"/>
  <c r="CA947" i="1"/>
  <c r="CB947" i="1"/>
  <c r="CA948" i="1"/>
  <c r="CB948" i="1"/>
  <c r="CA949" i="1"/>
  <c r="CB949" i="1"/>
  <c r="CA950" i="1"/>
  <c r="CB950" i="1"/>
  <c r="CA951" i="1"/>
  <c r="CB951" i="1"/>
  <c r="CA952" i="1"/>
  <c r="CB952" i="1"/>
  <c r="CA953" i="1"/>
  <c r="CB953" i="1"/>
  <c r="CA954" i="1"/>
  <c r="CB954" i="1"/>
  <c r="CA955" i="1"/>
  <c r="CB955" i="1"/>
  <c r="CA956" i="1"/>
  <c r="CB956" i="1"/>
  <c r="CA957" i="1"/>
  <c r="CB957" i="1"/>
  <c r="CA958" i="1"/>
  <c r="CB958" i="1"/>
  <c r="CA959" i="1"/>
  <c r="CB959" i="1"/>
  <c r="CA960" i="1"/>
  <c r="CB960" i="1"/>
  <c r="CA961" i="1"/>
  <c r="CB961" i="1"/>
  <c r="CA962" i="1"/>
  <c r="CB962" i="1"/>
  <c r="CA963" i="1"/>
  <c r="CB963" i="1"/>
  <c r="CA964" i="1"/>
  <c r="CB964" i="1"/>
  <c r="CA965" i="1"/>
  <c r="CB965" i="1"/>
  <c r="CA966" i="1"/>
  <c r="CB966" i="1"/>
  <c r="CA967" i="1"/>
  <c r="CB967" i="1"/>
  <c r="CA968" i="1"/>
  <c r="CB968" i="1"/>
  <c r="CA969" i="1"/>
  <c r="CB969" i="1"/>
  <c r="CA970" i="1"/>
  <c r="CB970" i="1"/>
  <c r="CA971" i="1"/>
  <c r="CB971" i="1"/>
  <c r="CA972" i="1"/>
  <c r="CB972" i="1"/>
  <c r="CA973" i="1"/>
  <c r="CB973" i="1"/>
  <c r="CA974" i="1"/>
  <c r="CB974" i="1"/>
  <c r="CA975" i="1"/>
  <c r="CB975" i="1"/>
  <c r="CA976" i="1"/>
  <c r="CB976" i="1"/>
  <c r="CA977" i="1"/>
  <c r="CB977" i="1"/>
  <c r="CA978" i="1"/>
  <c r="CB978" i="1"/>
  <c r="CA979" i="1"/>
  <c r="CB979" i="1"/>
  <c r="CA980" i="1"/>
  <c r="CB980" i="1"/>
  <c r="CA981" i="1"/>
  <c r="CB981" i="1"/>
  <c r="CA982" i="1"/>
  <c r="CB982" i="1"/>
  <c r="CA983" i="1"/>
  <c r="CB983" i="1"/>
  <c r="CA984" i="1"/>
  <c r="CB984" i="1"/>
  <c r="CA985" i="1"/>
  <c r="CB985" i="1"/>
  <c r="CA986" i="1"/>
  <c r="CB986" i="1"/>
  <c r="CA987" i="1"/>
  <c r="CB987" i="1"/>
  <c r="CA988" i="1"/>
  <c r="CB988" i="1"/>
  <c r="CA989" i="1"/>
  <c r="CB989" i="1"/>
  <c r="CA990" i="1"/>
  <c r="CB990" i="1"/>
  <c r="CA991" i="1"/>
  <c r="CB991" i="1"/>
  <c r="CA992" i="1"/>
  <c r="CB992" i="1"/>
  <c r="CA993" i="1"/>
  <c r="CB993" i="1"/>
  <c r="CA994" i="1"/>
  <c r="CB994" i="1"/>
  <c r="CA995" i="1"/>
  <c r="CB995" i="1"/>
  <c r="CA996" i="1"/>
  <c r="CB996" i="1"/>
  <c r="CA997" i="1"/>
  <c r="CB997" i="1"/>
  <c r="CA998" i="1"/>
  <c r="CB998" i="1"/>
  <c r="CA999" i="1"/>
  <c r="CB999" i="1"/>
  <c r="CA1000" i="1"/>
  <c r="CB1000" i="1"/>
  <c r="CA1001" i="1"/>
  <c r="CB1001" i="1"/>
  <c r="CB2" i="1"/>
  <c r="CA2" i="1"/>
  <c r="DE3" i="1"/>
  <c r="DE2" i="1"/>
  <c r="DF2" i="1"/>
  <c r="DG2" i="1"/>
  <c r="DH2" i="1"/>
  <c r="DI2" i="1"/>
  <c r="DJ2" i="1"/>
  <c r="DK2" i="1"/>
  <c r="DL2" i="1"/>
  <c r="DM2" i="1"/>
  <c r="DN2" i="1"/>
  <c r="DO2" i="1"/>
  <c r="DF3" i="1"/>
  <c r="DG3" i="1"/>
  <c r="DH3" i="1"/>
  <c r="DI3" i="1"/>
  <c r="DJ3" i="1"/>
  <c r="DK3" i="1"/>
  <c r="DL3" i="1"/>
  <c r="DM3" i="1"/>
  <c r="DN3" i="1"/>
  <c r="DE4" i="1"/>
  <c r="DF4" i="1"/>
  <c r="DG4" i="1"/>
  <c r="DH4" i="1"/>
  <c r="DI4" i="1"/>
  <c r="DJ4" i="1"/>
  <c r="DK4" i="1"/>
  <c r="DL4" i="1"/>
  <c r="DM4" i="1"/>
  <c r="DN4" i="1"/>
  <c r="DE5" i="1"/>
  <c r="DF5" i="1"/>
  <c r="DG5" i="1"/>
  <c r="DH5" i="1"/>
  <c r="DI5" i="1"/>
  <c r="DJ5" i="1"/>
  <c r="DK5" i="1"/>
  <c r="DL5" i="1"/>
  <c r="DM5" i="1"/>
  <c r="DN5" i="1"/>
  <c r="DE6" i="1"/>
  <c r="DF6" i="1"/>
  <c r="DG6" i="1"/>
  <c r="DH6" i="1"/>
  <c r="DI6" i="1"/>
  <c r="DJ6" i="1"/>
  <c r="DK6" i="1"/>
  <c r="DL6" i="1"/>
  <c r="DM6" i="1"/>
  <c r="DN6" i="1"/>
  <c r="DE7" i="1"/>
  <c r="DF7" i="1"/>
  <c r="DG7" i="1"/>
  <c r="DH7" i="1"/>
  <c r="DI7" i="1"/>
  <c r="DJ7" i="1"/>
  <c r="DK7" i="1"/>
  <c r="DL7" i="1"/>
  <c r="DM7" i="1"/>
  <c r="DN7" i="1"/>
  <c r="DE8" i="1"/>
  <c r="DF8" i="1"/>
  <c r="DG8" i="1"/>
  <c r="DH8" i="1"/>
  <c r="DI8" i="1"/>
  <c r="DJ8" i="1"/>
  <c r="DK8" i="1"/>
  <c r="DL8" i="1"/>
  <c r="DM8" i="1"/>
  <c r="DN8" i="1"/>
  <c r="DE9" i="1"/>
  <c r="DF9" i="1"/>
  <c r="DG9" i="1"/>
  <c r="DH9" i="1"/>
  <c r="DI9" i="1"/>
  <c r="DJ9" i="1"/>
  <c r="DK9" i="1"/>
  <c r="DL9" i="1"/>
  <c r="DM9" i="1"/>
  <c r="DN9" i="1"/>
  <c r="DE10" i="1"/>
  <c r="DF10" i="1"/>
  <c r="DG10" i="1"/>
  <c r="DH10" i="1"/>
  <c r="DI10" i="1"/>
  <c r="DJ10" i="1"/>
  <c r="DK10" i="1"/>
  <c r="DL10" i="1"/>
  <c r="DM10" i="1"/>
  <c r="DN10" i="1"/>
  <c r="DE11" i="1"/>
  <c r="DF11" i="1"/>
  <c r="DG11" i="1"/>
  <c r="DH11" i="1"/>
  <c r="DI11" i="1"/>
  <c r="DJ11" i="1"/>
  <c r="DK11" i="1"/>
  <c r="DL11" i="1"/>
  <c r="DM11" i="1"/>
  <c r="DN11" i="1"/>
  <c r="DE12" i="1"/>
  <c r="DF12" i="1"/>
  <c r="DG12" i="1"/>
  <c r="DH12" i="1"/>
  <c r="DI12" i="1"/>
  <c r="DJ12" i="1"/>
  <c r="DK12" i="1"/>
  <c r="DL12" i="1"/>
  <c r="DM12" i="1"/>
  <c r="DN12" i="1"/>
  <c r="DE13" i="1"/>
  <c r="DF13" i="1"/>
  <c r="DG13" i="1"/>
  <c r="DH13" i="1"/>
  <c r="DI13" i="1"/>
  <c r="DJ13" i="1"/>
  <c r="DK13" i="1"/>
  <c r="DL13" i="1"/>
  <c r="DM13" i="1"/>
  <c r="DN13" i="1"/>
  <c r="DD2" i="1"/>
  <c r="DD3" i="1"/>
  <c r="DD4" i="1"/>
  <c r="DD5" i="1"/>
  <c r="DD6" i="1"/>
  <c r="DD7" i="1"/>
  <c r="DD8" i="1"/>
  <c r="DD9" i="1"/>
  <c r="DD10" i="1"/>
  <c r="DD11" i="1"/>
  <c r="DD12" i="1"/>
  <c r="DD13" i="1"/>
  <c r="DC3" i="1"/>
  <c r="DC4" i="1"/>
  <c r="DC5" i="1"/>
  <c r="DC6" i="1"/>
  <c r="DC7" i="1"/>
  <c r="DC8" i="1"/>
  <c r="DC9" i="1"/>
  <c r="DC10" i="1"/>
  <c r="DC11" i="1"/>
  <c r="DC12" i="1"/>
  <c r="DC13" i="1"/>
  <c r="DC2" i="1"/>
  <c r="BV3" i="1"/>
  <c r="BV4" i="1"/>
  <c r="BV5" i="1"/>
  <c r="BV6" i="1"/>
  <c r="BV7" i="1"/>
  <c r="BV8" i="1"/>
  <c r="BV9" i="1"/>
  <c r="BV10" i="1"/>
  <c r="BV11" i="1"/>
  <c r="BV12" i="1"/>
  <c r="BV13" i="1"/>
  <c r="BV14" i="1"/>
  <c r="BV15" i="1"/>
  <c r="BV16" i="1"/>
  <c r="BV17" i="1"/>
  <c r="BV18" i="1"/>
  <c r="BV19" i="1"/>
  <c r="BV20" i="1"/>
  <c r="BV21" i="1"/>
  <c r="BV22" i="1"/>
  <c r="BV23" i="1"/>
  <c r="BV24" i="1"/>
  <c r="BV25" i="1"/>
  <c r="BV26" i="1"/>
  <c r="BV27" i="1"/>
  <c r="BV28" i="1"/>
  <c r="BV29" i="1"/>
  <c r="BV30" i="1"/>
  <c r="BV31" i="1"/>
  <c r="BV32" i="1"/>
  <c r="BV33" i="1"/>
  <c r="BV34" i="1"/>
  <c r="BV35" i="1"/>
  <c r="BV36" i="1"/>
  <c r="BV37" i="1"/>
  <c r="BV38" i="1"/>
  <c r="BV39" i="1"/>
  <c r="BV40" i="1"/>
  <c r="BV41" i="1"/>
  <c r="BV42" i="1"/>
  <c r="BV43" i="1"/>
  <c r="BV44" i="1"/>
  <c r="BV45" i="1"/>
  <c r="BV46" i="1"/>
  <c r="BV47" i="1"/>
  <c r="BV48" i="1"/>
  <c r="BV49" i="1"/>
  <c r="BV50" i="1"/>
  <c r="BV51" i="1"/>
  <c r="BV52" i="1"/>
  <c r="BV53" i="1"/>
  <c r="BV54" i="1"/>
  <c r="BV55" i="1"/>
  <c r="BV56" i="1"/>
  <c r="BV57" i="1"/>
  <c r="BV58" i="1"/>
  <c r="BV59" i="1"/>
  <c r="BV60" i="1"/>
  <c r="BV61" i="1"/>
  <c r="BV62" i="1"/>
  <c r="BV63" i="1"/>
  <c r="BV64" i="1"/>
  <c r="BV65" i="1"/>
  <c r="BV66" i="1"/>
  <c r="BV67" i="1"/>
  <c r="BV68" i="1"/>
  <c r="BV69" i="1"/>
  <c r="BV70" i="1"/>
  <c r="BV71" i="1"/>
  <c r="BV72" i="1"/>
  <c r="BV73" i="1"/>
  <c r="BV74" i="1"/>
  <c r="BV75" i="1"/>
  <c r="BV76" i="1"/>
  <c r="BV77" i="1"/>
  <c r="BV78" i="1"/>
  <c r="BV79" i="1"/>
  <c r="BV80" i="1"/>
  <c r="BV81" i="1"/>
  <c r="BV82" i="1"/>
  <c r="BV83" i="1"/>
  <c r="BV84" i="1"/>
  <c r="BV85" i="1"/>
  <c r="BV86" i="1"/>
  <c r="BV87" i="1"/>
  <c r="BV88" i="1"/>
  <c r="BV89" i="1"/>
  <c r="BV90" i="1"/>
  <c r="BV91" i="1"/>
  <c r="BV92" i="1"/>
  <c r="BV93" i="1"/>
  <c r="BV94" i="1"/>
  <c r="BV95" i="1"/>
  <c r="BV96" i="1"/>
  <c r="BV97" i="1"/>
  <c r="BV98" i="1"/>
  <c r="BV99" i="1"/>
  <c r="BV100" i="1"/>
  <c r="BV101" i="1"/>
  <c r="BV102" i="1"/>
  <c r="BV103" i="1"/>
  <c r="BV104" i="1"/>
  <c r="BV105" i="1"/>
  <c r="BV106" i="1"/>
  <c r="BV107" i="1"/>
  <c r="BV108" i="1"/>
  <c r="BV109" i="1"/>
  <c r="BV110" i="1"/>
  <c r="BV111" i="1"/>
  <c r="BV112" i="1"/>
  <c r="BV113" i="1"/>
  <c r="BV114" i="1"/>
  <c r="BV115" i="1"/>
  <c r="BV116" i="1"/>
  <c r="BV117" i="1"/>
  <c r="BV118" i="1"/>
  <c r="BV119" i="1"/>
  <c r="BV120" i="1"/>
  <c r="BV121" i="1"/>
  <c r="BV122" i="1"/>
  <c r="BV123" i="1"/>
  <c r="BV124" i="1"/>
  <c r="BV125" i="1"/>
  <c r="BV126" i="1"/>
  <c r="BV127" i="1"/>
  <c r="BV128" i="1"/>
  <c r="BV129" i="1"/>
  <c r="BV130" i="1"/>
  <c r="BV131" i="1"/>
  <c r="BV132" i="1"/>
  <c r="BV133" i="1"/>
  <c r="BV134" i="1"/>
  <c r="BV135" i="1"/>
  <c r="BV136" i="1"/>
  <c r="BV137" i="1"/>
  <c r="BV138" i="1"/>
  <c r="BV139" i="1"/>
  <c r="BV140" i="1"/>
  <c r="BV141" i="1"/>
  <c r="BV142" i="1"/>
  <c r="BV143" i="1"/>
  <c r="BV144" i="1"/>
  <c r="BV145" i="1"/>
  <c r="BV146" i="1"/>
  <c r="BV147" i="1"/>
  <c r="BV148" i="1"/>
  <c r="BV149" i="1"/>
  <c r="BV150" i="1"/>
  <c r="BV151" i="1"/>
  <c r="BV152" i="1"/>
  <c r="BV153" i="1"/>
  <c r="BV154" i="1"/>
  <c r="BV155" i="1"/>
  <c r="BV156" i="1"/>
  <c r="BV157" i="1"/>
  <c r="BV158" i="1"/>
  <c r="BV159" i="1"/>
  <c r="BV160" i="1"/>
  <c r="BV161" i="1"/>
  <c r="BV162" i="1"/>
  <c r="BV163" i="1"/>
  <c r="BV164" i="1"/>
  <c r="BV165" i="1"/>
  <c r="BV166" i="1"/>
  <c r="BV167" i="1"/>
  <c r="BV168" i="1"/>
  <c r="BV169" i="1"/>
  <c r="BV170" i="1"/>
  <c r="BV171" i="1"/>
  <c r="BV172" i="1"/>
  <c r="BV173" i="1"/>
  <c r="BV174" i="1"/>
  <c r="BV175" i="1"/>
  <c r="BV176" i="1"/>
  <c r="BV177" i="1"/>
  <c r="BV178" i="1"/>
  <c r="BV179" i="1"/>
  <c r="BV180" i="1"/>
  <c r="BV181" i="1"/>
  <c r="BV182" i="1"/>
  <c r="BV183" i="1"/>
  <c r="BV184" i="1"/>
  <c r="BV185" i="1"/>
  <c r="BV186" i="1"/>
  <c r="BV187" i="1"/>
  <c r="BV188" i="1"/>
  <c r="BV189" i="1"/>
  <c r="BV190" i="1"/>
  <c r="BV191" i="1"/>
  <c r="BV192" i="1"/>
  <c r="BV193" i="1"/>
  <c r="BV194" i="1"/>
  <c r="BV195" i="1"/>
  <c r="BV196" i="1"/>
  <c r="BV197" i="1"/>
  <c r="BV198" i="1"/>
  <c r="BV199" i="1"/>
  <c r="BV200" i="1"/>
  <c r="BV201" i="1"/>
  <c r="BV202" i="1"/>
  <c r="BV203" i="1"/>
  <c r="BV204" i="1"/>
  <c r="BV205" i="1"/>
  <c r="BV206" i="1"/>
  <c r="BV207" i="1"/>
  <c r="BV208" i="1"/>
  <c r="BV209" i="1"/>
  <c r="BV210" i="1"/>
  <c r="BV211" i="1"/>
  <c r="BV212" i="1"/>
  <c r="BV213" i="1"/>
  <c r="BV214" i="1"/>
  <c r="BV215" i="1"/>
  <c r="BV216" i="1"/>
  <c r="BV217" i="1"/>
  <c r="BV218" i="1"/>
  <c r="BV219" i="1"/>
  <c r="BV220" i="1"/>
  <c r="BV221" i="1"/>
  <c r="BV222" i="1"/>
  <c r="BV223" i="1"/>
  <c r="BV224" i="1"/>
  <c r="BV225" i="1"/>
  <c r="BV226" i="1"/>
  <c r="BV227" i="1"/>
  <c r="BV228" i="1"/>
  <c r="BV229" i="1"/>
  <c r="BV230" i="1"/>
  <c r="BV231" i="1"/>
  <c r="BV232" i="1"/>
  <c r="BV233" i="1"/>
  <c r="BV234" i="1"/>
  <c r="BV235" i="1"/>
  <c r="BV236" i="1"/>
  <c r="BV237" i="1"/>
  <c r="BV238" i="1"/>
  <c r="BV239" i="1"/>
  <c r="BV240" i="1"/>
  <c r="BV241" i="1"/>
  <c r="BV242" i="1"/>
  <c r="BV243" i="1"/>
  <c r="BV244" i="1"/>
  <c r="BV245" i="1"/>
  <c r="BV246" i="1"/>
  <c r="BV247" i="1"/>
  <c r="BV248" i="1"/>
  <c r="BV249" i="1"/>
  <c r="BV250" i="1"/>
  <c r="BV251" i="1"/>
  <c r="BV252" i="1"/>
  <c r="BV253" i="1"/>
  <c r="BV254" i="1"/>
  <c r="BV255" i="1"/>
  <c r="BV256" i="1"/>
  <c r="BV257" i="1"/>
  <c r="BV258" i="1"/>
  <c r="BV259" i="1"/>
  <c r="BV260" i="1"/>
  <c r="BV261" i="1"/>
  <c r="BV262" i="1"/>
  <c r="BV263" i="1"/>
  <c r="BV264" i="1"/>
  <c r="BV265" i="1"/>
  <c r="BV266" i="1"/>
  <c r="BV267" i="1"/>
  <c r="BV268" i="1"/>
  <c r="BV269" i="1"/>
  <c r="BV270" i="1"/>
  <c r="BV271" i="1"/>
  <c r="BV272" i="1"/>
  <c r="BV273" i="1"/>
  <c r="BV274" i="1"/>
  <c r="BV275" i="1"/>
  <c r="BV276" i="1"/>
  <c r="BV277" i="1"/>
  <c r="BV278" i="1"/>
  <c r="BV279" i="1"/>
  <c r="BV280" i="1"/>
  <c r="BV281" i="1"/>
  <c r="BV282" i="1"/>
  <c r="BV283" i="1"/>
  <c r="BV284" i="1"/>
  <c r="BV285" i="1"/>
  <c r="BV286" i="1"/>
  <c r="BV287" i="1"/>
  <c r="BV288" i="1"/>
  <c r="BV289" i="1"/>
  <c r="BV290" i="1"/>
  <c r="BV291" i="1"/>
  <c r="BV292" i="1"/>
  <c r="BV293" i="1"/>
  <c r="BV294" i="1"/>
  <c r="BV295" i="1"/>
  <c r="BV296" i="1"/>
  <c r="BV297" i="1"/>
  <c r="BV298" i="1"/>
  <c r="BV299" i="1"/>
  <c r="BV300" i="1"/>
  <c r="BV301" i="1"/>
  <c r="BV302" i="1"/>
  <c r="BV303" i="1"/>
  <c r="BV304" i="1"/>
  <c r="BV305" i="1"/>
  <c r="BV306" i="1"/>
  <c r="BV307" i="1"/>
  <c r="BV308" i="1"/>
  <c r="BV309" i="1"/>
  <c r="BV310" i="1"/>
  <c r="BV311" i="1"/>
  <c r="BV312" i="1"/>
  <c r="BV313" i="1"/>
  <c r="BV314" i="1"/>
  <c r="BV315" i="1"/>
  <c r="BV316" i="1"/>
  <c r="BV317" i="1"/>
  <c r="BV318" i="1"/>
  <c r="BV319" i="1"/>
  <c r="BV320" i="1"/>
  <c r="BV321" i="1"/>
  <c r="BV322" i="1"/>
  <c r="BV323" i="1"/>
  <c r="BV324" i="1"/>
  <c r="BV325" i="1"/>
  <c r="BV326" i="1"/>
  <c r="BV327" i="1"/>
  <c r="BV328" i="1"/>
  <c r="BV329" i="1"/>
  <c r="BV330" i="1"/>
  <c r="BV331" i="1"/>
  <c r="BV332" i="1"/>
  <c r="BV333" i="1"/>
  <c r="BV334" i="1"/>
  <c r="BV335" i="1"/>
  <c r="BV336" i="1"/>
  <c r="BV337" i="1"/>
  <c r="BV338" i="1"/>
  <c r="BV339" i="1"/>
  <c r="BV340" i="1"/>
  <c r="BV341" i="1"/>
  <c r="BV342" i="1"/>
  <c r="BV343" i="1"/>
  <c r="BV344" i="1"/>
  <c r="BV345" i="1"/>
  <c r="BV346" i="1"/>
  <c r="BV347" i="1"/>
  <c r="BV348" i="1"/>
  <c r="BV349" i="1"/>
  <c r="BV350" i="1"/>
  <c r="BV351" i="1"/>
  <c r="BV352" i="1"/>
  <c r="BV353" i="1"/>
  <c r="BV354" i="1"/>
  <c r="BV355" i="1"/>
  <c r="BV356" i="1"/>
  <c r="BV357" i="1"/>
  <c r="BV358" i="1"/>
  <c r="BV359" i="1"/>
  <c r="BV360" i="1"/>
  <c r="BV361" i="1"/>
  <c r="BV362" i="1"/>
  <c r="BV363" i="1"/>
  <c r="BV364" i="1"/>
  <c r="BV365" i="1"/>
  <c r="BV366" i="1"/>
  <c r="BV367" i="1"/>
  <c r="BV368" i="1"/>
  <c r="BV369" i="1"/>
  <c r="BV370" i="1"/>
  <c r="BV371" i="1"/>
  <c r="BV372" i="1"/>
  <c r="BV373" i="1"/>
  <c r="BV374" i="1"/>
  <c r="BV375" i="1"/>
  <c r="BV376" i="1"/>
  <c r="BV377" i="1"/>
  <c r="BV378" i="1"/>
  <c r="BV379" i="1"/>
  <c r="BV380" i="1"/>
  <c r="BV381" i="1"/>
  <c r="BV382" i="1"/>
  <c r="BV383" i="1"/>
  <c r="BV384" i="1"/>
  <c r="BV385" i="1"/>
  <c r="BV386" i="1"/>
  <c r="BV387" i="1"/>
  <c r="BV388" i="1"/>
  <c r="BV389" i="1"/>
  <c r="BV390" i="1"/>
  <c r="BV391" i="1"/>
  <c r="BV392" i="1"/>
  <c r="BV393" i="1"/>
  <c r="BV394" i="1"/>
  <c r="BV395" i="1"/>
  <c r="BV396" i="1"/>
  <c r="BV397" i="1"/>
  <c r="BV398" i="1"/>
  <c r="BV399" i="1"/>
  <c r="BV400" i="1"/>
  <c r="BV401" i="1"/>
  <c r="BV402" i="1"/>
  <c r="BV403" i="1"/>
  <c r="BV404" i="1"/>
  <c r="BV405" i="1"/>
  <c r="BV406" i="1"/>
  <c r="BV407" i="1"/>
  <c r="BV408" i="1"/>
  <c r="BV409" i="1"/>
  <c r="BV410" i="1"/>
  <c r="BV411" i="1"/>
  <c r="BV412" i="1"/>
  <c r="BV413" i="1"/>
  <c r="BV414" i="1"/>
  <c r="BV415" i="1"/>
  <c r="BV416" i="1"/>
  <c r="BV417" i="1"/>
  <c r="BV418" i="1"/>
  <c r="BV419" i="1"/>
  <c r="BV420" i="1"/>
  <c r="BV421" i="1"/>
  <c r="BV422" i="1"/>
  <c r="BV423" i="1"/>
  <c r="BV424" i="1"/>
  <c r="BV425" i="1"/>
  <c r="BV426" i="1"/>
  <c r="BV427" i="1"/>
  <c r="BV428" i="1"/>
  <c r="BV429" i="1"/>
  <c r="BV430" i="1"/>
  <c r="BV431" i="1"/>
  <c r="BV432" i="1"/>
  <c r="BV433" i="1"/>
  <c r="BV434" i="1"/>
  <c r="BV435" i="1"/>
  <c r="BV436" i="1"/>
  <c r="BV437" i="1"/>
  <c r="BV438" i="1"/>
  <c r="BV439" i="1"/>
  <c r="BV440" i="1"/>
  <c r="BV441" i="1"/>
  <c r="BV442" i="1"/>
  <c r="BV443" i="1"/>
  <c r="BV444" i="1"/>
  <c r="BV445" i="1"/>
  <c r="BV446" i="1"/>
  <c r="BV447" i="1"/>
  <c r="BV448" i="1"/>
  <c r="BV449" i="1"/>
  <c r="BV450" i="1"/>
  <c r="BV451" i="1"/>
  <c r="BV452" i="1"/>
  <c r="BV453" i="1"/>
  <c r="BV454" i="1"/>
  <c r="BV455" i="1"/>
  <c r="BV456" i="1"/>
  <c r="BV457" i="1"/>
  <c r="BV458" i="1"/>
  <c r="BV459" i="1"/>
  <c r="BV460" i="1"/>
  <c r="BV461" i="1"/>
  <c r="BV462" i="1"/>
  <c r="BV463" i="1"/>
  <c r="BV464" i="1"/>
  <c r="BV465" i="1"/>
  <c r="BV466" i="1"/>
  <c r="BV467" i="1"/>
  <c r="BV468" i="1"/>
  <c r="BV469" i="1"/>
  <c r="BV470" i="1"/>
  <c r="BV471" i="1"/>
  <c r="BV472" i="1"/>
  <c r="BV473" i="1"/>
  <c r="BV474" i="1"/>
  <c r="BV475" i="1"/>
  <c r="BV476" i="1"/>
  <c r="BV477" i="1"/>
  <c r="BV478" i="1"/>
  <c r="BV479" i="1"/>
  <c r="BV480" i="1"/>
  <c r="BV481" i="1"/>
  <c r="BV482" i="1"/>
  <c r="BV483" i="1"/>
  <c r="BV484" i="1"/>
  <c r="BV485" i="1"/>
  <c r="BV486" i="1"/>
  <c r="BV487" i="1"/>
  <c r="BV488" i="1"/>
  <c r="BV489" i="1"/>
  <c r="BV490" i="1"/>
  <c r="BV491" i="1"/>
  <c r="BV492" i="1"/>
  <c r="BV493" i="1"/>
  <c r="BV494" i="1"/>
  <c r="BV495" i="1"/>
  <c r="BV496" i="1"/>
  <c r="BV497" i="1"/>
  <c r="BV498" i="1"/>
  <c r="BV499" i="1"/>
  <c r="BV500" i="1"/>
  <c r="BV501" i="1"/>
  <c r="BV502" i="1"/>
  <c r="BV503" i="1"/>
  <c r="BV504" i="1"/>
  <c r="BV505" i="1"/>
  <c r="BV506" i="1"/>
  <c r="BV507" i="1"/>
  <c r="BV508" i="1"/>
  <c r="BV509" i="1"/>
  <c r="BV510" i="1"/>
  <c r="BV511" i="1"/>
  <c r="BV512" i="1"/>
  <c r="BV513" i="1"/>
  <c r="BV514" i="1"/>
  <c r="BV515" i="1"/>
  <c r="BV516" i="1"/>
  <c r="BV517" i="1"/>
  <c r="BV518" i="1"/>
  <c r="BV519" i="1"/>
  <c r="BV520" i="1"/>
  <c r="BV521" i="1"/>
  <c r="BV522" i="1"/>
  <c r="BV523" i="1"/>
  <c r="BV524" i="1"/>
  <c r="BV525" i="1"/>
  <c r="BV526" i="1"/>
  <c r="BV527" i="1"/>
  <c r="BV528" i="1"/>
  <c r="BV529" i="1"/>
  <c r="BV530" i="1"/>
  <c r="BV531" i="1"/>
  <c r="BV532" i="1"/>
  <c r="BV533" i="1"/>
  <c r="BV534" i="1"/>
  <c r="BV535" i="1"/>
  <c r="BV536" i="1"/>
  <c r="BV537" i="1"/>
  <c r="BV538" i="1"/>
  <c r="BV539" i="1"/>
  <c r="BV540" i="1"/>
  <c r="BV541" i="1"/>
  <c r="BV542" i="1"/>
  <c r="BV543" i="1"/>
  <c r="BV544" i="1"/>
  <c r="BV545" i="1"/>
  <c r="BV546" i="1"/>
  <c r="BV547" i="1"/>
  <c r="BV548" i="1"/>
  <c r="BV549" i="1"/>
  <c r="BV550" i="1"/>
  <c r="BV551" i="1"/>
  <c r="BV552" i="1"/>
  <c r="BV553" i="1"/>
  <c r="BV554" i="1"/>
  <c r="BV555" i="1"/>
  <c r="BV556" i="1"/>
  <c r="BV557" i="1"/>
  <c r="BV558" i="1"/>
  <c r="BV559" i="1"/>
  <c r="BV560" i="1"/>
  <c r="BV561" i="1"/>
  <c r="BV562" i="1"/>
  <c r="BV563" i="1"/>
  <c r="BV564" i="1"/>
  <c r="BV565" i="1"/>
  <c r="BV566" i="1"/>
  <c r="BV567" i="1"/>
  <c r="BV568" i="1"/>
  <c r="BV569" i="1"/>
  <c r="BV570" i="1"/>
  <c r="BV571" i="1"/>
  <c r="BV572" i="1"/>
  <c r="BV573" i="1"/>
  <c r="BV574" i="1"/>
  <c r="BV575" i="1"/>
  <c r="BV576" i="1"/>
  <c r="BV577" i="1"/>
  <c r="BV578" i="1"/>
  <c r="BV579" i="1"/>
  <c r="BV580" i="1"/>
  <c r="BV581" i="1"/>
  <c r="BV582" i="1"/>
  <c r="BV583" i="1"/>
  <c r="BV584" i="1"/>
  <c r="BV585" i="1"/>
  <c r="BV586" i="1"/>
  <c r="BV587" i="1"/>
  <c r="BV588" i="1"/>
  <c r="BV589" i="1"/>
  <c r="BV590" i="1"/>
  <c r="BV591" i="1"/>
  <c r="BV592" i="1"/>
  <c r="BV593" i="1"/>
  <c r="BV594" i="1"/>
  <c r="BV595" i="1"/>
  <c r="BV596" i="1"/>
  <c r="BV597" i="1"/>
  <c r="BV598" i="1"/>
  <c r="BV599" i="1"/>
  <c r="BV600" i="1"/>
  <c r="BV601" i="1"/>
  <c r="BV602" i="1"/>
  <c r="BV603" i="1"/>
  <c r="BV604" i="1"/>
  <c r="BV605" i="1"/>
  <c r="BV606" i="1"/>
  <c r="BV607" i="1"/>
  <c r="BV608" i="1"/>
  <c r="BV609" i="1"/>
  <c r="BV610" i="1"/>
  <c r="BV611" i="1"/>
  <c r="BV612" i="1"/>
  <c r="BV613" i="1"/>
  <c r="BV614" i="1"/>
  <c r="BV615" i="1"/>
  <c r="BV616" i="1"/>
  <c r="BV617" i="1"/>
  <c r="BV618" i="1"/>
  <c r="BV619" i="1"/>
  <c r="BV620" i="1"/>
  <c r="BV621" i="1"/>
  <c r="BV622" i="1"/>
  <c r="BV623" i="1"/>
  <c r="BV624" i="1"/>
  <c r="BV625" i="1"/>
  <c r="BV626" i="1"/>
  <c r="BV627" i="1"/>
  <c r="BV628" i="1"/>
  <c r="BV629" i="1"/>
  <c r="BV630" i="1"/>
  <c r="BV631" i="1"/>
  <c r="BV632" i="1"/>
  <c r="BV633" i="1"/>
  <c r="BV634" i="1"/>
  <c r="BV635" i="1"/>
  <c r="BV636" i="1"/>
  <c r="BV637" i="1"/>
  <c r="BV638" i="1"/>
  <c r="BV639" i="1"/>
  <c r="BV640" i="1"/>
  <c r="BV641" i="1"/>
  <c r="BV642" i="1"/>
  <c r="BV643" i="1"/>
  <c r="BV644" i="1"/>
  <c r="BV645" i="1"/>
  <c r="BV646" i="1"/>
  <c r="BV647" i="1"/>
  <c r="BV648" i="1"/>
  <c r="BV649" i="1"/>
  <c r="BV650" i="1"/>
  <c r="BV651" i="1"/>
  <c r="BV652" i="1"/>
  <c r="BV653" i="1"/>
  <c r="BV654" i="1"/>
  <c r="BV655" i="1"/>
  <c r="BV656" i="1"/>
  <c r="BV657" i="1"/>
  <c r="BV658" i="1"/>
  <c r="BV659" i="1"/>
  <c r="BV660" i="1"/>
  <c r="BV661" i="1"/>
  <c r="BV662" i="1"/>
  <c r="BV663" i="1"/>
  <c r="BV664" i="1"/>
  <c r="BV665" i="1"/>
  <c r="BV666" i="1"/>
  <c r="BV667" i="1"/>
  <c r="BV668" i="1"/>
  <c r="BV669" i="1"/>
  <c r="BV670" i="1"/>
  <c r="BV671" i="1"/>
  <c r="BV672" i="1"/>
  <c r="BV673" i="1"/>
  <c r="BV674" i="1"/>
  <c r="BV675" i="1"/>
  <c r="BV676" i="1"/>
  <c r="BV677" i="1"/>
  <c r="BV678" i="1"/>
  <c r="BV679" i="1"/>
  <c r="BV680" i="1"/>
  <c r="BV681" i="1"/>
  <c r="BV682" i="1"/>
  <c r="BV683" i="1"/>
  <c r="BV684" i="1"/>
  <c r="BV685" i="1"/>
  <c r="BV686" i="1"/>
  <c r="BV687" i="1"/>
  <c r="BV688" i="1"/>
  <c r="BV689" i="1"/>
  <c r="BV690" i="1"/>
  <c r="BV691" i="1"/>
  <c r="BV692" i="1"/>
  <c r="BV693" i="1"/>
  <c r="BV694" i="1"/>
  <c r="BV695" i="1"/>
  <c r="BV696" i="1"/>
  <c r="BV697" i="1"/>
  <c r="BV698" i="1"/>
  <c r="BV699" i="1"/>
  <c r="BV700" i="1"/>
  <c r="BV701" i="1"/>
  <c r="BV702" i="1"/>
  <c r="BV703" i="1"/>
  <c r="BV704" i="1"/>
  <c r="BV705" i="1"/>
  <c r="BV706" i="1"/>
  <c r="BV707" i="1"/>
  <c r="BV708" i="1"/>
  <c r="BV709" i="1"/>
  <c r="BV710" i="1"/>
  <c r="BV711" i="1"/>
  <c r="BV712" i="1"/>
  <c r="BV713" i="1"/>
  <c r="BV714" i="1"/>
  <c r="BV715" i="1"/>
  <c r="BV716" i="1"/>
  <c r="BV717" i="1"/>
  <c r="BV718" i="1"/>
  <c r="BV719" i="1"/>
  <c r="BV720" i="1"/>
  <c r="BV721" i="1"/>
  <c r="BV722" i="1"/>
  <c r="BV723" i="1"/>
  <c r="BV724" i="1"/>
  <c r="BV725" i="1"/>
  <c r="BV726" i="1"/>
  <c r="BV727" i="1"/>
  <c r="BV728" i="1"/>
  <c r="BV729" i="1"/>
  <c r="BV730" i="1"/>
  <c r="BV731" i="1"/>
  <c r="BV732" i="1"/>
  <c r="BV733" i="1"/>
  <c r="BV734" i="1"/>
  <c r="BV735" i="1"/>
  <c r="BV736" i="1"/>
  <c r="BV737" i="1"/>
  <c r="BV738" i="1"/>
  <c r="BV739" i="1"/>
  <c r="BV740" i="1"/>
  <c r="BV741" i="1"/>
  <c r="BV742" i="1"/>
  <c r="BV743" i="1"/>
  <c r="BV744" i="1"/>
  <c r="BV745" i="1"/>
  <c r="BV746" i="1"/>
  <c r="BV747" i="1"/>
  <c r="BV748" i="1"/>
  <c r="BV749" i="1"/>
  <c r="BV750" i="1"/>
  <c r="BV751" i="1"/>
  <c r="BV752" i="1"/>
  <c r="BV753" i="1"/>
  <c r="BV754" i="1"/>
  <c r="BV755" i="1"/>
  <c r="BV756" i="1"/>
  <c r="BV757" i="1"/>
  <c r="BV758" i="1"/>
  <c r="BV759" i="1"/>
  <c r="BV760" i="1"/>
  <c r="BV761" i="1"/>
  <c r="BV762" i="1"/>
  <c r="BV763" i="1"/>
  <c r="BV764" i="1"/>
  <c r="BV765" i="1"/>
  <c r="BV766" i="1"/>
  <c r="BV767" i="1"/>
  <c r="BV768" i="1"/>
  <c r="BV769" i="1"/>
  <c r="BV770" i="1"/>
  <c r="BV771" i="1"/>
  <c r="BV772" i="1"/>
  <c r="BV773" i="1"/>
  <c r="BV774" i="1"/>
  <c r="BV775" i="1"/>
  <c r="BV776" i="1"/>
  <c r="BV777" i="1"/>
  <c r="BV778" i="1"/>
  <c r="BV779" i="1"/>
  <c r="BV780" i="1"/>
  <c r="BV781" i="1"/>
  <c r="BV782" i="1"/>
  <c r="BV783" i="1"/>
  <c r="BV784" i="1"/>
  <c r="BV785" i="1"/>
  <c r="BV786" i="1"/>
  <c r="BV787" i="1"/>
  <c r="BV788" i="1"/>
  <c r="BV789" i="1"/>
  <c r="BV790" i="1"/>
  <c r="BV791" i="1"/>
  <c r="BV792" i="1"/>
  <c r="BV793" i="1"/>
  <c r="BV794" i="1"/>
  <c r="BV795" i="1"/>
  <c r="BV796" i="1"/>
  <c r="BV797" i="1"/>
  <c r="BV798" i="1"/>
  <c r="BV799" i="1"/>
  <c r="BV800" i="1"/>
  <c r="BV801" i="1"/>
  <c r="BV802" i="1"/>
  <c r="BV803" i="1"/>
  <c r="BV804" i="1"/>
  <c r="BV805" i="1"/>
  <c r="BV806" i="1"/>
  <c r="BV807" i="1"/>
  <c r="BV808" i="1"/>
  <c r="BV809" i="1"/>
  <c r="BV810" i="1"/>
  <c r="BV811" i="1"/>
  <c r="BV812" i="1"/>
  <c r="BV813" i="1"/>
  <c r="BV814" i="1"/>
  <c r="BV815" i="1"/>
  <c r="BV816" i="1"/>
  <c r="BV817" i="1"/>
  <c r="BV818" i="1"/>
  <c r="BV819" i="1"/>
  <c r="BV820" i="1"/>
  <c r="BV821" i="1"/>
  <c r="BV822" i="1"/>
  <c r="BV823" i="1"/>
  <c r="BV824" i="1"/>
  <c r="BV825" i="1"/>
  <c r="BV826" i="1"/>
  <c r="BV827" i="1"/>
  <c r="BV828" i="1"/>
  <c r="BV829" i="1"/>
  <c r="BV830" i="1"/>
  <c r="BV831" i="1"/>
  <c r="BV832" i="1"/>
  <c r="BV833" i="1"/>
  <c r="BV834" i="1"/>
  <c r="BV835" i="1"/>
  <c r="BV836" i="1"/>
  <c r="BV837" i="1"/>
  <c r="BV838" i="1"/>
  <c r="BV839" i="1"/>
  <c r="BV840" i="1"/>
  <c r="BV841" i="1"/>
  <c r="BV842" i="1"/>
  <c r="BV843" i="1"/>
  <c r="BV844" i="1"/>
  <c r="BV845" i="1"/>
  <c r="BV846" i="1"/>
  <c r="BV847" i="1"/>
  <c r="BV848" i="1"/>
  <c r="BV849" i="1"/>
  <c r="BV850" i="1"/>
  <c r="BV851" i="1"/>
  <c r="BV852" i="1"/>
  <c r="BV853" i="1"/>
  <c r="BV854" i="1"/>
  <c r="BV855" i="1"/>
  <c r="BV856" i="1"/>
  <c r="BV857" i="1"/>
  <c r="BV858" i="1"/>
  <c r="BV859" i="1"/>
  <c r="BV860" i="1"/>
  <c r="BV861" i="1"/>
  <c r="BV862" i="1"/>
  <c r="BV863" i="1"/>
  <c r="BV864" i="1"/>
  <c r="BV865" i="1"/>
  <c r="BV866" i="1"/>
  <c r="BV867" i="1"/>
  <c r="BV868" i="1"/>
  <c r="BV869" i="1"/>
  <c r="BV870" i="1"/>
  <c r="BV871" i="1"/>
  <c r="BV872" i="1"/>
  <c r="BV873" i="1"/>
  <c r="BV874" i="1"/>
  <c r="BV875" i="1"/>
  <c r="BV876" i="1"/>
  <c r="BV877" i="1"/>
  <c r="BV878" i="1"/>
  <c r="BV879" i="1"/>
  <c r="BV880" i="1"/>
  <c r="BV881" i="1"/>
  <c r="BV882" i="1"/>
  <c r="BV883" i="1"/>
  <c r="BV884" i="1"/>
  <c r="BV885" i="1"/>
  <c r="BV886" i="1"/>
  <c r="BV887" i="1"/>
  <c r="BV888" i="1"/>
  <c r="BV889" i="1"/>
  <c r="BV890" i="1"/>
  <c r="BV891" i="1"/>
  <c r="BV892" i="1"/>
  <c r="BV893" i="1"/>
  <c r="BV894" i="1"/>
  <c r="BV895" i="1"/>
  <c r="BV896" i="1"/>
  <c r="BV897" i="1"/>
  <c r="BV898" i="1"/>
  <c r="BV899" i="1"/>
  <c r="BV900" i="1"/>
  <c r="BV901" i="1"/>
  <c r="BV902" i="1"/>
  <c r="BV903" i="1"/>
  <c r="BV904" i="1"/>
  <c r="BV905" i="1"/>
  <c r="BV906" i="1"/>
  <c r="BV907" i="1"/>
  <c r="BV908" i="1"/>
  <c r="BV909" i="1"/>
  <c r="BV910" i="1"/>
  <c r="BV911" i="1"/>
  <c r="BV912" i="1"/>
  <c r="BV913" i="1"/>
  <c r="BV914" i="1"/>
  <c r="BV915" i="1"/>
  <c r="BV916" i="1"/>
  <c r="BV917" i="1"/>
  <c r="BV918" i="1"/>
  <c r="BV919" i="1"/>
  <c r="BV920" i="1"/>
  <c r="BV921" i="1"/>
  <c r="BV922" i="1"/>
  <c r="BV923" i="1"/>
  <c r="BV924" i="1"/>
  <c r="BV925" i="1"/>
  <c r="BV926" i="1"/>
  <c r="BV927" i="1"/>
  <c r="BV928" i="1"/>
  <c r="BV929" i="1"/>
  <c r="BV930" i="1"/>
  <c r="BV931" i="1"/>
  <c r="BV932" i="1"/>
  <c r="BV933" i="1"/>
  <c r="BV934" i="1"/>
  <c r="BV935" i="1"/>
  <c r="BV936" i="1"/>
  <c r="BV937" i="1"/>
  <c r="BV938" i="1"/>
  <c r="BV939" i="1"/>
  <c r="BV940" i="1"/>
  <c r="BV941" i="1"/>
  <c r="BV942" i="1"/>
  <c r="BV943" i="1"/>
  <c r="BV944" i="1"/>
  <c r="BV945" i="1"/>
  <c r="BV946" i="1"/>
  <c r="BV947" i="1"/>
  <c r="BV948" i="1"/>
  <c r="BV949" i="1"/>
  <c r="BV950" i="1"/>
  <c r="BV951" i="1"/>
  <c r="BV952" i="1"/>
  <c r="BV953" i="1"/>
  <c r="BV954" i="1"/>
  <c r="BV955" i="1"/>
  <c r="BV956" i="1"/>
  <c r="BV957" i="1"/>
  <c r="BV958" i="1"/>
  <c r="BV959" i="1"/>
  <c r="BV960" i="1"/>
  <c r="BV961" i="1"/>
  <c r="BV962" i="1"/>
  <c r="BV963" i="1"/>
  <c r="BV964" i="1"/>
  <c r="BV965" i="1"/>
  <c r="BV966" i="1"/>
  <c r="BV967" i="1"/>
  <c r="BV968" i="1"/>
  <c r="BV969" i="1"/>
  <c r="BV970" i="1"/>
  <c r="BV971" i="1"/>
  <c r="BV972" i="1"/>
  <c r="BV973" i="1"/>
  <c r="BV974" i="1"/>
  <c r="BV975" i="1"/>
  <c r="BV976" i="1"/>
  <c r="BV977" i="1"/>
  <c r="BV978" i="1"/>
  <c r="BV979" i="1"/>
  <c r="BV980" i="1"/>
  <c r="BV981" i="1"/>
  <c r="BV982" i="1"/>
  <c r="BV983" i="1"/>
  <c r="BV984" i="1"/>
  <c r="BV985" i="1"/>
  <c r="BV986" i="1"/>
  <c r="BV987" i="1"/>
  <c r="BV988" i="1"/>
  <c r="BV989" i="1"/>
  <c r="BV990" i="1"/>
  <c r="BV991" i="1"/>
  <c r="BV992" i="1"/>
  <c r="BV993" i="1"/>
  <c r="BV994" i="1"/>
  <c r="BV995" i="1"/>
  <c r="BV996" i="1"/>
  <c r="BV997" i="1"/>
  <c r="BV998" i="1"/>
  <c r="BV999" i="1"/>
  <c r="BV1000" i="1"/>
  <c r="BV1001" i="1"/>
  <c r="BV2" i="1"/>
  <c r="K3" i="1"/>
  <c r="K4" i="1"/>
  <c r="K5" i="1"/>
  <c r="K6" i="1"/>
  <c r="K7" i="1"/>
  <c r="K8" i="1"/>
  <c r="K9" i="1"/>
  <c r="K10" i="1"/>
  <c r="K11" i="1"/>
  <c r="K12" i="1"/>
  <c r="K13" i="1"/>
  <c r="K2" i="1"/>
  <c r="BU3" i="1"/>
  <c r="BU4" i="1"/>
  <c r="BU5" i="1"/>
  <c r="BU6" i="1"/>
  <c r="BU7" i="1"/>
  <c r="BU8" i="1"/>
  <c r="BU9" i="1"/>
  <c r="BU10" i="1"/>
  <c r="BU11" i="1"/>
  <c r="BU12" i="1"/>
  <c r="BU13" i="1"/>
  <c r="BU14" i="1"/>
  <c r="BU15" i="1"/>
  <c r="BU16" i="1"/>
  <c r="BU17" i="1"/>
  <c r="BU18" i="1"/>
  <c r="BU19" i="1"/>
  <c r="BU20" i="1"/>
  <c r="BU21" i="1"/>
  <c r="BU22" i="1"/>
  <c r="BU23" i="1"/>
  <c r="BU24" i="1"/>
  <c r="BU25" i="1"/>
  <c r="BU26" i="1"/>
  <c r="BU27" i="1"/>
  <c r="BU28" i="1"/>
  <c r="BU29" i="1"/>
  <c r="BU30" i="1"/>
  <c r="BU31" i="1"/>
  <c r="BU32" i="1"/>
  <c r="BU33" i="1"/>
  <c r="BU34" i="1"/>
  <c r="BU35" i="1"/>
  <c r="BU36" i="1"/>
  <c r="BU37" i="1"/>
  <c r="BU38" i="1"/>
  <c r="BU39" i="1"/>
  <c r="BU40" i="1"/>
  <c r="BU41" i="1"/>
  <c r="BU42" i="1"/>
  <c r="BU43" i="1"/>
  <c r="BU44" i="1"/>
  <c r="BU45" i="1"/>
  <c r="BU46" i="1"/>
  <c r="BU47" i="1"/>
  <c r="BU48" i="1"/>
  <c r="BU49" i="1"/>
  <c r="BU50" i="1"/>
  <c r="BU51" i="1"/>
  <c r="BU52" i="1"/>
  <c r="BU53" i="1"/>
  <c r="BU54" i="1"/>
  <c r="BU55" i="1"/>
  <c r="BU56" i="1"/>
  <c r="BU57" i="1"/>
  <c r="BU58" i="1"/>
  <c r="BU59" i="1"/>
  <c r="BU60" i="1"/>
  <c r="BU61" i="1"/>
  <c r="BU62" i="1"/>
  <c r="BU63" i="1"/>
  <c r="BU64" i="1"/>
  <c r="BU65" i="1"/>
  <c r="BU66" i="1"/>
  <c r="BU67" i="1"/>
  <c r="BU68" i="1"/>
  <c r="BU69" i="1"/>
  <c r="BU70" i="1"/>
  <c r="BU71" i="1"/>
  <c r="BU72" i="1"/>
  <c r="BU73" i="1"/>
  <c r="BU74" i="1"/>
  <c r="BU75" i="1"/>
  <c r="BU76" i="1"/>
  <c r="BU77" i="1"/>
  <c r="BU78" i="1"/>
  <c r="BU79" i="1"/>
  <c r="BU80" i="1"/>
  <c r="BU81" i="1"/>
  <c r="BU82" i="1"/>
  <c r="BU83" i="1"/>
  <c r="BU84" i="1"/>
  <c r="BU85" i="1"/>
  <c r="BU86" i="1"/>
  <c r="BU87" i="1"/>
  <c r="BU88" i="1"/>
  <c r="BU89" i="1"/>
  <c r="BU90" i="1"/>
  <c r="BU91" i="1"/>
  <c r="BU92" i="1"/>
  <c r="BU93" i="1"/>
  <c r="BU94" i="1"/>
  <c r="BU95" i="1"/>
  <c r="BU96" i="1"/>
  <c r="BU97" i="1"/>
  <c r="BU98" i="1"/>
  <c r="BU99" i="1"/>
  <c r="BU100" i="1"/>
  <c r="BU101" i="1"/>
  <c r="BU102" i="1"/>
  <c r="BU103" i="1"/>
  <c r="BU104" i="1"/>
  <c r="BU105" i="1"/>
  <c r="BU106" i="1"/>
  <c r="BU107" i="1"/>
  <c r="BU108" i="1"/>
  <c r="BU109" i="1"/>
  <c r="BU110" i="1"/>
  <c r="BU111" i="1"/>
  <c r="BU112" i="1"/>
  <c r="BU113" i="1"/>
  <c r="BU114" i="1"/>
  <c r="BU115" i="1"/>
  <c r="BU116" i="1"/>
  <c r="BU117" i="1"/>
  <c r="BU118" i="1"/>
  <c r="BU119" i="1"/>
  <c r="BU120" i="1"/>
  <c r="BU121" i="1"/>
  <c r="BU122" i="1"/>
  <c r="BU123" i="1"/>
  <c r="BU124" i="1"/>
  <c r="BU125" i="1"/>
  <c r="BU126" i="1"/>
  <c r="BU127" i="1"/>
  <c r="BU128" i="1"/>
  <c r="BU129" i="1"/>
  <c r="BU130" i="1"/>
  <c r="BU131" i="1"/>
  <c r="BU132" i="1"/>
  <c r="BU133" i="1"/>
  <c r="BU134" i="1"/>
  <c r="BU135" i="1"/>
  <c r="BU136" i="1"/>
  <c r="BU137" i="1"/>
  <c r="BU138" i="1"/>
  <c r="BU139" i="1"/>
  <c r="BU140" i="1"/>
  <c r="BU141" i="1"/>
  <c r="BU142" i="1"/>
  <c r="BU143" i="1"/>
  <c r="BU144" i="1"/>
  <c r="BU145" i="1"/>
  <c r="BU146" i="1"/>
  <c r="BU147" i="1"/>
  <c r="BU148" i="1"/>
  <c r="BU149" i="1"/>
  <c r="BU150" i="1"/>
  <c r="BU151" i="1"/>
  <c r="BU152" i="1"/>
  <c r="BU153" i="1"/>
  <c r="BU154" i="1"/>
  <c r="BU155" i="1"/>
  <c r="BU156" i="1"/>
  <c r="BU157" i="1"/>
  <c r="BU158" i="1"/>
  <c r="BU159" i="1"/>
  <c r="BU160" i="1"/>
  <c r="BU161" i="1"/>
  <c r="BU162" i="1"/>
  <c r="BU163" i="1"/>
  <c r="BU164" i="1"/>
  <c r="BU165" i="1"/>
  <c r="BU166" i="1"/>
  <c r="BU167" i="1"/>
  <c r="BU168" i="1"/>
  <c r="BU169" i="1"/>
  <c r="BU170" i="1"/>
  <c r="BU171" i="1"/>
  <c r="BU172" i="1"/>
  <c r="BU173" i="1"/>
  <c r="BU174" i="1"/>
  <c r="BU175" i="1"/>
  <c r="BU176" i="1"/>
  <c r="BU177" i="1"/>
  <c r="BU178" i="1"/>
  <c r="BU179" i="1"/>
  <c r="BU180" i="1"/>
  <c r="BU181" i="1"/>
  <c r="BU182" i="1"/>
  <c r="BU183" i="1"/>
  <c r="BU184" i="1"/>
  <c r="BU185" i="1"/>
  <c r="BU186" i="1"/>
  <c r="BU187" i="1"/>
  <c r="BU188" i="1"/>
  <c r="BU189" i="1"/>
  <c r="BU190" i="1"/>
  <c r="BU191" i="1"/>
  <c r="BU192" i="1"/>
  <c r="BU193" i="1"/>
  <c r="BU194" i="1"/>
  <c r="BU195" i="1"/>
  <c r="BU196" i="1"/>
  <c r="BU197" i="1"/>
  <c r="BU198" i="1"/>
  <c r="BU199" i="1"/>
  <c r="BU200" i="1"/>
  <c r="BU201" i="1"/>
  <c r="BU202" i="1"/>
  <c r="BU203" i="1"/>
  <c r="BU204" i="1"/>
  <c r="BU205" i="1"/>
  <c r="BU206" i="1"/>
  <c r="BU207" i="1"/>
  <c r="BU208" i="1"/>
  <c r="BU209" i="1"/>
  <c r="BU210" i="1"/>
  <c r="BU211" i="1"/>
  <c r="BU212" i="1"/>
  <c r="BU213" i="1"/>
  <c r="BU214" i="1"/>
  <c r="BU215" i="1"/>
  <c r="BU216" i="1"/>
  <c r="BU217" i="1"/>
  <c r="BU218" i="1"/>
  <c r="BU219" i="1"/>
  <c r="BU220" i="1"/>
  <c r="BU221" i="1"/>
  <c r="BU222" i="1"/>
  <c r="BU223" i="1"/>
  <c r="BU224" i="1"/>
  <c r="BU225" i="1"/>
  <c r="BU226" i="1"/>
  <c r="BU227" i="1"/>
  <c r="BU228" i="1"/>
  <c r="BU229" i="1"/>
  <c r="BU230" i="1"/>
  <c r="BU231" i="1"/>
  <c r="BU232" i="1"/>
  <c r="BU233" i="1"/>
  <c r="BU234" i="1"/>
  <c r="BU235" i="1"/>
  <c r="BU236" i="1"/>
  <c r="BU237" i="1"/>
  <c r="BU238" i="1"/>
  <c r="BU239" i="1"/>
  <c r="BU240" i="1"/>
  <c r="BU241" i="1"/>
  <c r="BU242" i="1"/>
  <c r="BU243" i="1"/>
  <c r="BU244" i="1"/>
  <c r="BU245" i="1"/>
  <c r="BU246" i="1"/>
  <c r="BU247" i="1"/>
  <c r="BU248" i="1"/>
  <c r="BU249" i="1"/>
  <c r="BU250" i="1"/>
  <c r="BU251" i="1"/>
  <c r="BU252" i="1"/>
  <c r="BU253" i="1"/>
  <c r="BU254" i="1"/>
  <c r="BU255" i="1"/>
  <c r="BU256" i="1"/>
  <c r="BU257" i="1"/>
  <c r="BU258" i="1"/>
  <c r="BU259" i="1"/>
  <c r="BU260" i="1"/>
  <c r="BU261" i="1"/>
  <c r="BU262" i="1"/>
  <c r="BU263" i="1"/>
  <c r="BU264" i="1"/>
  <c r="BU265" i="1"/>
  <c r="BU266" i="1"/>
  <c r="BU267" i="1"/>
  <c r="BU268" i="1"/>
  <c r="BU269" i="1"/>
  <c r="BU270" i="1"/>
  <c r="BU271" i="1"/>
  <c r="BU272" i="1"/>
  <c r="BU273" i="1"/>
  <c r="BU274" i="1"/>
  <c r="BU275" i="1"/>
  <c r="BU276" i="1"/>
  <c r="BU277" i="1"/>
  <c r="BU278" i="1"/>
  <c r="BU279" i="1"/>
  <c r="BU280" i="1"/>
  <c r="BU281" i="1"/>
  <c r="BU282" i="1"/>
  <c r="BU283" i="1"/>
  <c r="BU284" i="1"/>
  <c r="BU285" i="1"/>
  <c r="BU286" i="1"/>
  <c r="BU287" i="1"/>
  <c r="BU288" i="1"/>
  <c r="BU289" i="1"/>
  <c r="BU290" i="1"/>
  <c r="BU291" i="1"/>
  <c r="BU292" i="1"/>
  <c r="BU293" i="1"/>
  <c r="BU294" i="1"/>
  <c r="BU295" i="1"/>
  <c r="BU296" i="1"/>
  <c r="BU297" i="1"/>
  <c r="BU298" i="1"/>
  <c r="BU299" i="1"/>
  <c r="BU300" i="1"/>
  <c r="BU301" i="1"/>
  <c r="BU302" i="1"/>
  <c r="BU303" i="1"/>
  <c r="BU304" i="1"/>
  <c r="BU305" i="1"/>
  <c r="BU306" i="1"/>
  <c r="BU307" i="1"/>
  <c r="BU308" i="1"/>
  <c r="BU309" i="1"/>
  <c r="BU310" i="1"/>
  <c r="BU311" i="1"/>
  <c r="BU312" i="1"/>
  <c r="BU313" i="1"/>
  <c r="BU314" i="1"/>
  <c r="BU315" i="1"/>
  <c r="BU316" i="1"/>
  <c r="BU317" i="1"/>
  <c r="BU318" i="1"/>
  <c r="BU319" i="1"/>
  <c r="BU320" i="1"/>
  <c r="BU321" i="1"/>
  <c r="BU322" i="1"/>
  <c r="BU323" i="1"/>
  <c r="BU324" i="1"/>
  <c r="BU325" i="1"/>
  <c r="BU326" i="1"/>
  <c r="BU327" i="1"/>
  <c r="BU328" i="1"/>
  <c r="BU329" i="1"/>
  <c r="BU330" i="1"/>
  <c r="BU331" i="1"/>
  <c r="BU332" i="1"/>
  <c r="BU333" i="1"/>
  <c r="BU334" i="1"/>
  <c r="BU335" i="1"/>
  <c r="BU336" i="1"/>
  <c r="BU337" i="1"/>
  <c r="BU338" i="1"/>
  <c r="BU339" i="1"/>
  <c r="BU340" i="1"/>
  <c r="BU341" i="1"/>
  <c r="BU342" i="1"/>
  <c r="BU343" i="1"/>
  <c r="BU344" i="1"/>
  <c r="BU345" i="1"/>
  <c r="BU346" i="1"/>
  <c r="BU347" i="1"/>
  <c r="BU348" i="1"/>
  <c r="BU349" i="1"/>
  <c r="BU350" i="1"/>
  <c r="BU351" i="1"/>
  <c r="BU352" i="1"/>
  <c r="BU353" i="1"/>
  <c r="BU354" i="1"/>
  <c r="BU355" i="1"/>
  <c r="BU356" i="1"/>
  <c r="BU357" i="1"/>
  <c r="BU358" i="1"/>
  <c r="BU359" i="1"/>
  <c r="BU360" i="1"/>
  <c r="BU361" i="1"/>
  <c r="BU362" i="1"/>
  <c r="BU363" i="1"/>
  <c r="BU364" i="1"/>
  <c r="BU365" i="1"/>
  <c r="BU366" i="1"/>
  <c r="BU367" i="1"/>
  <c r="BU368" i="1"/>
  <c r="BU369" i="1"/>
  <c r="BU370" i="1"/>
  <c r="BU371" i="1"/>
  <c r="BU372" i="1"/>
  <c r="BU373" i="1"/>
  <c r="BU374" i="1"/>
  <c r="BU375" i="1"/>
  <c r="BU376" i="1"/>
  <c r="BU377" i="1"/>
  <c r="BU378" i="1"/>
  <c r="BU379" i="1"/>
  <c r="BU380" i="1"/>
  <c r="BU381" i="1"/>
  <c r="BU382" i="1"/>
  <c r="BU383" i="1"/>
  <c r="BU384" i="1"/>
  <c r="BU385" i="1"/>
  <c r="BU386" i="1"/>
  <c r="BU387" i="1"/>
  <c r="BU388" i="1"/>
  <c r="BU389" i="1"/>
  <c r="BU390" i="1"/>
  <c r="BU391" i="1"/>
  <c r="BU392" i="1"/>
  <c r="BU393" i="1"/>
  <c r="BU394" i="1"/>
  <c r="BU395" i="1"/>
  <c r="BU396" i="1"/>
  <c r="BU397" i="1"/>
  <c r="BU398" i="1"/>
  <c r="BU399" i="1"/>
  <c r="BU400" i="1"/>
  <c r="BU401" i="1"/>
  <c r="BU402" i="1"/>
  <c r="BU403" i="1"/>
  <c r="BU404" i="1"/>
  <c r="BU405" i="1"/>
  <c r="BU406" i="1"/>
  <c r="BU407" i="1"/>
  <c r="BU408" i="1"/>
  <c r="BU409" i="1"/>
  <c r="BU410" i="1"/>
  <c r="BU411" i="1"/>
  <c r="BU412" i="1"/>
  <c r="BU413" i="1"/>
  <c r="BU414" i="1"/>
  <c r="BU415" i="1"/>
  <c r="BU416" i="1"/>
  <c r="BU417" i="1"/>
  <c r="BU418" i="1"/>
  <c r="BU419" i="1"/>
  <c r="BU420" i="1"/>
  <c r="BU421" i="1"/>
  <c r="BU422" i="1"/>
  <c r="BU423" i="1"/>
  <c r="BU424" i="1"/>
  <c r="BU425" i="1"/>
  <c r="BU426" i="1"/>
  <c r="BU427" i="1"/>
  <c r="BU428" i="1"/>
  <c r="BU429" i="1"/>
  <c r="BU430" i="1"/>
  <c r="BU431" i="1"/>
  <c r="BU432" i="1"/>
  <c r="BU433" i="1"/>
  <c r="BU434" i="1"/>
  <c r="BU435" i="1"/>
  <c r="BU436" i="1"/>
  <c r="BU437" i="1"/>
  <c r="BU438" i="1"/>
  <c r="BU439" i="1"/>
  <c r="BU440" i="1"/>
  <c r="BU441" i="1"/>
  <c r="BU442" i="1"/>
  <c r="BU443" i="1"/>
  <c r="BU444" i="1"/>
  <c r="BU445" i="1"/>
  <c r="BU446" i="1"/>
  <c r="BU447" i="1"/>
  <c r="BU448" i="1"/>
  <c r="BU449" i="1"/>
  <c r="BU450" i="1"/>
  <c r="BU451" i="1"/>
  <c r="BU452" i="1"/>
  <c r="BU453" i="1"/>
  <c r="BU454" i="1"/>
  <c r="BU455" i="1"/>
  <c r="BU456" i="1"/>
  <c r="BU457" i="1"/>
  <c r="BU458" i="1"/>
  <c r="BU459" i="1"/>
  <c r="BU460" i="1"/>
  <c r="BU461" i="1"/>
  <c r="BU462" i="1"/>
  <c r="BU463" i="1"/>
  <c r="BU464" i="1"/>
  <c r="BU465" i="1"/>
  <c r="BU466" i="1"/>
  <c r="BU467" i="1"/>
  <c r="BU468" i="1"/>
  <c r="BU469" i="1"/>
  <c r="BU470" i="1"/>
  <c r="BU471" i="1"/>
  <c r="BU472" i="1"/>
  <c r="BU473" i="1"/>
  <c r="BU474" i="1"/>
  <c r="BU475" i="1"/>
  <c r="BU476" i="1"/>
  <c r="BU477" i="1"/>
  <c r="BU478" i="1"/>
  <c r="BU479" i="1"/>
  <c r="BU480" i="1"/>
  <c r="BU481" i="1"/>
  <c r="BU482" i="1"/>
  <c r="BU483" i="1"/>
  <c r="BU484" i="1"/>
  <c r="BU485" i="1"/>
  <c r="BU486" i="1"/>
  <c r="BU487" i="1"/>
  <c r="BU488" i="1"/>
  <c r="BU489" i="1"/>
  <c r="BU490" i="1"/>
  <c r="BU491" i="1"/>
  <c r="BU492" i="1"/>
  <c r="BU493" i="1"/>
  <c r="BU494" i="1"/>
  <c r="BU495" i="1"/>
  <c r="BU496" i="1"/>
  <c r="BU497" i="1"/>
  <c r="BU498" i="1"/>
  <c r="BU499" i="1"/>
  <c r="BU500" i="1"/>
  <c r="BU501" i="1"/>
  <c r="BU502" i="1"/>
  <c r="BU503" i="1"/>
  <c r="BU504" i="1"/>
  <c r="BU505" i="1"/>
  <c r="BU506" i="1"/>
  <c r="BU507" i="1"/>
  <c r="BU508" i="1"/>
  <c r="BU509" i="1"/>
  <c r="BU510" i="1"/>
  <c r="BU511" i="1"/>
  <c r="BU512" i="1"/>
  <c r="BU513" i="1"/>
  <c r="BU514" i="1"/>
  <c r="BU515" i="1"/>
  <c r="BU516" i="1"/>
  <c r="BU517" i="1"/>
  <c r="BU518" i="1"/>
  <c r="BU519" i="1"/>
  <c r="BU520" i="1"/>
  <c r="BU521" i="1"/>
  <c r="BU522" i="1"/>
  <c r="BU523" i="1"/>
  <c r="BU524" i="1"/>
  <c r="BU525" i="1"/>
  <c r="BU526" i="1"/>
  <c r="BU527" i="1"/>
  <c r="BU528" i="1"/>
  <c r="BU529" i="1"/>
  <c r="BU530" i="1"/>
  <c r="BU531" i="1"/>
  <c r="BU532" i="1"/>
  <c r="BU533" i="1"/>
  <c r="BU534" i="1"/>
  <c r="BU535" i="1"/>
  <c r="BU536" i="1"/>
  <c r="BU537" i="1"/>
  <c r="BU538" i="1"/>
  <c r="BU539" i="1"/>
  <c r="BU540" i="1"/>
  <c r="BU541" i="1"/>
  <c r="BU542" i="1"/>
  <c r="BU543" i="1"/>
  <c r="BU544" i="1"/>
  <c r="BU545" i="1"/>
  <c r="BU546" i="1"/>
  <c r="BU547" i="1"/>
  <c r="BU548" i="1"/>
  <c r="BU549" i="1"/>
  <c r="BU550" i="1"/>
  <c r="BU551" i="1"/>
  <c r="BU552" i="1"/>
  <c r="BU553" i="1"/>
  <c r="BU554" i="1"/>
  <c r="BU555" i="1"/>
  <c r="BU556" i="1"/>
  <c r="BU557" i="1"/>
  <c r="BU558" i="1"/>
  <c r="BU559" i="1"/>
  <c r="BU560" i="1"/>
  <c r="BU561" i="1"/>
  <c r="BU562" i="1"/>
  <c r="BU563" i="1"/>
  <c r="BU564" i="1"/>
  <c r="BU565" i="1"/>
  <c r="BU566" i="1"/>
  <c r="BU567" i="1"/>
  <c r="BU568" i="1"/>
  <c r="BU569" i="1"/>
  <c r="BU570" i="1"/>
  <c r="BU571" i="1"/>
  <c r="BU572" i="1"/>
  <c r="BU573" i="1"/>
  <c r="BU574" i="1"/>
  <c r="BU575" i="1"/>
  <c r="BU576" i="1"/>
  <c r="BU577" i="1"/>
  <c r="BU578" i="1"/>
  <c r="BU579" i="1"/>
  <c r="BU580" i="1"/>
  <c r="BU581" i="1"/>
  <c r="BU582" i="1"/>
  <c r="BU583" i="1"/>
  <c r="BU584" i="1"/>
  <c r="BU585" i="1"/>
  <c r="BU586" i="1"/>
  <c r="BU587" i="1"/>
  <c r="BU588" i="1"/>
  <c r="BU589" i="1"/>
  <c r="BU590" i="1"/>
  <c r="BU591" i="1"/>
  <c r="BU592" i="1"/>
  <c r="BU593" i="1"/>
  <c r="BU594" i="1"/>
  <c r="BU595" i="1"/>
  <c r="BU596" i="1"/>
  <c r="BU597" i="1"/>
  <c r="BU598" i="1"/>
  <c r="BU599" i="1"/>
  <c r="BU600" i="1"/>
  <c r="BU601" i="1"/>
  <c r="BU602" i="1"/>
  <c r="BU603" i="1"/>
  <c r="BU604" i="1"/>
  <c r="BU605" i="1"/>
  <c r="BU606" i="1"/>
  <c r="BU607" i="1"/>
  <c r="BU608" i="1"/>
  <c r="BU609" i="1"/>
  <c r="BU610" i="1"/>
  <c r="BU611" i="1"/>
  <c r="BU612" i="1"/>
  <c r="BU613" i="1"/>
  <c r="BU614" i="1"/>
  <c r="BU615" i="1"/>
  <c r="BU616" i="1"/>
  <c r="BU617" i="1"/>
  <c r="BU618" i="1"/>
  <c r="BU619" i="1"/>
  <c r="BU620" i="1"/>
  <c r="BU621" i="1"/>
  <c r="BU622" i="1"/>
  <c r="BU623" i="1"/>
  <c r="BU624" i="1"/>
  <c r="BU625" i="1"/>
  <c r="BU626" i="1"/>
  <c r="BU627" i="1"/>
  <c r="BU628" i="1"/>
  <c r="BU629" i="1"/>
  <c r="BU630" i="1"/>
  <c r="BU631" i="1"/>
  <c r="BU632" i="1"/>
  <c r="BU633" i="1"/>
  <c r="BU634" i="1"/>
  <c r="BU635" i="1"/>
  <c r="BU636" i="1"/>
  <c r="BU637" i="1"/>
  <c r="BU638" i="1"/>
  <c r="BU639" i="1"/>
  <c r="BU640" i="1"/>
  <c r="BU641" i="1"/>
  <c r="BU642" i="1"/>
  <c r="BU643" i="1"/>
  <c r="BU644" i="1"/>
  <c r="BU645" i="1"/>
  <c r="BU646" i="1"/>
  <c r="BU647" i="1"/>
  <c r="BU648" i="1"/>
  <c r="BU649" i="1"/>
  <c r="BU650" i="1"/>
  <c r="BU651" i="1"/>
  <c r="BU652" i="1"/>
  <c r="BU653" i="1"/>
  <c r="BU654" i="1"/>
  <c r="BU655" i="1"/>
  <c r="BU656" i="1"/>
  <c r="BU657" i="1"/>
  <c r="BU658" i="1"/>
  <c r="BU659" i="1"/>
  <c r="BU660" i="1"/>
  <c r="BU661" i="1"/>
  <c r="BU662" i="1"/>
  <c r="BU663" i="1"/>
  <c r="BU664" i="1"/>
  <c r="BU665" i="1"/>
  <c r="BU666" i="1"/>
  <c r="BU667" i="1"/>
  <c r="BU668" i="1"/>
  <c r="BU669" i="1"/>
  <c r="BU670" i="1"/>
  <c r="BU671" i="1"/>
  <c r="BU672" i="1"/>
  <c r="BU673" i="1"/>
  <c r="BU674" i="1"/>
  <c r="BU675" i="1"/>
  <c r="BU676" i="1"/>
  <c r="BU677" i="1"/>
  <c r="BU678" i="1"/>
  <c r="BU679" i="1"/>
  <c r="BU680" i="1"/>
  <c r="BU681" i="1"/>
  <c r="BU682" i="1"/>
  <c r="BU683" i="1"/>
  <c r="BU684" i="1"/>
  <c r="BU685" i="1"/>
  <c r="BU686" i="1"/>
  <c r="BU687" i="1"/>
  <c r="BU688" i="1"/>
  <c r="BU689" i="1"/>
  <c r="BU690" i="1"/>
  <c r="BU691" i="1"/>
  <c r="BU692" i="1"/>
  <c r="BU693" i="1"/>
  <c r="BU694" i="1"/>
  <c r="BU695" i="1"/>
  <c r="BU696" i="1"/>
  <c r="BU697" i="1"/>
  <c r="BU698" i="1"/>
  <c r="BU699" i="1"/>
  <c r="BU700" i="1"/>
  <c r="BU701" i="1"/>
  <c r="BU702" i="1"/>
  <c r="BU703" i="1"/>
  <c r="BU704" i="1"/>
  <c r="BU705" i="1"/>
  <c r="BU706" i="1"/>
  <c r="BU707" i="1"/>
  <c r="BU708" i="1"/>
  <c r="BU709" i="1"/>
  <c r="BU710" i="1"/>
  <c r="BU711" i="1"/>
  <c r="BU712" i="1"/>
  <c r="BU713" i="1"/>
  <c r="BU714" i="1"/>
  <c r="BU715" i="1"/>
  <c r="BU716" i="1"/>
  <c r="BU717" i="1"/>
  <c r="BU718" i="1"/>
  <c r="BU719" i="1"/>
  <c r="BU720" i="1"/>
  <c r="BU721" i="1"/>
  <c r="BU722" i="1"/>
  <c r="BU723" i="1"/>
  <c r="BU724" i="1"/>
  <c r="BU725" i="1"/>
  <c r="BU726" i="1"/>
  <c r="BU727" i="1"/>
  <c r="BU728" i="1"/>
  <c r="BU729" i="1"/>
  <c r="BU730" i="1"/>
  <c r="BU731" i="1"/>
  <c r="BU732" i="1"/>
  <c r="BU733" i="1"/>
  <c r="BU734" i="1"/>
  <c r="BU735" i="1"/>
  <c r="BU736" i="1"/>
  <c r="BU737" i="1"/>
  <c r="BU738" i="1"/>
  <c r="BU739" i="1"/>
  <c r="BU740" i="1"/>
  <c r="BU741" i="1"/>
  <c r="BU742" i="1"/>
  <c r="BU743" i="1"/>
  <c r="BU744" i="1"/>
  <c r="BU745" i="1"/>
  <c r="BU746" i="1"/>
  <c r="BU747" i="1"/>
  <c r="BU748" i="1"/>
  <c r="BU749" i="1"/>
  <c r="BU750" i="1"/>
  <c r="BU751" i="1"/>
  <c r="BU752" i="1"/>
  <c r="BU753" i="1"/>
  <c r="BU754" i="1"/>
  <c r="BU755" i="1"/>
  <c r="BU756" i="1"/>
  <c r="BU757" i="1"/>
  <c r="BU758" i="1"/>
  <c r="BU759" i="1"/>
  <c r="BU760" i="1"/>
  <c r="BU761" i="1"/>
  <c r="BU762" i="1"/>
  <c r="BU763" i="1"/>
  <c r="BU764" i="1"/>
  <c r="BU765" i="1"/>
  <c r="BU766" i="1"/>
  <c r="BU767" i="1"/>
  <c r="BU768" i="1"/>
  <c r="BU769" i="1"/>
  <c r="BU770" i="1"/>
  <c r="BU771" i="1"/>
  <c r="BU772" i="1"/>
  <c r="BU773" i="1"/>
  <c r="BU774" i="1"/>
  <c r="BU775" i="1"/>
  <c r="BU776" i="1"/>
  <c r="BU777" i="1"/>
  <c r="BU778" i="1"/>
  <c r="BU779" i="1"/>
  <c r="BU780" i="1"/>
  <c r="BU781" i="1"/>
  <c r="BU782" i="1"/>
  <c r="BU783" i="1"/>
  <c r="BU784" i="1"/>
  <c r="BU785" i="1"/>
  <c r="BU786" i="1"/>
  <c r="BU787" i="1"/>
  <c r="BU788" i="1"/>
  <c r="BU789" i="1"/>
  <c r="BU790" i="1"/>
  <c r="BU791" i="1"/>
  <c r="BU792" i="1"/>
  <c r="BU793" i="1"/>
  <c r="BU794" i="1"/>
  <c r="BU795" i="1"/>
  <c r="BU796" i="1"/>
  <c r="BU797" i="1"/>
  <c r="BU798" i="1"/>
  <c r="BU799" i="1"/>
  <c r="BU800" i="1"/>
  <c r="BU801" i="1"/>
  <c r="BU802" i="1"/>
  <c r="BU803" i="1"/>
  <c r="BU804" i="1"/>
  <c r="BU805" i="1"/>
  <c r="BU806" i="1"/>
  <c r="BU807" i="1"/>
  <c r="BU808" i="1"/>
  <c r="BU809" i="1"/>
  <c r="BU810" i="1"/>
  <c r="BU811" i="1"/>
  <c r="BU812" i="1"/>
  <c r="BU813" i="1"/>
  <c r="BU814" i="1"/>
  <c r="BU815" i="1"/>
  <c r="BU816" i="1"/>
  <c r="BU817" i="1"/>
  <c r="BU818" i="1"/>
  <c r="BU819" i="1"/>
  <c r="BU820" i="1"/>
  <c r="BU821" i="1"/>
  <c r="BU822" i="1"/>
  <c r="BU823" i="1"/>
  <c r="BU824" i="1"/>
  <c r="BU825" i="1"/>
  <c r="BU826" i="1"/>
  <c r="BU827" i="1"/>
  <c r="BU828" i="1"/>
  <c r="BU829" i="1"/>
  <c r="BU830" i="1"/>
  <c r="BU831" i="1"/>
  <c r="BU832" i="1"/>
  <c r="BU833" i="1"/>
  <c r="BU834" i="1"/>
  <c r="BU835" i="1"/>
  <c r="BU836" i="1"/>
  <c r="BU837" i="1"/>
  <c r="BU838" i="1"/>
  <c r="BU839" i="1"/>
  <c r="BU840" i="1"/>
  <c r="BU841" i="1"/>
  <c r="BU842" i="1"/>
  <c r="BU843" i="1"/>
  <c r="BU844" i="1"/>
  <c r="BU845" i="1"/>
  <c r="BU846" i="1"/>
  <c r="BU847" i="1"/>
  <c r="BU848" i="1"/>
  <c r="BU849" i="1"/>
  <c r="BU850" i="1"/>
  <c r="BU851" i="1"/>
  <c r="BU852" i="1"/>
  <c r="BU853" i="1"/>
  <c r="BU854" i="1"/>
  <c r="BU855" i="1"/>
  <c r="BU856" i="1"/>
  <c r="BU857" i="1"/>
  <c r="BU858" i="1"/>
  <c r="BU859" i="1"/>
  <c r="BU860" i="1"/>
  <c r="BU861" i="1"/>
  <c r="BU862" i="1"/>
  <c r="BU863" i="1"/>
  <c r="BU864" i="1"/>
  <c r="BU865" i="1"/>
  <c r="BU866" i="1"/>
  <c r="BU867" i="1"/>
  <c r="BU868" i="1"/>
  <c r="BU869" i="1"/>
  <c r="BU870" i="1"/>
  <c r="BU871" i="1"/>
  <c r="BU872" i="1"/>
  <c r="BU873" i="1"/>
  <c r="BU874" i="1"/>
  <c r="BU875" i="1"/>
  <c r="BU876" i="1"/>
  <c r="BU877" i="1"/>
  <c r="BU878" i="1"/>
  <c r="BU879" i="1"/>
  <c r="BU880" i="1"/>
  <c r="BU881" i="1"/>
  <c r="BU882" i="1"/>
  <c r="BU883" i="1"/>
  <c r="BU884" i="1"/>
  <c r="BU885" i="1"/>
  <c r="BU886" i="1"/>
  <c r="BU887" i="1"/>
  <c r="BU888" i="1"/>
  <c r="BU889" i="1"/>
  <c r="BU890" i="1"/>
  <c r="BU891" i="1"/>
  <c r="BU892" i="1"/>
  <c r="BU893" i="1"/>
  <c r="BU894" i="1"/>
  <c r="BU895" i="1"/>
  <c r="BU896" i="1"/>
  <c r="BU897" i="1"/>
  <c r="BU898" i="1"/>
  <c r="BU899" i="1"/>
  <c r="BU900" i="1"/>
  <c r="BU901" i="1"/>
  <c r="BU902" i="1"/>
  <c r="BU903" i="1"/>
  <c r="BU904" i="1"/>
  <c r="BU905" i="1"/>
  <c r="BU906" i="1"/>
  <c r="BU907" i="1"/>
  <c r="BU908" i="1"/>
  <c r="BU909" i="1"/>
  <c r="BU910" i="1"/>
  <c r="BU911" i="1"/>
  <c r="BU912" i="1"/>
  <c r="BU913" i="1"/>
  <c r="BU914" i="1"/>
  <c r="BU915" i="1"/>
  <c r="BU916" i="1"/>
  <c r="BU917" i="1"/>
  <c r="BU918" i="1"/>
  <c r="BU919" i="1"/>
  <c r="BU920" i="1"/>
  <c r="BU921" i="1"/>
  <c r="BU922" i="1"/>
  <c r="BU923" i="1"/>
  <c r="BU924" i="1"/>
  <c r="BU925" i="1"/>
  <c r="BU926" i="1"/>
  <c r="BU927" i="1"/>
  <c r="BU928" i="1"/>
  <c r="BU929" i="1"/>
  <c r="BU930" i="1"/>
  <c r="BU931" i="1"/>
  <c r="BU932" i="1"/>
  <c r="BU933" i="1"/>
  <c r="BU934" i="1"/>
  <c r="BU935" i="1"/>
  <c r="BU936" i="1"/>
  <c r="BU937" i="1"/>
  <c r="BU938" i="1"/>
  <c r="BU939" i="1"/>
  <c r="BU940" i="1"/>
  <c r="BU941" i="1"/>
  <c r="BU942" i="1"/>
  <c r="BU943" i="1"/>
  <c r="BU944" i="1"/>
  <c r="BU945" i="1"/>
  <c r="BU946" i="1"/>
  <c r="BU947" i="1"/>
  <c r="BU948" i="1"/>
  <c r="BU949" i="1"/>
  <c r="BU950" i="1"/>
  <c r="BU951" i="1"/>
  <c r="BU952" i="1"/>
  <c r="BU953" i="1"/>
  <c r="BU954" i="1"/>
  <c r="BU955" i="1"/>
  <c r="BU956" i="1"/>
  <c r="BU957" i="1"/>
  <c r="BU958" i="1"/>
  <c r="BU959" i="1"/>
  <c r="BU960" i="1"/>
  <c r="BU961" i="1"/>
  <c r="BU962" i="1"/>
  <c r="BU963" i="1"/>
  <c r="BU964" i="1"/>
  <c r="BU965" i="1"/>
  <c r="BU966" i="1"/>
  <c r="BU967" i="1"/>
  <c r="BU968" i="1"/>
  <c r="BU969" i="1"/>
  <c r="BU970" i="1"/>
  <c r="BU971" i="1"/>
  <c r="BU972" i="1"/>
  <c r="BU973" i="1"/>
  <c r="BU974" i="1"/>
  <c r="BU975" i="1"/>
  <c r="BU976" i="1"/>
  <c r="BU977" i="1"/>
  <c r="BU978" i="1"/>
  <c r="BU979" i="1"/>
  <c r="BU980" i="1"/>
  <c r="BU981" i="1"/>
  <c r="BU982" i="1"/>
  <c r="BU983" i="1"/>
  <c r="BU984" i="1"/>
  <c r="BU985" i="1"/>
  <c r="BU986" i="1"/>
  <c r="BU987" i="1"/>
  <c r="BU988" i="1"/>
  <c r="BU989" i="1"/>
  <c r="BU990" i="1"/>
  <c r="BU991" i="1"/>
  <c r="BU992" i="1"/>
  <c r="BU993" i="1"/>
  <c r="BU994" i="1"/>
  <c r="BU995" i="1"/>
  <c r="BU996" i="1"/>
  <c r="BU997" i="1"/>
  <c r="BU998" i="1"/>
  <c r="BU999" i="1"/>
  <c r="BU1000" i="1"/>
  <c r="BU1001" i="1"/>
  <c r="BU2" i="1"/>
  <c r="BS3" i="1"/>
  <c r="BS4" i="1"/>
  <c r="BS5" i="1"/>
  <c r="BS6" i="1"/>
  <c r="BS7" i="1"/>
  <c r="BS8" i="1"/>
  <c r="BS9" i="1"/>
  <c r="BS10" i="1"/>
  <c r="BS11" i="1"/>
  <c r="BS12" i="1"/>
  <c r="BS13" i="1"/>
  <c r="BS14" i="1"/>
  <c r="BS15" i="1"/>
  <c r="BS16" i="1"/>
  <c r="BS17" i="1"/>
  <c r="BS18" i="1"/>
  <c r="BS19" i="1"/>
  <c r="BS20" i="1"/>
  <c r="BS21" i="1"/>
  <c r="BS22" i="1"/>
  <c r="BS23" i="1"/>
  <c r="BS24" i="1"/>
  <c r="BS25" i="1"/>
  <c r="BS26" i="1"/>
  <c r="BS27" i="1"/>
  <c r="BS28" i="1"/>
  <c r="BS29" i="1"/>
  <c r="BS30" i="1"/>
  <c r="BS31" i="1"/>
  <c r="BS32" i="1"/>
  <c r="BS33" i="1"/>
  <c r="BS34" i="1"/>
  <c r="BS35" i="1"/>
  <c r="BS36" i="1"/>
  <c r="BS37" i="1"/>
  <c r="BS38" i="1"/>
  <c r="BS39" i="1"/>
  <c r="BS40" i="1"/>
  <c r="BS41" i="1"/>
  <c r="BS42" i="1"/>
  <c r="BS43" i="1"/>
  <c r="BS44" i="1"/>
  <c r="BS45" i="1"/>
  <c r="BS46" i="1"/>
  <c r="BS47" i="1"/>
  <c r="BS48" i="1"/>
  <c r="BS49" i="1"/>
  <c r="BS50" i="1"/>
  <c r="BS51" i="1"/>
  <c r="BS52" i="1"/>
  <c r="BS53" i="1"/>
  <c r="BS54" i="1"/>
  <c r="BS55" i="1"/>
  <c r="BS56" i="1"/>
  <c r="BS57" i="1"/>
  <c r="BS58" i="1"/>
  <c r="BS59" i="1"/>
  <c r="BS60" i="1"/>
  <c r="BS61" i="1"/>
  <c r="BS62" i="1"/>
  <c r="BS63" i="1"/>
  <c r="BS64" i="1"/>
  <c r="BS65" i="1"/>
  <c r="BS66" i="1"/>
  <c r="BS67" i="1"/>
  <c r="BS68" i="1"/>
  <c r="BS69" i="1"/>
  <c r="BS70" i="1"/>
  <c r="BS71" i="1"/>
  <c r="BS72" i="1"/>
  <c r="BS73" i="1"/>
  <c r="BS74" i="1"/>
  <c r="BS75" i="1"/>
  <c r="BS76" i="1"/>
  <c r="BS77" i="1"/>
  <c r="BS78" i="1"/>
  <c r="BS79" i="1"/>
  <c r="BS80" i="1"/>
  <c r="BS81" i="1"/>
  <c r="BS82" i="1"/>
  <c r="BS83" i="1"/>
  <c r="BS84" i="1"/>
  <c r="BS85" i="1"/>
  <c r="BS86" i="1"/>
  <c r="BS87" i="1"/>
  <c r="BS88" i="1"/>
  <c r="BS89" i="1"/>
  <c r="BS90" i="1"/>
  <c r="BS91" i="1"/>
  <c r="BS92" i="1"/>
  <c r="BS93" i="1"/>
  <c r="BS94" i="1"/>
  <c r="BS95" i="1"/>
  <c r="BS96" i="1"/>
  <c r="BS97" i="1"/>
  <c r="BS98" i="1"/>
  <c r="BS99" i="1"/>
  <c r="BS100" i="1"/>
  <c r="BS101" i="1"/>
  <c r="BS102" i="1"/>
  <c r="BS103" i="1"/>
  <c r="BS104" i="1"/>
  <c r="BS105" i="1"/>
  <c r="BS106" i="1"/>
  <c r="BS107" i="1"/>
  <c r="BS108" i="1"/>
  <c r="BS109" i="1"/>
  <c r="BS110" i="1"/>
  <c r="BS111" i="1"/>
  <c r="BS112" i="1"/>
  <c r="BS113" i="1"/>
  <c r="BS114" i="1"/>
  <c r="BS115" i="1"/>
  <c r="BS116" i="1"/>
  <c r="BS117" i="1"/>
  <c r="BS118" i="1"/>
  <c r="BS119" i="1"/>
  <c r="BS120" i="1"/>
  <c r="BS121" i="1"/>
  <c r="BS122" i="1"/>
  <c r="BS123" i="1"/>
  <c r="BS124" i="1"/>
  <c r="BS125" i="1"/>
  <c r="BS126" i="1"/>
  <c r="BS127" i="1"/>
  <c r="BS128" i="1"/>
  <c r="BS129" i="1"/>
  <c r="BS130" i="1"/>
  <c r="BS131" i="1"/>
  <c r="BS132" i="1"/>
  <c r="BS133" i="1"/>
  <c r="BS134" i="1"/>
  <c r="BS135" i="1"/>
  <c r="BS136" i="1"/>
  <c r="BS137" i="1"/>
  <c r="BS138" i="1"/>
  <c r="BS139" i="1"/>
  <c r="BS140" i="1"/>
  <c r="BS141" i="1"/>
  <c r="BS142" i="1"/>
  <c r="BS143" i="1"/>
  <c r="BS144" i="1"/>
  <c r="BS145" i="1"/>
  <c r="BS146" i="1"/>
  <c r="BS147" i="1"/>
  <c r="BS148" i="1"/>
  <c r="BS149" i="1"/>
  <c r="BS150" i="1"/>
  <c r="BS151" i="1"/>
  <c r="BS152" i="1"/>
  <c r="BS153" i="1"/>
  <c r="BS154" i="1"/>
  <c r="BS155" i="1"/>
  <c r="BS156" i="1"/>
  <c r="BS157" i="1"/>
  <c r="BS158" i="1"/>
  <c r="BS159" i="1"/>
  <c r="BS160" i="1"/>
  <c r="BS161" i="1"/>
  <c r="BS162" i="1"/>
  <c r="BS163" i="1"/>
  <c r="BS164" i="1"/>
  <c r="BS165" i="1"/>
  <c r="BS166" i="1"/>
  <c r="BS167" i="1"/>
  <c r="BS168" i="1"/>
  <c r="BS169" i="1"/>
  <c r="BS170" i="1"/>
  <c r="BS171" i="1"/>
  <c r="BS172" i="1"/>
  <c r="BS173" i="1"/>
  <c r="BS174" i="1"/>
  <c r="BS175" i="1"/>
  <c r="BS176" i="1"/>
  <c r="BS177" i="1"/>
  <c r="BS178" i="1"/>
  <c r="BS179" i="1"/>
  <c r="BS180" i="1"/>
  <c r="BS181" i="1"/>
  <c r="BS182" i="1"/>
  <c r="BS183" i="1"/>
  <c r="BS184" i="1"/>
  <c r="BS185" i="1"/>
  <c r="BS186" i="1"/>
  <c r="BS187" i="1"/>
  <c r="BS188" i="1"/>
  <c r="BS189" i="1"/>
  <c r="BS190" i="1"/>
  <c r="BS191" i="1"/>
  <c r="BS192" i="1"/>
  <c r="BS193" i="1"/>
  <c r="BS194" i="1"/>
  <c r="BS195" i="1"/>
  <c r="BS196" i="1"/>
  <c r="BS197" i="1"/>
  <c r="BS198" i="1"/>
  <c r="BS199" i="1"/>
  <c r="BS200" i="1"/>
  <c r="BS201" i="1"/>
  <c r="BS202" i="1"/>
  <c r="BS203" i="1"/>
  <c r="BS204" i="1"/>
  <c r="BS205" i="1"/>
  <c r="BS206" i="1"/>
  <c r="BS207" i="1"/>
  <c r="BS208" i="1"/>
  <c r="BS209" i="1"/>
  <c r="BS210" i="1"/>
  <c r="BS211" i="1"/>
  <c r="BS212" i="1"/>
  <c r="BS213" i="1"/>
  <c r="BS214" i="1"/>
  <c r="BS215" i="1"/>
  <c r="BS216" i="1"/>
  <c r="BS217" i="1"/>
  <c r="BS218" i="1"/>
  <c r="BS219" i="1"/>
  <c r="BS220" i="1"/>
  <c r="BS221" i="1"/>
  <c r="BS222" i="1"/>
  <c r="BS223" i="1"/>
  <c r="BS224" i="1"/>
  <c r="BS225" i="1"/>
  <c r="BS226" i="1"/>
  <c r="BS227" i="1"/>
  <c r="BS228" i="1"/>
  <c r="BS229" i="1"/>
  <c r="BS230" i="1"/>
  <c r="BS231" i="1"/>
  <c r="BS232" i="1"/>
  <c r="BS233" i="1"/>
  <c r="BS234" i="1"/>
  <c r="BS235" i="1"/>
  <c r="BS236" i="1"/>
  <c r="BS237" i="1"/>
  <c r="BS238" i="1"/>
  <c r="BS239" i="1"/>
  <c r="BS240" i="1"/>
  <c r="BS241" i="1"/>
  <c r="BS242" i="1"/>
  <c r="BS243" i="1"/>
  <c r="BS244" i="1"/>
  <c r="BS245" i="1"/>
  <c r="BS246" i="1"/>
  <c r="BS247" i="1"/>
  <c r="BS248" i="1"/>
  <c r="BS249" i="1"/>
  <c r="BS250" i="1"/>
  <c r="BS251" i="1"/>
  <c r="BS252" i="1"/>
  <c r="BS253" i="1"/>
  <c r="BS254" i="1"/>
  <c r="BS255" i="1"/>
  <c r="BS256" i="1"/>
  <c r="BS257" i="1"/>
  <c r="BS258" i="1"/>
  <c r="BS259" i="1"/>
  <c r="BB5" i="1" s="1"/>
  <c r="BS260" i="1"/>
  <c r="BS261" i="1"/>
  <c r="BS262" i="1"/>
  <c r="BS263" i="1"/>
  <c r="BS264" i="1"/>
  <c r="BS265" i="1"/>
  <c r="BS266" i="1"/>
  <c r="BS267" i="1"/>
  <c r="BS268" i="1"/>
  <c r="BS269" i="1"/>
  <c r="BS270" i="1"/>
  <c r="BS271" i="1"/>
  <c r="BS272" i="1"/>
  <c r="BS273" i="1"/>
  <c r="BS274" i="1"/>
  <c r="BS275" i="1"/>
  <c r="BS276" i="1"/>
  <c r="BS277" i="1"/>
  <c r="BS278" i="1"/>
  <c r="BS279" i="1"/>
  <c r="BS280" i="1"/>
  <c r="BS281" i="1"/>
  <c r="BS282" i="1"/>
  <c r="BS283" i="1"/>
  <c r="BS284" i="1"/>
  <c r="BS285" i="1"/>
  <c r="BS286" i="1"/>
  <c r="BS287" i="1"/>
  <c r="BS288" i="1"/>
  <c r="BS289" i="1"/>
  <c r="BS290" i="1"/>
  <c r="BS291" i="1"/>
  <c r="BS292" i="1"/>
  <c r="BS293" i="1"/>
  <c r="BS294" i="1"/>
  <c r="BS295" i="1"/>
  <c r="BS296" i="1"/>
  <c r="BS297" i="1"/>
  <c r="BS298" i="1"/>
  <c r="BS299" i="1"/>
  <c r="BS300" i="1"/>
  <c r="BS301" i="1"/>
  <c r="BS302" i="1"/>
  <c r="BS303" i="1"/>
  <c r="BS304" i="1"/>
  <c r="BS305" i="1"/>
  <c r="BS306" i="1"/>
  <c r="BS307" i="1"/>
  <c r="BS308" i="1"/>
  <c r="BS309" i="1"/>
  <c r="BS310" i="1"/>
  <c r="BS311" i="1"/>
  <c r="BS312" i="1"/>
  <c r="BS313" i="1"/>
  <c r="BS314" i="1"/>
  <c r="BS315" i="1"/>
  <c r="BS316" i="1"/>
  <c r="BS317" i="1"/>
  <c r="BS318" i="1"/>
  <c r="BS319" i="1"/>
  <c r="BS320" i="1"/>
  <c r="BS321" i="1"/>
  <c r="BS322" i="1"/>
  <c r="BS323" i="1"/>
  <c r="BS324" i="1"/>
  <c r="BS325" i="1"/>
  <c r="BS326" i="1"/>
  <c r="BS327" i="1"/>
  <c r="BS328" i="1"/>
  <c r="BS329" i="1"/>
  <c r="BS330" i="1"/>
  <c r="BS331" i="1"/>
  <c r="BS332" i="1"/>
  <c r="BS333" i="1"/>
  <c r="BS334" i="1"/>
  <c r="BS335" i="1"/>
  <c r="BS336" i="1"/>
  <c r="BS337" i="1"/>
  <c r="BS338" i="1"/>
  <c r="BS339" i="1"/>
  <c r="BS340" i="1"/>
  <c r="BS341" i="1"/>
  <c r="BS342" i="1"/>
  <c r="BS343" i="1"/>
  <c r="BS344" i="1"/>
  <c r="BS345" i="1"/>
  <c r="BS346" i="1"/>
  <c r="BS347" i="1"/>
  <c r="BS348" i="1"/>
  <c r="BS349" i="1"/>
  <c r="BS350" i="1"/>
  <c r="BS351" i="1"/>
  <c r="BS352" i="1"/>
  <c r="BS353" i="1"/>
  <c r="BS354" i="1"/>
  <c r="BS355" i="1"/>
  <c r="BS356" i="1"/>
  <c r="BS357" i="1"/>
  <c r="BS358" i="1"/>
  <c r="BS359" i="1"/>
  <c r="BS360" i="1"/>
  <c r="BS361" i="1"/>
  <c r="BS362" i="1"/>
  <c r="BS363" i="1"/>
  <c r="BS364" i="1"/>
  <c r="BS365" i="1"/>
  <c r="BS366" i="1"/>
  <c r="BS367" i="1"/>
  <c r="BS368" i="1"/>
  <c r="BS369" i="1"/>
  <c r="BS370" i="1"/>
  <c r="BS371" i="1"/>
  <c r="BS372" i="1"/>
  <c r="BS373" i="1"/>
  <c r="BS374" i="1"/>
  <c r="BS375" i="1"/>
  <c r="BS376" i="1"/>
  <c r="BS377" i="1"/>
  <c r="BS378" i="1"/>
  <c r="BS379" i="1"/>
  <c r="BS380" i="1"/>
  <c r="BS381" i="1"/>
  <c r="BS382" i="1"/>
  <c r="BS383" i="1"/>
  <c r="BS384" i="1"/>
  <c r="BS385" i="1"/>
  <c r="BS386" i="1"/>
  <c r="BS387" i="1"/>
  <c r="BS388" i="1"/>
  <c r="BS389" i="1"/>
  <c r="BS390" i="1"/>
  <c r="BS391" i="1"/>
  <c r="BS392" i="1"/>
  <c r="BS393" i="1"/>
  <c r="BS394" i="1"/>
  <c r="BS395" i="1"/>
  <c r="BS396" i="1"/>
  <c r="BS397" i="1"/>
  <c r="BS398" i="1"/>
  <c r="BS399" i="1"/>
  <c r="BS400" i="1"/>
  <c r="BS401" i="1"/>
  <c r="BS402" i="1"/>
  <c r="BS403" i="1"/>
  <c r="BS404" i="1"/>
  <c r="BS405" i="1"/>
  <c r="BS406" i="1"/>
  <c r="BS407" i="1"/>
  <c r="BS408" i="1"/>
  <c r="BS409" i="1"/>
  <c r="BS410" i="1"/>
  <c r="BS411" i="1"/>
  <c r="BS412" i="1"/>
  <c r="BS413" i="1"/>
  <c r="BS414" i="1"/>
  <c r="BS415" i="1"/>
  <c r="BS416" i="1"/>
  <c r="BS417" i="1"/>
  <c r="BS418" i="1"/>
  <c r="BS419" i="1"/>
  <c r="BS420" i="1"/>
  <c r="BS421" i="1"/>
  <c r="BB7" i="1" s="1"/>
  <c r="BS422" i="1"/>
  <c r="BS423" i="1"/>
  <c r="BS424" i="1"/>
  <c r="BS425" i="1"/>
  <c r="BS426" i="1"/>
  <c r="BS427" i="1"/>
  <c r="BS428" i="1"/>
  <c r="BS429" i="1"/>
  <c r="BS430" i="1"/>
  <c r="BS431" i="1"/>
  <c r="BS432" i="1"/>
  <c r="BS433" i="1"/>
  <c r="BS434" i="1"/>
  <c r="BS435" i="1"/>
  <c r="BS436" i="1"/>
  <c r="BS437" i="1"/>
  <c r="BS438" i="1"/>
  <c r="BS439" i="1"/>
  <c r="BS440" i="1"/>
  <c r="BS441" i="1"/>
  <c r="BS442" i="1"/>
  <c r="BS443" i="1"/>
  <c r="BS444" i="1"/>
  <c r="BS445" i="1"/>
  <c r="BS446" i="1"/>
  <c r="BS447" i="1"/>
  <c r="BS448" i="1"/>
  <c r="BS449" i="1"/>
  <c r="BS450" i="1"/>
  <c r="BS451" i="1"/>
  <c r="BS452" i="1"/>
  <c r="BS453" i="1"/>
  <c r="BS454" i="1"/>
  <c r="BS455" i="1"/>
  <c r="BS456" i="1"/>
  <c r="BS457" i="1"/>
  <c r="BS458" i="1"/>
  <c r="BS459" i="1"/>
  <c r="BS460" i="1"/>
  <c r="BS461" i="1"/>
  <c r="BS462" i="1"/>
  <c r="BS463" i="1"/>
  <c r="BS464" i="1"/>
  <c r="BS465" i="1"/>
  <c r="BS466" i="1"/>
  <c r="BS467" i="1"/>
  <c r="BS468" i="1"/>
  <c r="BS469" i="1"/>
  <c r="BS470" i="1"/>
  <c r="BS471" i="1"/>
  <c r="BS472" i="1"/>
  <c r="BS473" i="1"/>
  <c r="BS474" i="1"/>
  <c r="BS475" i="1"/>
  <c r="BS476" i="1"/>
  <c r="BS477" i="1"/>
  <c r="BS478" i="1"/>
  <c r="BS479" i="1"/>
  <c r="BS480" i="1"/>
  <c r="BS481" i="1"/>
  <c r="BS482" i="1"/>
  <c r="BS483" i="1"/>
  <c r="BS484" i="1"/>
  <c r="BS485" i="1"/>
  <c r="BS486" i="1"/>
  <c r="BS487" i="1"/>
  <c r="BS488" i="1"/>
  <c r="BS489" i="1"/>
  <c r="BS490" i="1"/>
  <c r="BS491" i="1"/>
  <c r="BS492" i="1"/>
  <c r="BS493" i="1"/>
  <c r="BS494" i="1"/>
  <c r="BS495" i="1"/>
  <c r="BS496" i="1"/>
  <c r="BS497" i="1"/>
  <c r="BS498" i="1"/>
  <c r="BS499" i="1"/>
  <c r="BS500" i="1"/>
  <c r="BS501" i="1"/>
  <c r="BS502" i="1"/>
  <c r="BS503" i="1"/>
  <c r="BS504" i="1"/>
  <c r="BS505" i="1"/>
  <c r="BS506" i="1"/>
  <c r="BS507" i="1"/>
  <c r="BS508" i="1"/>
  <c r="BS509" i="1"/>
  <c r="BS510" i="1"/>
  <c r="BS511" i="1"/>
  <c r="BS512" i="1"/>
  <c r="BS513" i="1"/>
  <c r="BS514" i="1"/>
  <c r="BS515" i="1"/>
  <c r="BS516" i="1"/>
  <c r="BS517" i="1"/>
  <c r="BS518" i="1"/>
  <c r="BS519" i="1"/>
  <c r="BS520" i="1"/>
  <c r="BS521" i="1"/>
  <c r="BS522" i="1"/>
  <c r="BS523" i="1"/>
  <c r="BS524" i="1"/>
  <c r="BS525" i="1"/>
  <c r="BS526" i="1"/>
  <c r="BS527" i="1"/>
  <c r="BS528" i="1"/>
  <c r="BS529" i="1"/>
  <c r="BS530" i="1"/>
  <c r="BS531" i="1"/>
  <c r="BS532" i="1"/>
  <c r="BS533" i="1"/>
  <c r="BS534" i="1"/>
  <c r="BS535" i="1"/>
  <c r="BS536" i="1"/>
  <c r="BS537" i="1"/>
  <c r="BS538" i="1"/>
  <c r="BS539" i="1"/>
  <c r="BS540" i="1"/>
  <c r="BS541" i="1"/>
  <c r="BS542" i="1"/>
  <c r="BS543" i="1"/>
  <c r="BS544" i="1"/>
  <c r="BS545" i="1"/>
  <c r="BS546" i="1"/>
  <c r="BS547" i="1"/>
  <c r="BS548" i="1"/>
  <c r="BS549" i="1"/>
  <c r="BS550" i="1"/>
  <c r="BS551" i="1"/>
  <c r="BS552" i="1"/>
  <c r="BS553" i="1"/>
  <c r="BS554" i="1"/>
  <c r="BS555" i="1"/>
  <c r="BS556" i="1"/>
  <c r="BS557" i="1"/>
  <c r="BS558" i="1"/>
  <c r="BS559" i="1"/>
  <c r="BS560" i="1"/>
  <c r="BS561" i="1"/>
  <c r="BS562" i="1"/>
  <c r="BS563" i="1"/>
  <c r="BS564" i="1"/>
  <c r="BS565" i="1"/>
  <c r="BS566" i="1"/>
  <c r="BS567" i="1"/>
  <c r="BS568" i="1"/>
  <c r="BS569" i="1"/>
  <c r="BS570" i="1"/>
  <c r="BS571" i="1"/>
  <c r="BS572" i="1"/>
  <c r="BS573" i="1"/>
  <c r="BS574" i="1"/>
  <c r="BS575" i="1"/>
  <c r="BS576" i="1"/>
  <c r="BS577" i="1"/>
  <c r="BS578" i="1"/>
  <c r="BS579" i="1"/>
  <c r="BS580" i="1"/>
  <c r="BS581" i="1"/>
  <c r="BS582" i="1"/>
  <c r="BS583" i="1"/>
  <c r="BS584" i="1"/>
  <c r="BS585" i="1"/>
  <c r="BS586" i="1"/>
  <c r="BS587" i="1"/>
  <c r="BS588" i="1"/>
  <c r="BS589" i="1"/>
  <c r="BS590" i="1"/>
  <c r="BS591" i="1"/>
  <c r="BS592" i="1"/>
  <c r="BS593" i="1"/>
  <c r="BS594" i="1"/>
  <c r="BB9" i="1" s="1"/>
  <c r="BS595" i="1"/>
  <c r="BS596" i="1"/>
  <c r="BS597" i="1"/>
  <c r="BS598" i="1"/>
  <c r="BS599" i="1"/>
  <c r="BS600" i="1"/>
  <c r="BS601" i="1"/>
  <c r="BS602" i="1"/>
  <c r="BS603" i="1"/>
  <c r="BS604" i="1"/>
  <c r="BS605" i="1"/>
  <c r="BS606" i="1"/>
  <c r="BS607" i="1"/>
  <c r="BS608" i="1"/>
  <c r="BS609" i="1"/>
  <c r="BS610" i="1"/>
  <c r="BS611" i="1"/>
  <c r="BS612" i="1"/>
  <c r="BS613" i="1"/>
  <c r="BS614" i="1"/>
  <c r="BS615" i="1"/>
  <c r="BS616" i="1"/>
  <c r="BS617" i="1"/>
  <c r="BS618" i="1"/>
  <c r="BS619" i="1"/>
  <c r="BS620" i="1"/>
  <c r="BS621" i="1"/>
  <c r="BS622" i="1"/>
  <c r="BS623" i="1"/>
  <c r="BS624" i="1"/>
  <c r="BS625" i="1"/>
  <c r="BS626" i="1"/>
  <c r="BS627" i="1"/>
  <c r="BS628" i="1"/>
  <c r="BS629" i="1"/>
  <c r="BS630" i="1"/>
  <c r="BS631" i="1"/>
  <c r="BS632" i="1"/>
  <c r="BS633" i="1"/>
  <c r="BS634" i="1"/>
  <c r="BS635" i="1"/>
  <c r="BS636" i="1"/>
  <c r="BS637" i="1"/>
  <c r="BS638" i="1"/>
  <c r="BS639" i="1"/>
  <c r="BS640" i="1"/>
  <c r="BS641" i="1"/>
  <c r="BS642" i="1"/>
  <c r="BS643" i="1"/>
  <c r="BS644" i="1"/>
  <c r="BS645" i="1"/>
  <c r="BS646" i="1"/>
  <c r="BS647" i="1"/>
  <c r="BS648" i="1"/>
  <c r="BS649" i="1"/>
  <c r="BS650" i="1"/>
  <c r="BS651" i="1"/>
  <c r="BS652" i="1"/>
  <c r="BS653" i="1"/>
  <c r="BS654" i="1"/>
  <c r="BS655" i="1"/>
  <c r="BS656" i="1"/>
  <c r="BS657" i="1"/>
  <c r="BS658" i="1"/>
  <c r="BS659" i="1"/>
  <c r="BS660" i="1"/>
  <c r="BS661" i="1"/>
  <c r="BS662" i="1"/>
  <c r="BS663" i="1"/>
  <c r="BS664" i="1"/>
  <c r="BS665" i="1"/>
  <c r="BS666" i="1"/>
  <c r="BS667" i="1"/>
  <c r="BS668" i="1"/>
  <c r="BS669" i="1"/>
  <c r="BS670" i="1"/>
  <c r="BS671" i="1"/>
  <c r="BS672" i="1"/>
  <c r="BS673" i="1"/>
  <c r="BS674" i="1"/>
  <c r="BS675" i="1"/>
  <c r="BS676" i="1"/>
  <c r="BS677" i="1"/>
  <c r="BS678" i="1"/>
  <c r="BS679" i="1"/>
  <c r="BS680" i="1"/>
  <c r="BS681" i="1"/>
  <c r="BS682" i="1"/>
  <c r="BS683" i="1"/>
  <c r="BS684" i="1"/>
  <c r="BS685" i="1"/>
  <c r="BS686" i="1"/>
  <c r="BS687" i="1"/>
  <c r="BS688" i="1"/>
  <c r="BS689" i="1"/>
  <c r="BS690" i="1"/>
  <c r="BS691" i="1"/>
  <c r="BS692" i="1"/>
  <c r="BS693" i="1"/>
  <c r="BS694" i="1"/>
  <c r="BS695" i="1"/>
  <c r="BS696" i="1"/>
  <c r="BS697" i="1"/>
  <c r="BS698" i="1"/>
  <c r="BS699" i="1"/>
  <c r="BS700" i="1"/>
  <c r="BS701" i="1"/>
  <c r="BS702" i="1"/>
  <c r="BS703" i="1"/>
  <c r="BS704" i="1"/>
  <c r="BS705" i="1"/>
  <c r="BS706" i="1"/>
  <c r="BS707" i="1"/>
  <c r="BS708" i="1"/>
  <c r="BS709" i="1"/>
  <c r="BS710" i="1"/>
  <c r="BS711" i="1"/>
  <c r="BS712" i="1"/>
  <c r="BS713" i="1"/>
  <c r="BS714" i="1"/>
  <c r="BS715" i="1"/>
  <c r="BS716" i="1"/>
  <c r="BS717" i="1"/>
  <c r="BS718" i="1"/>
  <c r="BS719" i="1"/>
  <c r="BS720" i="1"/>
  <c r="BS721" i="1"/>
  <c r="BS722" i="1"/>
  <c r="BS723" i="1"/>
  <c r="BS724" i="1"/>
  <c r="BS725" i="1"/>
  <c r="BS726" i="1"/>
  <c r="BS727" i="1"/>
  <c r="BS728" i="1"/>
  <c r="BS729" i="1"/>
  <c r="BS730" i="1"/>
  <c r="BS731" i="1"/>
  <c r="BS732" i="1"/>
  <c r="BS733" i="1"/>
  <c r="BS734" i="1"/>
  <c r="BS735" i="1"/>
  <c r="BS736" i="1"/>
  <c r="BS737" i="1"/>
  <c r="BS738" i="1"/>
  <c r="BS739" i="1"/>
  <c r="BS740" i="1"/>
  <c r="BS741" i="1"/>
  <c r="BS742" i="1"/>
  <c r="BS743" i="1"/>
  <c r="BS744" i="1"/>
  <c r="BS745" i="1"/>
  <c r="BB11" i="1" s="1"/>
  <c r="BS746" i="1"/>
  <c r="BS747" i="1"/>
  <c r="BS748" i="1"/>
  <c r="BS749" i="1"/>
  <c r="BS750" i="1"/>
  <c r="BS751" i="1"/>
  <c r="BS752" i="1"/>
  <c r="BS753" i="1"/>
  <c r="BS754" i="1"/>
  <c r="BS755" i="1"/>
  <c r="BS756" i="1"/>
  <c r="BS757" i="1"/>
  <c r="BS758" i="1"/>
  <c r="BS759" i="1"/>
  <c r="BS760" i="1"/>
  <c r="BS761" i="1"/>
  <c r="BS762" i="1"/>
  <c r="BS763" i="1"/>
  <c r="BS764" i="1"/>
  <c r="BS765" i="1"/>
  <c r="BS766" i="1"/>
  <c r="BS767" i="1"/>
  <c r="BS768" i="1"/>
  <c r="BS769" i="1"/>
  <c r="BS770" i="1"/>
  <c r="BS771" i="1"/>
  <c r="BS772" i="1"/>
  <c r="BS773" i="1"/>
  <c r="BS774" i="1"/>
  <c r="BS775" i="1"/>
  <c r="BS776" i="1"/>
  <c r="BS777" i="1"/>
  <c r="BS778" i="1"/>
  <c r="BS779" i="1"/>
  <c r="BS780" i="1"/>
  <c r="BS781" i="1"/>
  <c r="BS782" i="1"/>
  <c r="BS783" i="1"/>
  <c r="BS784" i="1"/>
  <c r="BS785" i="1"/>
  <c r="BS786" i="1"/>
  <c r="BS787" i="1"/>
  <c r="BS788" i="1"/>
  <c r="BS789" i="1"/>
  <c r="BS790" i="1"/>
  <c r="BS791" i="1"/>
  <c r="BS792" i="1"/>
  <c r="BS793" i="1"/>
  <c r="BS794" i="1"/>
  <c r="BS795" i="1"/>
  <c r="BS796" i="1"/>
  <c r="BS797" i="1"/>
  <c r="BS798" i="1"/>
  <c r="BS799" i="1"/>
  <c r="BS800" i="1"/>
  <c r="BS801" i="1"/>
  <c r="BS802" i="1"/>
  <c r="BS803" i="1"/>
  <c r="BS804" i="1"/>
  <c r="BS805" i="1"/>
  <c r="BS806" i="1"/>
  <c r="BS807" i="1"/>
  <c r="BS808" i="1"/>
  <c r="BS809" i="1"/>
  <c r="BS810" i="1"/>
  <c r="BS811" i="1"/>
  <c r="BS812" i="1"/>
  <c r="BS813" i="1"/>
  <c r="BS814" i="1"/>
  <c r="BS815" i="1"/>
  <c r="BS816" i="1"/>
  <c r="BS817" i="1"/>
  <c r="BS818" i="1"/>
  <c r="BS819" i="1"/>
  <c r="BS820" i="1"/>
  <c r="BS821" i="1"/>
  <c r="BS822" i="1"/>
  <c r="BS823" i="1"/>
  <c r="BS824" i="1"/>
  <c r="BS825" i="1"/>
  <c r="BS826" i="1"/>
  <c r="BS827" i="1"/>
  <c r="BS828" i="1"/>
  <c r="BS829" i="1"/>
  <c r="BS830" i="1"/>
  <c r="BS831" i="1"/>
  <c r="BS832" i="1"/>
  <c r="BS833" i="1"/>
  <c r="BS834" i="1"/>
  <c r="BS835" i="1"/>
  <c r="BS836" i="1"/>
  <c r="BS837" i="1"/>
  <c r="BS838" i="1"/>
  <c r="BS839" i="1"/>
  <c r="BS840" i="1"/>
  <c r="BB12" i="1" s="1"/>
  <c r="BS841" i="1"/>
  <c r="BS842" i="1"/>
  <c r="BS843" i="1"/>
  <c r="BS844" i="1"/>
  <c r="BS845" i="1"/>
  <c r="BS846" i="1"/>
  <c r="BS847" i="1"/>
  <c r="BS848" i="1"/>
  <c r="BS849" i="1"/>
  <c r="BS850" i="1"/>
  <c r="BS851" i="1"/>
  <c r="BS852" i="1"/>
  <c r="BS853" i="1"/>
  <c r="BS854" i="1"/>
  <c r="BS855" i="1"/>
  <c r="BS856" i="1"/>
  <c r="BS857" i="1"/>
  <c r="BS858" i="1"/>
  <c r="BS859" i="1"/>
  <c r="BS860" i="1"/>
  <c r="BS861" i="1"/>
  <c r="BS862" i="1"/>
  <c r="BS863" i="1"/>
  <c r="BS864" i="1"/>
  <c r="BS865" i="1"/>
  <c r="BS866" i="1"/>
  <c r="BS867" i="1"/>
  <c r="BS868" i="1"/>
  <c r="BS869" i="1"/>
  <c r="BS870" i="1"/>
  <c r="BS871" i="1"/>
  <c r="BS872" i="1"/>
  <c r="BS873" i="1"/>
  <c r="BS874" i="1"/>
  <c r="BS875" i="1"/>
  <c r="BS876" i="1"/>
  <c r="BS877" i="1"/>
  <c r="BS878" i="1"/>
  <c r="BS879" i="1"/>
  <c r="BS880" i="1"/>
  <c r="BS881" i="1"/>
  <c r="BS882" i="1"/>
  <c r="BS883" i="1"/>
  <c r="BS884" i="1"/>
  <c r="BS885" i="1"/>
  <c r="BS886" i="1"/>
  <c r="BS887" i="1"/>
  <c r="BS888" i="1"/>
  <c r="BS889" i="1"/>
  <c r="BS890" i="1"/>
  <c r="BS891" i="1"/>
  <c r="BS892" i="1"/>
  <c r="BS893" i="1"/>
  <c r="BS894" i="1"/>
  <c r="BS895" i="1"/>
  <c r="BS896" i="1"/>
  <c r="BS897" i="1"/>
  <c r="BS898" i="1"/>
  <c r="BS899" i="1"/>
  <c r="BS900" i="1"/>
  <c r="BS901" i="1"/>
  <c r="BS902" i="1"/>
  <c r="BS903" i="1"/>
  <c r="BS904" i="1"/>
  <c r="BS905" i="1"/>
  <c r="BS906" i="1"/>
  <c r="BS907" i="1"/>
  <c r="BS908" i="1"/>
  <c r="BS909" i="1"/>
  <c r="BS910" i="1"/>
  <c r="BS911" i="1"/>
  <c r="BS912" i="1"/>
  <c r="BS913" i="1"/>
  <c r="BS914" i="1"/>
  <c r="BS915" i="1"/>
  <c r="BS916" i="1"/>
  <c r="BS917" i="1"/>
  <c r="BS918" i="1"/>
  <c r="BS919" i="1"/>
  <c r="BS920" i="1"/>
  <c r="BS921" i="1"/>
  <c r="BS922" i="1"/>
  <c r="BS923" i="1"/>
  <c r="BS924" i="1"/>
  <c r="BS925" i="1"/>
  <c r="BS926" i="1"/>
  <c r="BS927" i="1"/>
  <c r="BS928" i="1"/>
  <c r="BS929" i="1"/>
  <c r="BS930" i="1"/>
  <c r="BS931" i="1"/>
  <c r="BS932" i="1"/>
  <c r="BS933" i="1"/>
  <c r="BS934" i="1"/>
  <c r="BS935" i="1"/>
  <c r="BS936" i="1"/>
  <c r="BS937" i="1"/>
  <c r="BS938" i="1"/>
  <c r="BS939" i="1"/>
  <c r="BS940" i="1"/>
  <c r="BS941" i="1"/>
  <c r="BS942" i="1"/>
  <c r="BS943" i="1"/>
  <c r="BS944" i="1"/>
  <c r="BS945" i="1"/>
  <c r="BS946" i="1"/>
  <c r="BS947" i="1"/>
  <c r="BS948" i="1"/>
  <c r="BS949" i="1"/>
  <c r="BS950" i="1"/>
  <c r="BS951" i="1"/>
  <c r="BS952" i="1"/>
  <c r="BS953" i="1"/>
  <c r="BS954" i="1"/>
  <c r="BS955" i="1"/>
  <c r="BS956" i="1"/>
  <c r="BS957" i="1"/>
  <c r="BS958" i="1"/>
  <c r="BS959" i="1"/>
  <c r="BS960" i="1"/>
  <c r="BS961" i="1"/>
  <c r="BS962" i="1"/>
  <c r="BS963" i="1"/>
  <c r="BS964" i="1"/>
  <c r="BS965" i="1"/>
  <c r="BS966" i="1"/>
  <c r="BS967" i="1"/>
  <c r="BS968" i="1"/>
  <c r="BS969" i="1"/>
  <c r="BS970" i="1"/>
  <c r="BS971" i="1"/>
  <c r="BS972" i="1"/>
  <c r="BS973" i="1"/>
  <c r="BS974" i="1"/>
  <c r="BS975" i="1"/>
  <c r="BS976" i="1"/>
  <c r="BS977" i="1"/>
  <c r="BS978" i="1"/>
  <c r="BS979" i="1"/>
  <c r="BS980" i="1"/>
  <c r="BS981" i="1"/>
  <c r="BS982" i="1"/>
  <c r="BS983" i="1"/>
  <c r="BS984" i="1"/>
  <c r="BS985" i="1"/>
  <c r="BS986" i="1"/>
  <c r="BS987" i="1"/>
  <c r="BS988" i="1"/>
  <c r="BS989" i="1"/>
  <c r="BS990" i="1"/>
  <c r="BS991" i="1"/>
  <c r="BS992" i="1"/>
  <c r="BS993" i="1"/>
  <c r="BS994" i="1"/>
  <c r="BS995" i="1"/>
  <c r="BS996" i="1"/>
  <c r="BS997" i="1"/>
  <c r="BS998" i="1"/>
  <c r="BS999" i="1"/>
  <c r="BS1000" i="1"/>
  <c r="BS1001" i="1"/>
  <c r="BS2" i="1"/>
  <c r="BR23" i="1"/>
  <c r="BR24" i="1"/>
  <c r="BR25" i="1"/>
  <c r="BR26" i="1"/>
  <c r="BR27" i="1"/>
  <c r="BR28" i="1"/>
  <c r="BR29" i="1"/>
  <c r="BR30" i="1"/>
  <c r="BR31" i="1"/>
  <c r="BR32" i="1"/>
  <c r="BR33" i="1"/>
  <c r="BR34" i="1"/>
  <c r="BR35" i="1"/>
  <c r="BR36" i="1"/>
  <c r="BR37" i="1"/>
  <c r="BR38" i="1"/>
  <c r="BR39" i="1"/>
  <c r="BR40" i="1"/>
  <c r="BR41" i="1"/>
  <c r="BR42" i="1"/>
  <c r="BR43" i="1"/>
  <c r="BR44" i="1"/>
  <c r="BR45" i="1"/>
  <c r="BR46" i="1"/>
  <c r="BR47" i="1"/>
  <c r="BR48" i="1"/>
  <c r="BR49" i="1"/>
  <c r="BR50" i="1"/>
  <c r="BR51" i="1"/>
  <c r="BR52" i="1"/>
  <c r="BR53" i="1"/>
  <c r="BR54" i="1"/>
  <c r="BR55" i="1"/>
  <c r="BR56" i="1"/>
  <c r="BR57" i="1"/>
  <c r="BR58" i="1"/>
  <c r="BR59" i="1"/>
  <c r="BR60" i="1"/>
  <c r="BR61" i="1"/>
  <c r="BR62" i="1"/>
  <c r="BR63" i="1"/>
  <c r="BR64" i="1"/>
  <c r="BR65" i="1"/>
  <c r="BR66" i="1"/>
  <c r="BR67" i="1"/>
  <c r="BR68" i="1"/>
  <c r="BR69" i="1"/>
  <c r="BR70" i="1"/>
  <c r="BR71" i="1"/>
  <c r="BR72" i="1"/>
  <c r="BR73" i="1"/>
  <c r="BR74" i="1"/>
  <c r="BR75" i="1"/>
  <c r="BR76" i="1"/>
  <c r="BR77" i="1"/>
  <c r="BR78" i="1"/>
  <c r="BR79" i="1"/>
  <c r="BR80" i="1"/>
  <c r="BN3" i="1" s="1"/>
  <c r="BR81" i="1"/>
  <c r="BR82" i="1"/>
  <c r="BR83" i="1"/>
  <c r="BR84" i="1"/>
  <c r="BR85" i="1"/>
  <c r="BR86" i="1"/>
  <c r="BR87" i="1"/>
  <c r="BR88" i="1"/>
  <c r="BR89" i="1"/>
  <c r="BR90" i="1"/>
  <c r="BR91" i="1"/>
  <c r="BR92" i="1"/>
  <c r="BR93" i="1"/>
  <c r="BR94" i="1"/>
  <c r="BR95" i="1"/>
  <c r="BR96" i="1"/>
  <c r="BR97" i="1"/>
  <c r="BR98" i="1"/>
  <c r="BR99" i="1"/>
  <c r="BR100" i="1"/>
  <c r="BR101" i="1"/>
  <c r="BR102" i="1"/>
  <c r="BR103" i="1"/>
  <c r="BR104" i="1"/>
  <c r="BR105" i="1"/>
  <c r="BR106" i="1"/>
  <c r="BR107" i="1"/>
  <c r="BR108" i="1"/>
  <c r="BR109" i="1"/>
  <c r="BR110" i="1"/>
  <c r="BR111" i="1"/>
  <c r="BR112" i="1"/>
  <c r="BR113" i="1"/>
  <c r="BR114" i="1"/>
  <c r="BR115" i="1"/>
  <c r="BR116" i="1"/>
  <c r="BR117" i="1"/>
  <c r="BR118" i="1"/>
  <c r="BR119" i="1"/>
  <c r="BR120" i="1"/>
  <c r="BR121" i="1"/>
  <c r="BR122" i="1"/>
  <c r="BR123" i="1"/>
  <c r="BR124" i="1"/>
  <c r="BR125" i="1"/>
  <c r="BR126" i="1"/>
  <c r="BR127" i="1"/>
  <c r="BR128" i="1"/>
  <c r="BR129" i="1"/>
  <c r="BR130" i="1"/>
  <c r="BR131" i="1"/>
  <c r="BR132" i="1"/>
  <c r="BR133" i="1"/>
  <c r="BR134" i="1"/>
  <c r="BR135" i="1"/>
  <c r="BR136" i="1"/>
  <c r="BR137" i="1"/>
  <c r="BR138" i="1"/>
  <c r="BR139" i="1"/>
  <c r="BR140" i="1"/>
  <c r="BR141" i="1"/>
  <c r="BR142" i="1"/>
  <c r="BR143" i="1"/>
  <c r="BR144" i="1"/>
  <c r="BR145" i="1"/>
  <c r="BR146" i="1"/>
  <c r="BR147" i="1"/>
  <c r="BR148" i="1"/>
  <c r="BR149" i="1"/>
  <c r="BR150" i="1"/>
  <c r="BR151" i="1"/>
  <c r="BR152" i="1"/>
  <c r="BR153" i="1"/>
  <c r="BR154" i="1"/>
  <c r="BR155" i="1"/>
  <c r="BR156" i="1"/>
  <c r="BR157" i="1"/>
  <c r="BR158" i="1"/>
  <c r="BR159" i="1"/>
  <c r="BR160" i="1"/>
  <c r="BR161" i="1"/>
  <c r="BR162" i="1"/>
  <c r="BR163" i="1"/>
  <c r="BR164" i="1"/>
  <c r="BR165" i="1"/>
  <c r="BR166" i="1"/>
  <c r="BR167" i="1"/>
  <c r="BR168" i="1"/>
  <c r="BR169" i="1"/>
  <c r="BR170" i="1"/>
  <c r="BR171" i="1"/>
  <c r="BR172" i="1"/>
  <c r="BR173" i="1"/>
  <c r="BR174" i="1"/>
  <c r="BR175" i="1"/>
  <c r="BR176" i="1"/>
  <c r="BN4" i="1" s="1"/>
  <c r="BR177" i="1"/>
  <c r="BR178" i="1"/>
  <c r="BR179" i="1"/>
  <c r="BR180" i="1"/>
  <c r="BR181" i="1"/>
  <c r="BR182" i="1"/>
  <c r="BR183" i="1"/>
  <c r="BR184" i="1"/>
  <c r="BR185" i="1"/>
  <c r="BR186" i="1"/>
  <c r="BR187" i="1"/>
  <c r="BR188" i="1"/>
  <c r="BR189" i="1"/>
  <c r="BR190" i="1"/>
  <c r="BR191" i="1"/>
  <c r="BR192" i="1"/>
  <c r="BR193" i="1"/>
  <c r="BR194" i="1"/>
  <c r="BR195" i="1"/>
  <c r="BR196" i="1"/>
  <c r="BR197" i="1"/>
  <c r="BR198" i="1"/>
  <c r="BR199" i="1"/>
  <c r="BR200" i="1"/>
  <c r="BR201" i="1"/>
  <c r="BR202" i="1"/>
  <c r="BR203" i="1"/>
  <c r="BR204" i="1"/>
  <c r="BR205" i="1"/>
  <c r="BR206" i="1"/>
  <c r="BR207" i="1"/>
  <c r="BR208" i="1"/>
  <c r="BR209" i="1"/>
  <c r="BR210" i="1"/>
  <c r="BR211" i="1"/>
  <c r="BR212" i="1"/>
  <c r="BR213" i="1"/>
  <c r="BR214" i="1"/>
  <c r="BR215" i="1"/>
  <c r="BR216" i="1"/>
  <c r="BR217" i="1"/>
  <c r="BR218" i="1"/>
  <c r="BR219" i="1"/>
  <c r="BR220" i="1"/>
  <c r="BR221" i="1"/>
  <c r="BR222" i="1"/>
  <c r="BR223" i="1"/>
  <c r="BR224" i="1"/>
  <c r="BR225" i="1"/>
  <c r="BR226" i="1"/>
  <c r="BR227" i="1"/>
  <c r="BR228" i="1"/>
  <c r="BR229" i="1"/>
  <c r="BR230" i="1"/>
  <c r="BR231" i="1"/>
  <c r="BR232" i="1"/>
  <c r="BR233" i="1"/>
  <c r="BR234" i="1"/>
  <c r="BR235" i="1"/>
  <c r="BR236" i="1"/>
  <c r="BR237" i="1"/>
  <c r="BR238" i="1"/>
  <c r="BR239" i="1"/>
  <c r="BR240" i="1"/>
  <c r="BR241" i="1"/>
  <c r="BR242" i="1"/>
  <c r="BR243" i="1"/>
  <c r="BR244" i="1"/>
  <c r="BR245" i="1"/>
  <c r="BR246" i="1"/>
  <c r="BR247" i="1"/>
  <c r="BR248" i="1"/>
  <c r="BR249" i="1"/>
  <c r="BR250" i="1"/>
  <c r="BR251" i="1"/>
  <c r="BR252" i="1"/>
  <c r="BR253" i="1"/>
  <c r="BR254" i="1"/>
  <c r="BR255" i="1"/>
  <c r="BR256" i="1"/>
  <c r="BR257" i="1"/>
  <c r="BR258" i="1"/>
  <c r="BR259" i="1"/>
  <c r="BN5" i="1" s="1"/>
  <c r="BR260" i="1"/>
  <c r="BR261" i="1"/>
  <c r="BR262" i="1"/>
  <c r="BR263" i="1"/>
  <c r="BR264" i="1"/>
  <c r="BR265" i="1"/>
  <c r="BR266" i="1"/>
  <c r="BR267" i="1"/>
  <c r="BR268" i="1"/>
  <c r="BR269" i="1"/>
  <c r="BR270" i="1"/>
  <c r="BR271" i="1"/>
  <c r="BR272" i="1"/>
  <c r="BR273" i="1"/>
  <c r="BR274" i="1"/>
  <c r="BR275" i="1"/>
  <c r="BR276" i="1"/>
  <c r="BR277" i="1"/>
  <c r="BR278" i="1"/>
  <c r="BR279" i="1"/>
  <c r="BR280" i="1"/>
  <c r="BR281" i="1"/>
  <c r="BR282" i="1"/>
  <c r="BR283" i="1"/>
  <c r="BR284" i="1"/>
  <c r="BR285" i="1"/>
  <c r="BR286" i="1"/>
  <c r="BR287" i="1"/>
  <c r="BR288" i="1"/>
  <c r="BR289" i="1"/>
  <c r="BR290" i="1"/>
  <c r="BR291" i="1"/>
  <c r="BR292" i="1"/>
  <c r="BR293" i="1"/>
  <c r="BR294" i="1"/>
  <c r="BR295" i="1"/>
  <c r="BR296" i="1"/>
  <c r="BR297" i="1"/>
  <c r="BR298" i="1"/>
  <c r="BR299" i="1"/>
  <c r="BR300" i="1"/>
  <c r="BR301" i="1"/>
  <c r="BR302" i="1"/>
  <c r="BR303" i="1"/>
  <c r="BR304" i="1"/>
  <c r="BR305" i="1"/>
  <c r="BR306" i="1"/>
  <c r="BR307" i="1"/>
  <c r="BR308" i="1"/>
  <c r="BR309" i="1"/>
  <c r="BR310" i="1"/>
  <c r="BR311" i="1"/>
  <c r="BR312" i="1"/>
  <c r="BR313" i="1"/>
  <c r="BR314" i="1"/>
  <c r="BR315" i="1"/>
  <c r="BR316" i="1"/>
  <c r="BR317" i="1"/>
  <c r="BR318" i="1"/>
  <c r="BR319" i="1"/>
  <c r="BR320" i="1"/>
  <c r="BR321" i="1"/>
  <c r="BR322" i="1"/>
  <c r="BR323" i="1"/>
  <c r="BR324" i="1"/>
  <c r="BR325" i="1"/>
  <c r="BR326" i="1"/>
  <c r="BR327" i="1"/>
  <c r="BR328" i="1"/>
  <c r="BR329" i="1"/>
  <c r="BR330" i="1"/>
  <c r="BR331" i="1"/>
  <c r="BR332" i="1"/>
  <c r="BR333" i="1"/>
  <c r="BR334" i="1"/>
  <c r="BR335" i="1"/>
  <c r="BN6" i="1" s="1"/>
  <c r="BR336" i="1"/>
  <c r="BR337" i="1"/>
  <c r="BR338" i="1"/>
  <c r="BR339" i="1"/>
  <c r="BR340" i="1"/>
  <c r="BR341" i="1"/>
  <c r="BR342" i="1"/>
  <c r="BR343" i="1"/>
  <c r="BR344" i="1"/>
  <c r="BR345" i="1"/>
  <c r="BR346" i="1"/>
  <c r="BR347" i="1"/>
  <c r="BR348" i="1"/>
  <c r="BR349" i="1"/>
  <c r="BR350" i="1"/>
  <c r="BR351" i="1"/>
  <c r="BR352" i="1"/>
  <c r="BR353" i="1"/>
  <c r="BR354" i="1"/>
  <c r="BR355" i="1"/>
  <c r="BR356" i="1"/>
  <c r="BR357" i="1"/>
  <c r="BR358" i="1"/>
  <c r="BR359" i="1"/>
  <c r="BR360" i="1"/>
  <c r="BR361" i="1"/>
  <c r="BR362" i="1"/>
  <c r="BR363" i="1"/>
  <c r="BR364" i="1"/>
  <c r="BR365" i="1"/>
  <c r="BR366" i="1"/>
  <c r="BR367" i="1"/>
  <c r="BR368" i="1"/>
  <c r="BR369" i="1"/>
  <c r="BR370" i="1"/>
  <c r="BR371" i="1"/>
  <c r="BR372" i="1"/>
  <c r="BR373" i="1"/>
  <c r="BR374" i="1"/>
  <c r="BR375" i="1"/>
  <c r="BR376" i="1"/>
  <c r="BR377" i="1"/>
  <c r="BR378" i="1"/>
  <c r="BR379" i="1"/>
  <c r="BR380" i="1"/>
  <c r="BR381" i="1"/>
  <c r="BR382" i="1"/>
  <c r="BR383" i="1"/>
  <c r="BR384" i="1"/>
  <c r="BR385" i="1"/>
  <c r="BR386" i="1"/>
  <c r="BR387" i="1"/>
  <c r="BR388" i="1"/>
  <c r="BR389" i="1"/>
  <c r="BR390" i="1"/>
  <c r="BR391" i="1"/>
  <c r="BR392" i="1"/>
  <c r="BR393" i="1"/>
  <c r="BR394" i="1"/>
  <c r="BR395" i="1"/>
  <c r="BR396" i="1"/>
  <c r="BR397" i="1"/>
  <c r="BR398" i="1"/>
  <c r="BR399" i="1"/>
  <c r="BR400" i="1"/>
  <c r="BR401" i="1"/>
  <c r="BR402" i="1"/>
  <c r="BR403" i="1"/>
  <c r="BR404" i="1"/>
  <c r="BR405" i="1"/>
  <c r="BR406" i="1"/>
  <c r="BR407" i="1"/>
  <c r="BR408" i="1"/>
  <c r="BR409" i="1"/>
  <c r="BR410" i="1"/>
  <c r="BR411" i="1"/>
  <c r="BR412" i="1"/>
  <c r="BR413" i="1"/>
  <c r="BR414" i="1"/>
  <c r="BR415" i="1"/>
  <c r="BR416" i="1"/>
  <c r="BR417" i="1"/>
  <c r="BR418" i="1"/>
  <c r="BR419" i="1"/>
  <c r="BR420" i="1"/>
  <c r="BR421" i="1"/>
  <c r="BN7" i="1" s="1"/>
  <c r="BR422" i="1"/>
  <c r="BE7" i="1" s="1"/>
  <c r="BR423" i="1"/>
  <c r="BD7" i="1" s="1"/>
  <c r="BR424" i="1"/>
  <c r="BC7" i="1" s="1"/>
  <c r="BR425" i="1"/>
  <c r="BR426" i="1"/>
  <c r="BR427" i="1"/>
  <c r="BR428" i="1"/>
  <c r="BR429" i="1"/>
  <c r="BR430" i="1"/>
  <c r="BR431" i="1"/>
  <c r="BR432" i="1"/>
  <c r="BR433" i="1"/>
  <c r="BR434" i="1"/>
  <c r="BR435" i="1"/>
  <c r="BR436" i="1"/>
  <c r="BR437" i="1"/>
  <c r="BR438" i="1"/>
  <c r="BR439" i="1"/>
  <c r="BR440" i="1"/>
  <c r="BR441" i="1"/>
  <c r="BR442" i="1"/>
  <c r="BR443" i="1"/>
  <c r="BR444" i="1"/>
  <c r="BR445" i="1"/>
  <c r="BR446" i="1"/>
  <c r="BR447" i="1"/>
  <c r="BR448" i="1"/>
  <c r="BR449" i="1"/>
  <c r="BR450" i="1"/>
  <c r="BR451" i="1"/>
  <c r="BR452" i="1"/>
  <c r="BR453" i="1"/>
  <c r="BR454" i="1"/>
  <c r="BR455" i="1"/>
  <c r="BR456" i="1"/>
  <c r="BR457" i="1"/>
  <c r="BR458" i="1"/>
  <c r="BR459" i="1"/>
  <c r="BR460" i="1"/>
  <c r="BR461" i="1"/>
  <c r="BR462" i="1"/>
  <c r="BR463" i="1"/>
  <c r="BR464" i="1"/>
  <c r="BR465" i="1"/>
  <c r="BR466" i="1"/>
  <c r="BR467" i="1"/>
  <c r="BR468" i="1"/>
  <c r="BR469" i="1"/>
  <c r="BR470" i="1"/>
  <c r="BR471" i="1"/>
  <c r="BR472" i="1"/>
  <c r="BR473" i="1"/>
  <c r="BR474" i="1"/>
  <c r="BR475" i="1"/>
  <c r="BR476" i="1"/>
  <c r="BR477" i="1"/>
  <c r="BR478" i="1"/>
  <c r="BR479" i="1"/>
  <c r="BR480" i="1"/>
  <c r="BR481" i="1"/>
  <c r="BR482" i="1"/>
  <c r="BR483" i="1"/>
  <c r="BR484" i="1"/>
  <c r="BR485" i="1"/>
  <c r="BR486" i="1"/>
  <c r="BR487" i="1"/>
  <c r="BR488" i="1"/>
  <c r="BR489" i="1"/>
  <c r="BR490" i="1"/>
  <c r="BR491" i="1"/>
  <c r="BR492" i="1"/>
  <c r="BR493" i="1"/>
  <c r="BR494" i="1"/>
  <c r="BR495" i="1"/>
  <c r="BR496" i="1"/>
  <c r="BR497" i="1"/>
  <c r="BR498" i="1"/>
  <c r="BR499" i="1"/>
  <c r="BR500" i="1"/>
  <c r="BR501" i="1"/>
  <c r="BR502" i="1"/>
  <c r="BR503" i="1"/>
  <c r="BR504" i="1"/>
  <c r="BR505" i="1"/>
  <c r="BR506" i="1"/>
  <c r="BR507" i="1"/>
  <c r="BR508" i="1"/>
  <c r="BR509" i="1"/>
  <c r="BR510" i="1"/>
  <c r="BN8" i="1" s="1"/>
  <c r="BR511" i="1"/>
  <c r="BR512" i="1"/>
  <c r="BR513" i="1"/>
  <c r="BR514" i="1"/>
  <c r="BR515" i="1"/>
  <c r="BR516" i="1"/>
  <c r="BR517" i="1"/>
  <c r="BR518" i="1"/>
  <c r="BR519" i="1"/>
  <c r="BR520" i="1"/>
  <c r="BR521" i="1"/>
  <c r="BR522" i="1"/>
  <c r="BR523" i="1"/>
  <c r="BR524" i="1"/>
  <c r="BR525" i="1"/>
  <c r="BR526" i="1"/>
  <c r="BR527" i="1"/>
  <c r="BR528" i="1"/>
  <c r="BR529" i="1"/>
  <c r="BR530" i="1"/>
  <c r="BR531" i="1"/>
  <c r="BR532" i="1"/>
  <c r="BR533" i="1"/>
  <c r="BR534" i="1"/>
  <c r="BR535" i="1"/>
  <c r="BR536" i="1"/>
  <c r="BR537" i="1"/>
  <c r="BR538" i="1"/>
  <c r="BR539" i="1"/>
  <c r="BR540" i="1"/>
  <c r="BR541" i="1"/>
  <c r="BR542" i="1"/>
  <c r="BR543" i="1"/>
  <c r="BR544" i="1"/>
  <c r="BR545" i="1"/>
  <c r="BR546" i="1"/>
  <c r="BR547" i="1"/>
  <c r="BR548" i="1"/>
  <c r="BR549" i="1"/>
  <c r="BR550" i="1"/>
  <c r="BR551" i="1"/>
  <c r="BR552" i="1"/>
  <c r="BR553" i="1"/>
  <c r="BR554" i="1"/>
  <c r="BR555" i="1"/>
  <c r="BR556" i="1"/>
  <c r="BR557" i="1"/>
  <c r="BR558" i="1"/>
  <c r="BR559" i="1"/>
  <c r="BR560" i="1"/>
  <c r="BR561" i="1"/>
  <c r="BR562" i="1"/>
  <c r="BR563" i="1"/>
  <c r="BR564" i="1"/>
  <c r="BR565" i="1"/>
  <c r="BR566" i="1"/>
  <c r="BR567" i="1"/>
  <c r="BR568" i="1"/>
  <c r="BR569" i="1"/>
  <c r="BR570" i="1"/>
  <c r="BR571" i="1"/>
  <c r="BR572" i="1"/>
  <c r="BR573" i="1"/>
  <c r="BR574" i="1"/>
  <c r="BR575" i="1"/>
  <c r="BR576" i="1"/>
  <c r="BR577" i="1"/>
  <c r="BR578" i="1"/>
  <c r="BR579" i="1"/>
  <c r="BR580" i="1"/>
  <c r="BR581" i="1"/>
  <c r="BR582" i="1"/>
  <c r="BR583" i="1"/>
  <c r="BR584" i="1"/>
  <c r="BR585" i="1"/>
  <c r="BR586" i="1"/>
  <c r="BR587" i="1"/>
  <c r="BR588" i="1"/>
  <c r="BR589" i="1"/>
  <c r="BR590" i="1"/>
  <c r="BR591" i="1"/>
  <c r="BR592" i="1"/>
  <c r="BR593" i="1"/>
  <c r="BR594" i="1"/>
  <c r="BN9" i="1" s="1"/>
  <c r="BR595" i="1"/>
  <c r="BD9" i="1" s="1"/>
  <c r="BR596" i="1"/>
  <c r="BR597" i="1"/>
  <c r="BR598" i="1"/>
  <c r="BR599" i="1"/>
  <c r="BR600" i="1"/>
  <c r="BR601" i="1"/>
  <c r="BR602" i="1"/>
  <c r="BR603" i="1"/>
  <c r="BR604" i="1"/>
  <c r="BR605" i="1"/>
  <c r="BR606" i="1"/>
  <c r="BR607" i="1"/>
  <c r="BR608" i="1"/>
  <c r="BR609" i="1"/>
  <c r="BR610" i="1"/>
  <c r="BR611" i="1"/>
  <c r="BR612" i="1"/>
  <c r="BR613" i="1"/>
  <c r="BR614" i="1"/>
  <c r="BR615" i="1"/>
  <c r="BR616" i="1"/>
  <c r="BR617" i="1"/>
  <c r="BR618" i="1"/>
  <c r="BR619" i="1"/>
  <c r="BR620" i="1"/>
  <c r="BR621" i="1"/>
  <c r="BR622" i="1"/>
  <c r="BR623" i="1"/>
  <c r="BR624" i="1"/>
  <c r="BR625" i="1"/>
  <c r="BR626" i="1"/>
  <c r="BR627" i="1"/>
  <c r="BR628" i="1"/>
  <c r="BR629" i="1"/>
  <c r="BR630" i="1"/>
  <c r="BR631" i="1"/>
  <c r="BR632" i="1"/>
  <c r="BR633" i="1"/>
  <c r="BR634" i="1"/>
  <c r="BR635" i="1"/>
  <c r="BR636" i="1"/>
  <c r="BR637" i="1"/>
  <c r="BR638" i="1"/>
  <c r="BR639" i="1"/>
  <c r="BR640" i="1"/>
  <c r="BR641" i="1"/>
  <c r="BR642" i="1"/>
  <c r="BR643" i="1"/>
  <c r="BR644" i="1"/>
  <c r="BR645" i="1"/>
  <c r="BR646" i="1"/>
  <c r="BR647" i="1"/>
  <c r="BR648" i="1"/>
  <c r="BR649" i="1"/>
  <c r="BR650" i="1"/>
  <c r="BR651" i="1"/>
  <c r="BR652" i="1"/>
  <c r="BR653" i="1"/>
  <c r="BR654" i="1"/>
  <c r="BR655" i="1"/>
  <c r="BR656" i="1"/>
  <c r="BR657" i="1"/>
  <c r="BR658" i="1"/>
  <c r="BR659" i="1"/>
  <c r="BR660" i="1"/>
  <c r="BR661" i="1"/>
  <c r="BR662" i="1"/>
  <c r="BR663" i="1"/>
  <c r="BR664" i="1"/>
  <c r="BR665" i="1"/>
  <c r="BR666" i="1"/>
  <c r="BR667" i="1"/>
  <c r="BR668" i="1"/>
  <c r="BR669" i="1"/>
  <c r="BR670" i="1"/>
  <c r="BR671" i="1"/>
  <c r="BR672" i="1"/>
  <c r="BR673" i="1"/>
  <c r="BN10" i="1" s="1"/>
  <c r="BR674" i="1"/>
  <c r="BR675" i="1"/>
  <c r="BR676" i="1"/>
  <c r="BR677" i="1"/>
  <c r="BR678" i="1"/>
  <c r="BR679" i="1"/>
  <c r="BR680" i="1"/>
  <c r="BR681" i="1"/>
  <c r="BR682" i="1"/>
  <c r="BR683" i="1"/>
  <c r="BR684" i="1"/>
  <c r="BR685" i="1"/>
  <c r="BR686" i="1"/>
  <c r="BR687" i="1"/>
  <c r="BR688" i="1"/>
  <c r="BR689" i="1"/>
  <c r="BR690" i="1"/>
  <c r="BR691" i="1"/>
  <c r="BR692" i="1"/>
  <c r="BR693" i="1"/>
  <c r="BR694" i="1"/>
  <c r="BR695" i="1"/>
  <c r="BR696" i="1"/>
  <c r="BR697" i="1"/>
  <c r="BR698" i="1"/>
  <c r="BR699" i="1"/>
  <c r="BR700" i="1"/>
  <c r="BR701" i="1"/>
  <c r="BR702" i="1"/>
  <c r="BR703" i="1"/>
  <c r="BR704" i="1"/>
  <c r="BR705" i="1"/>
  <c r="BR706" i="1"/>
  <c r="BR707" i="1"/>
  <c r="BR708" i="1"/>
  <c r="BR709" i="1"/>
  <c r="BR710" i="1"/>
  <c r="BR711" i="1"/>
  <c r="BR712" i="1"/>
  <c r="BR713" i="1"/>
  <c r="BR714" i="1"/>
  <c r="BR715" i="1"/>
  <c r="BR716" i="1"/>
  <c r="BR717" i="1"/>
  <c r="BR718" i="1"/>
  <c r="BR719" i="1"/>
  <c r="BR720" i="1"/>
  <c r="BR721" i="1"/>
  <c r="BR722" i="1"/>
  <c r="BR723" i="1"/>
  <c r="BR724" i="1"/>
  <c r="BR725" i="1"/>
  <c r="BR726" i="1"/>
  <c r="BR727" i="1"/>
  <c r="BR728" i="1"/>
  <c r="BR729" i="1"/>
  <c r="BR730" i="1"/>
  <c r="BR731" i="1"/>
  <c r="BR732" i="1"/>
  <c r="BR733" i="1"/>
  <c r="BR734" i="1"/>
  <c r="BR735" i="1"/>
  <c r="BR736" i="1"/>
  <c r="BR737" i="1"/>
  <c r="BR738" i="1"/>
  <c r="BR739" i="1"/>
  <c r="BR740" i="1"/>
  <c r="BR741" i="1"/>
  <c r="BR742" i="1"/>
  <c r="BR743" i="1"/>
  <c r="BR744" i="1"/>
  <c r="BR745" i="1"/>
  <c r="BN11" i="1" s="1"/>
  <c r="BR746" i="1"/>
  <c r="BR747" i="1"/>
  <c r="BR748" i="1"/>
  <c r="BR749" i="1"/>
  <c r="BR750" i="1"/>
  <c r="BR751" i="1"/>
  <c r="BR752" i="1"/>
  <c r="BR753" i="1"/>
  <c r="BR754" i="1"/>
  <c r="BR755" i="1"/>
  <c r="BR756" i="1"/>
  <c r="BR757" i="1"/>
  <c r="BR758" i="1"/>
  <c r="BR759" i="1"/>
  <c r="BR760" i="1"/>
  <c r="BR761" i="1"/>
  <c r="BR762" i="1"/>
  <c r="BR763" i="1"/>
  <c r="BR764" i="1"/>
  <c r="BR765" i="1"/>
  <c r="BR766" i="1"/>
  <c r="BR767" i="1"/>
  <c r="BR768" i="1"/>
  <c r="BR769" i="1"/>
  <c r="BR770" i="1"/>
  <c r="BR771" i="1"/>
  <c r="BR772" i="1"/>
  <c r="BR773" i="1"/>
  <c r="BR774" i="1"/>
  <c r="BR775" i="1"/>
  <c r="BR776" i="1"/>
  <c r="BR777" i="1"/>
  <c r="BR778" i="1"/>
  <c r="BR779" i="1"/>
  <c r="BR780" i="1"/>
  <c r="BR781" i="1"/>
  <c r="BR782" i="1"/>
  <c r="BR783" i="1"/>
  <c r="BR784" i="1"/>
  <c r="BR785" i="1"/>
  <c r="BR786" i="1"/>
  <c r="BR787" i="1"/>
  <c r="BR788" i="1"/>
  <c r="BR789" i="1"/>
  <c r="BR790" i="1"/>
  <c r="BR791" i="1"/>
  <c r="BR792" i="1"/>
  <c r="BR793" i="1"/>
  <c r="BR794" i="1"/>
  <c r="BR795" i="1"/>
  <c r="BR796" i="1"/>
  <c r="BR797" i="1"/>
  <c r="BR798" i="1"/>
  <c r="BR799" i="1"/>
  <c r="BR800" i="1"/>
  <c r="BR801" i="1"/>
  <c r="BR802" i="1"/>
  <c r="BR803" i="1"/>
  <c r="BR804" i="1"/>
  <c r="BR805" i="1"/>
  <c r="BR806" i="1"/>
  <c r="BR807" i="1"/>
  <c r="BR808" i="1"/>
  <c r="BR809" i="1"/>
  <c r="BR810" i="1"/>
  <c r="BR811" i="1"/>
  <c r="BR812" i="1"/>
  <c r="BR813" i="1"/>
  <c r="BR814" i="1"/>
  <c r="BR815" i="1"/>
  <c r="BR816" i="1"/>
  <c r="BR817" i="1"/>
  <c r="BR818" i="1"/>
  <c r="BR819" i="1"/>
  <c r="BR820" i="1"/>
  <c r="BR821" i="1"/>
  <c r="BR822" i="1"/>
  <c r="BR823" i="1"/>
  <c r="BR824" i="1"/>
  <c r="BR825" i="1"/>
  <c r="BR826" i="1"/>
  <c r="BR827" i="1"/>
  <c r="BR828" i="1"/>
  <c r="BR829" i="1"/>
  <c r="BR830" i="1"/>
  <c r="BR831" i="1"/>
  <c r="BR832" i="1"/>
  <c r="BR833" i="1"/>
  <c r="BR834" i="1"/>
  <c r="BR835" i="1"/>
  <c r="BR836" i="1"/>
  <c r="BR837" i="1"/>
  <c r="BR838" i="1"/>
  <c r="BR839" i="1"/>
  <c r="BR840" i="1"/>
  <c r="BN12" i="1" s="1"/>
  <c r="BR841" i="1"/>
  <c r="BG12" i="1" s="1"/>
  <c r="BR842" i="1"/>
  <c r="BD12" i="1" s="1"/>
  <c r="BR843" i="1"/>
  <c r="BC12" i="1" s="1"/>
  <c r="BR844" i="1"/>
  <c r="BR845" i="1"/>
  <c r="BR846" i="1"/>
  <c r="BR847" i="1"/>
  <c r="BR848" i="1"/>
  <c r="BR849" i="1"/>
  <c r="BR850" i="1"/>
  <c r="BR851" i="1"/>
  <c r="BR852" i="1"/>
  <c r="BR853" i="1"/>
  <c r="BR854" i="1"/>
  <c r="BR855" i="1"/>
  <c r="BR856" i="1"/>
  <c r="BR857" i="1"/>
  <c r="BR858" i="1"/>
  <c r="BR859" i="1"/>
  <c r="BR860" i="1"/>
  <c r="BR861" i="1"/>
  <c r="BR862" i="1"/>
  <c r="BR863" i="1"/>
  <c r="BR864" i="1"/>
  <c r="BR865" i="1"/>
  <c r="BR866" i="1"/>
  <c r="BR867" i="1"/>
  <c r="BR868" i="1"/>
  <c r="BR869" i="1"/>
  <c r="BR870" i="1"/>
  <c r="BR871" i="1"/>
  <c r="BR872" i="1"/>
  <c r="BR873" i="1"/>
  <c r="BR874" i="1"/>
  <c r="BR875" i="1"/>
  <c r="BR876" i="1"/>
  <c r="BR877" i="1"/>
  <c r="BR878" i="1"/>
  <c r="BR879" i="1"/>
  <c r="BR880" i="1"/>
  <c r="BR881" i="1"/>
  <c r="BR882" i="1"/>
  <c r="BR883" i="1"/>
  <c r="BR884" i="1"/>
  <c r="BR885" i="1"/>
  <c r="BR886" i="1"/>
  <c r="BR887" i="1"/>
  <c r="BR888" i="1"/>
  <c r="BR889" i="1"/>
  <c r="BR890" i="1"/>
  <c r="BR891" i="1"/>
  <c r="BR892" i="1"/>
  <c r="BR893" i="1"/>
  <c r="BR894" i="1"/>
  <c r="BR895" i="1"/>
  <c r="BR896" i="1"/>
  <c r="BR897" i="1"/>
  <c r="BR898" i="1"/>
  <c r="BR899" i="1"/>
  <c r="BR900" i="1"/>
  <c r="BR901" i="1"/>
  <c r="BR902" i="1"/>
  <c r="BR903" i="1"/>
  <c r="BR904" i="1"/>
  <c r="BR905" i="1"/>
  <c r="BR906" i="1"/>
  <c r="BR907" i="1"/>
  <c r="BR908" i="1"/>
  <c r="BR909" i="1"/>
  <c r="BR910" i="1"/>
  <c r="BR911" i="1"/>
  <c r="BR912" i="1"/>
  <c r="BR913" i="1"/>
  <c r="BR914" i="1"/>
  <c r="BR915" i="1"/>
  <c r="BR916" i="1"/>
  <c r="BR917" i="1"/>
  <c r="BR918" i="1"/>
  <c r="BR919" i="1"/>
  <c r="BR920" i="1"/>
  <c r="BR921" i="1"/>
  <c r="BR922" i="1"/>
  <c r="BR923" i="1"/>
  <c r="BR924" i="1"/>
  <c r="BR925" i="1"/>
  <c r="BR926" i="1"/>
  <c r="BR927" i="1"/>
  <c r="BR928" i="1"/>
  <c r="BR929" i="1"/>
  <c r="BR930" i="1"/>
  <c r="BR931" i="1"/>
  <c r="BR932" i="1"/>
  <c r="BR933" i="1"/>
  <c r="BR934" i="1"/>
  <c r="BR935" i="1"/>
  <c r="BR936" i="1"/>
  <c r="BR937" i="1"/>
  <c r="BR938" i="1"/>
  <c r="BR939" i="1"/>
  <c r="BN13" i="1" s="1"/>
  <c r="BR940" i="1"/>
  <c r="BC13" i="1" s="1"/>
  <c r="BR941" i="1"/>
  <c r="BR942" i="1"/>
  <c r="BR943" i="1"/>
  <c r="BR944" i="1"/>
  <c r="BR945" i="1"/>
  <c r="BR946" i="1"/>
  <c r="BR947" i="1"/>
  <c r="BR948" i="1"/>
  <c r="BR949" i="1"/>
  <c r="BR950" i="1"/>
  <c r="BR951" i="1"/>
  <c r="BR952" i="1"/>
  <c r="BR953" i="1"/>
  <c r="BR954" i="1"/>
  <c r="BR955" i="1"/>
  <c r="BR956" i="1"/>
  <c r="BR957" i="1"/>
  <c r="BR958" i="1"/>
  <c r="BR959" i="1"/>
  <c r="BR960" i="1"/>
  <c r="BR961" i="1"/>
  <c r="BR962" i="1"/>
  <c r="BR963" i="1"/>
  <c r="BR964" i="1"/>
  <c r="BR965" i="1"/>
  <c r="BR966" i="1"/>
  <c r="BR967" i="1"/>
  <c r="BR968" i="1"/>
  <c r="BR969" i="1"/>
  <c r="BR970" i="1"/>
  <c r="BR971" i="1"/>
  <c r="BR972" i="1"/>
  <c r="BR973" i="1"/>
  <c r="BR974" i="1"/>
  <c r="BR975" i="1"/>
  <c r="BR976" i="1"/>
  <c r="BR977" i="1"/>
  <c r="BR978" i="1"/>
  <c r="BR979" i="1"/>
  <c r="BR980" i="1"/>
  <c r="BR981" i="1"/>
  <c r="BR982" i="1"/>
  <c r="BR983" i="1"/>
  <c r="BR984" i="1"/>
  <c r="BR985" i="1"/>
  <c r="BR986" i="1"/>
  <c r="BR987" i="1"/>
  <c r="BR988" i="1"/>
  <c r="BR989" i="1"/>
  <c r="BR990" i="1"/>
  <c r="BR991" i="1"/>
  <c r="BR992" i="1"/>
  <c r="BR993" i="1"/>
  <c r="BR994" i="1"/>
  <c r="BR995" i="1"/>
  <c r="BR996" i="1"/>
  <c r="BR997" i="1"/>
  <c r="BR998" i="1"/>
  <c r="BR999" i="1"/>
  <c r="BR1000" i="1"/>
  <c r="BR1001" i="1"/>
  <c r="BR22" i="1"/>
  <c r="BR3" i="1"/>
  <c r="BR4" i="1"/>
  <c r="BR5" i="1"/>
  <c r="BR6" i="1"/>
  <c r="BR7" i="1"/>
  <c r="BR8" i="1"/>
  <c r="BR9" i="1"/>
  <c r="BR10" i="1"/>
  <c r="BR11" i="1"/>
  <c r="BR12" i="1"/>
  <c r="BR13" i="1"/>
  <c r="BR14" i="1"/>
  <c r="BR15" i="1"/>
  <c r="BR16" i="1"/>
  <c r="BR17" i="1"/>
  <c r="BR18" i="1"/>
  <c r="BR19" i="1"/>
  <c r="BR20" i="1"/>
  <c r="BR21" i="1"/>
  <c r="BR2" i="1"/>
  <c r="BN2" i="1" s="1"/>
  <c r="AY3" i="1"/>
  <c r="AY4" i="1"/>
  <c r="AY5" i="1"/>
  <c r="AY6" i="1"/>
  <c r="AY7" i="1"/>
  <c r="AY8" i="1"/>
  <c r="AY9" i="1"/>
  <c r="AY10" i="1"/>
  <c r="AY11" i="1"/>
  <c r="AY12" i="1"/>
  <c r="AY13" i="1"/>
  <c r="AY14" i="1"/>
  <c r="AY15" i="1"/>
  <c r="AY16" i="1"/>
  <c r="AY17" i="1"/>
  <c r="AY18" i="1"/>
  <c r="AY2" i="1"/>
  <c r="AU3" i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4" i="1"/>
  <c r="AU105" i="1"/>
  <c r="AU106" i="1"/>
  <c r="AU107" i="1"/>
  <c r="AU108" i="1"/>
  <c r="AU109" i="1"/>
  <c r="AU110" i="1"/>
  <c r="AU111" i="1"/>
  <c r="AU112" i="1"/>
  <c r="AU113" i="1"/>
  <c r="AU114" i="1"/>
  <c r="AU115" i="1"/>
  <c r="AU116" i="1"/>
  <c r="AU117" i="1"/>
  <c r="AU118" i="1"/>
  <c r="AU119" i="1"/>
  <c r="AU120" i="1"/>
  <c r="AU121" i="1"/>
  <c r="AU122" i="1"/>
  <c r="AU123" i="1"/>
  <c r="AU124" i="1"/>
  <c r="AU125" i="1"/>
  <c r="AU126" i="1"/>
  <c r="AU127" i="1"/>
  <c r="AU128" i="1"/>
  <c r="AU129" i="1"/>
  <c r="AU130" i="1"/>
  <c r="AU131" i="1"/>
  <c r="AU132" i="1"/>
  <c r="AU133" i="1"/>
  <c r="AU134" i="1"/>
  <c r="AU135" i="1"/>
  <c r="AU136" i="1"/>
  <c r="AU137" i="1"/>
  <c r="AU138" i="1"/>
  <c r="AU139" i="1"/>
  <c r="AU140" i="1"/>
  <c r="AU141" i="1"/>
  <c r="AU142" i="1"/>
  <c r="AU143" i="1"/>
  <c r="AU144" i="1"/>
  <c r="AU145" i="1"/>
  <c r="AU146" i="1"/>
  <c r="AU147" i="1"/>
  <c r="AU148" i="1"/>
  <c r="AU149" i="1"/>
  <c r="AU150" i="1"/>
  <c r="AU151" i="1"/>
  <c r="AU152" i="1"/>
  <c r="AU153" i="1"/>
  <c r="AU154" i="1"/>
  <c r="AU155" i="1"/>
  <c r="AU156" i="1"/>
  <c r="AU157" i="1"/>
  <c r="AU158" i="1"/>
  <c r="AU159" i="1"/>
  <c r="AU160" i="1"/>
  <c r="AU161" i="1"/>
  <c r="AU162" i="1"/>
  <c r="AU163" i="1"/>
  <c r="AU164" i="1"/>
  <c r="AU165" i="1"/>
  <c r="AU166" i="1"/>
  <c r="AU167" i="1"/>
  <c r="AU168" i="1"/>
  <c r="AU169" i="1"/>
  <c r="AU170" i="1"/>
  <c r="AU171" i="1"/>
  <c r="AU172" i="1"/>
  <c r="AU173" i="1"/>
  <c r="AU174" i="1"/>
  <c r="AU175" i="1"/>
  <c r="AU176" i="1"/>
  <c r="AU177" i="1"/>
  <c r="AU178" i="1"/>
  <c r="AU179" i="1"/>
  <c r="AU180" i="1"/>
  <c r="AU181" i="1"/>
  <c r="AU182" i="1"/>
  <c r="AU183" i="1"/>
  <c r="AU184" i="1"/>
  <c r="AU185" i="1"/>
  <c r="AU186" i="1"/>
  <c r="AU187" i="1"/>
  <c r="AU188" i="1"/>
  <c r="AU189" i="1"/>
  <c r="AU190" i="1"/>
  <c r="AU191" i="1"/>
  <c r="AU192" i="1"/>
  <c r="AU193" i="1"/>
  <c r="AU194" i="1"/>
  <c r="AU195" i="1"/>
  <c r="AU196" i="1"/>
  <c r="AU197" i="1"/>
  <c r="AU198" i="1"/>
  <c r="AU199" i="1"/>
  <c r="AU2" i="1"/>
  <c r="AL58" i="1"/>
  <c r="AL36" i="1"/>
  <c r="AL39" i="1"/>
  <c r="AL49" i="1"/>
  <c r="AL16" i="1"/>
  <c r="AL21" i="1"/>
  <c r="AL94" i="1"/>
  <c r="AL59" i="1"/>
  <c r="AL124" i="1"/>
  <c r="AL57" i="1"/>
  <c r="AL15" i="1"/>
  <c r="AL33" i="1"/>
  <c r="AL114" i="1"/>
  <c r="AL4" i="1"/>
  <c r="AL61" i="1"/>
  <c r="AL9" i="1"/>
  <c r="AL107" i="1"/>
  <c r="AL60" i="1"/>
  <c r="AL6" i="1"/>
  <c r="AL55" i="1"/>
  <c r="AL22" i="1"/>
  <c r="AL43" i="1"/>
  <c r="AL105" i="1"/>
  <c r="AL10" i="1"/>
  <c r="AL7" i="1"/>
  <c r="AL78" i="1"/>
  <c r="AL70" i="1"/>
  <c r="AL29" i="1"/>
  <c r="AL3" i="1"/>
  <c r="AL137" i="1"/>
  <c r="AL56" i="1"/>
  <c r="AL38" i="1"/>
  <c r="AL101" i="1"/>
  <c r="AL74" i="1"/>
  <c r="AL37" i="1"/>
  <c r="AL122" i="1"/>
  <c r="AL130" i="1"/>
  <c r="AL177" i="1"/>
  <c r="AL100" i="1"/>
  <c r="AL73" i="1"/>
  <c r="AL169" i="1"/>
  <c r="AL28" i="1"/>
  <c r="AL120" i="1"/>
  <c r="AL18" i="1"/>
  <c r="AL106" i="1"/>
  <c r="AL149" i="1"/>
  <c r="AL112" i="1"/>
  <c r="AL98" i="1"/>
  <c r="AL47" i="1"/>
  <c r="AL75" i="1"/>
  <c r="AL86" i="1"/>
  <c r="AL157" i="1"/>
  <c r="AL45" i="1"/>
  <c r="AL34" i="1"/>
  <c r="AL54" i="1"/>
  <c r="AL27" i="1"/>
  <c r="AL8" i="1"/>
  <c r="AL97" i="1"/>
  <c r="AL109" i="1"/>
  <c r="AL20" i="1"/>
  <c r="AL153" i="1"/>
  <c r="AL158" i="1"/>
  <c r="AL13" i="1"/>
  <c r="AL162" i="1"/>
  <c r="AL40" i="1"/>
  <c r="AL147" i="1"/>
  <c r="AL88" i="1"/>
  <c r="AL143" i="1"/>
  <c r="AL135" i="1"/>
  <c r="AL165" i="1"/>
  <c r="AL69" i="1"/>
  <c r="AL179" i="1"/>
  <c r="AL52" i="1"/>
  <c r="AL115" i="1"/>
  <c r="AL32" i="1"/>
  <c r="AL85" i="1"/>
  <c r="AL80" i="1"/>
  <c r="AL19" i="1"/>
  <c r="AL76" i="1"/>
  <c r="AL159" i="1"/>
  <c r="AL142" i="1"/>
  <c r="AL79" i="1"/>
  <c r="AL72" i="1"/>
  <c r="AL41" i="1"/>
  <c r="AL25" i="1"/>
  <c r="AL87" i="1"/>
  <c r="AL123" i="1"/>
  <c r="AL126" i="1"/>
  <c r="AL141" i="1"/>
  <c r="AL181" i="1"/>
  <c r="AL144" i="1"/>
  <c r="AL102" i="1"/>
  <c r="AL131" i="1"/>
  <c r="AL68" i="1"/>
  <c r="AL155" i="1"/>
  <c r="AL154" i="1"/>
  <c r="AL183" i="1"/>
  <c r="AL190" i="1"/>
  <c r="AL174" i="1"/>
  <c r="AL168" i="1"/>
  <c r="AL140" i="1"/>
  <c r="AL118" i="1"/>
  <c r="AL11" i="1"/>
  <c r="AL14" i="1"/>
  <c r="AL119" i="1"/>
  <c r="AL180" i="1"/>
  <c r="AL111" i="1"/>
  <c r="AL83" i="1"/>
  <c r="AL171" i="1"/>
  <c r="AL127" i="1"/>
  <c r="AL113" i="1"/>
  <c r="AL2" i="1"/>
  <c r="AL35" i="1"/>
  <c r="AL196" i="1"/>
  <c r="AL66" i="1"/>
  <c r="AL26" i="1"/>
  <c r="AL91" i="1"/>
  <c r="AL108" i="1"/>
  <c r="AL5" i="1"/>
  <c r="AL42" i="1"/>
  <c r="AL146" i="1"/>
  <c r="AL51" i="1"/>
  <c r="AL133" i="1"/>
  <c r="AL104" i="1"/>
  <c r="AL199" i="1"/>
  <c r="AL46" i="1"/>
  <c r="AL12" i="1"/>
  <c r="AL53" i="1"/>
  <c r="AL84" i="1"/>
  <c r="AL93" i="1"/>
  <c r="AL164" i="1"/>
  <c r="AL178" i="1"/>
  <c r="AL187" i="1"/>
  <c r="AL129" i="1"/>
  <c r="AL17" i="1"/>
  <c r="AL71" i="1"/>
  <c r="AL139" i="1"/>
  <c r="AL96" i="1"/>
  <c r="AL77" i="1"/>
  <c r="AL175" i="1"/>
  <c r="AL182" i="1"/>
  <c r="AL173" i="1"/>
  <c r="AL89" i="1"/>
  <c r="AL48" i="1"/>
  <c r="AL145" i="1"/>
  <c r="AL166" i="1"/>
  <c r="AL132" i="1"/>
  <c r="AL64" i="1"/>
  <c r="AL136" i="1"/>
  <c r="AL95" i="1"/>
  <c r="AL110" i="1"/>
  <c r="AL152" i="1"/>
  <c r="AL31" i="1"/>
  <c r="AL161" i="1"/>
  <c r="AL81" i="1"/>
  <c r="AL125" i="1"/>
  <c r="AL151" i="1"/>
  <c r="AL30" i="1"/>
  <c r="AL138" i="1"/>
  <c r="AL50" i="1"/>
  <c r="AL24" i="1"/>
  <c r="AL23" i="1"/>
  <c r="AL63" i="1"/>
  <c r="AL82" i="1"/>
  <c r="AL185" i="1"/>
  <c r="AL103" i="1"/>
  <c r="AL121" i="1"/>
  <c r="AL167" i="1"/>
  <c r="AL116" i="1"/>
  <c r="AL92" i="1"/>
  <c r="AL99" i="1"/>
  <c r="AL170" i="1"/>
  <c r="AL44" i="1"/>
  <c r="AL198" i="1"/>
  <c r="AL163" i="1"/>
  <c r="AL148" i="1"/>
  <c r="AL160" i="1"/>
  <c r="AL188" i="1"/>
  <c r="AL192" i="1"/>
  <c r="AL117" i="1"/>
  <c r="AL150" i="1"/>
  <c r="AL90" i="1"/>
  <c r="AL134" i="1"/>
  <c r="AL128" i="1"/>
  <c r="AL156" i="1"/>
  <c r="AL67" i="1"/>
  <c r="AL194" i="1"/>
  <c r="AL189" i="1"/>
  <c r="AL184" i="1"/>
  <c r="AL193" i="1"/>
  <c r="AL195" i="1"/>
  <c r="AL172" i="1"/>
  <c r="AL176" i="1"/>
  <c r="AL62" i="1"/>
  <c r="AL191" i="1"/>
  <c r="AL197" i="1"/>
  <c r="AL186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L934" i="1"/>
  <c r="AL935" i="1"/>
  <c r="AL936" i="1"/>
  <c r="AL937" i="1"/>
  <c r="AL938" i="1"/>
  <c r="AL939" i="1"/>
  <c r="AL940" i="1"/>
  <c r="AL941" i="1"/>
  <c r="AL942" i="1"/>
  <c r="AL943" i="1"/>
  <c r="AL944" i="1"/>
  <c r="AL945" i="1"/>
  <c r="AL946" i="1"/>
  <c r="AL947" i="1"/>
  <c r="AL948" i="1"/>
  <c r="AL949" i="1"/>
  <c r="AL950" i="1"/>
  <c r="AL951" i="1"/>
  <c r="AL952" i="1"/>
  <c r="AL953" i="1"/>
  <c r="AL954" i="1"/>
  <c r="AL955" i="1"/>
  <c r="AL956" i="1"/>
  <c r="AL957" i="1"/>
  <c r="AL958" i="1"/>
  <c r="AL959" i="1"/>
  <c r="AL960" i="1"/>
  <c r="AL961" i="1"/>
  <c r="AL962" i="1"/>
  <c r="AL963" i="1"/>
  <c r="AL964" i="1"/>
  <c r="AL965" i="1"/>
  <c r="AL966" i="1"/>
  <c r="AL967" i="1"/>
  <c r="AL968" i="1"/>
  <c r="AL969" i="1"/>
  <c r="AL970" i="1"/>
  <c r="AL971" i="1"/>
  <c r="AL972" i="1"/>
  <c r="AL973" i="1"/>
  <c r="AL974" i="1"/>
  <c r="AL975" i="1"/>
  <c r="AL976" i="1"/>
  <c r="AL977" i="1"/>
  <c r="AL978" i="1"/>
  <c r="AL979" i="1"/>
  <c r="AL980" i="1"/>
  <c r="AL981" i="1"/>
  <c r="AL982" i="1"/>
  <c r="AL983" i="1"/>
  <c r="AL984" i="1"/>
  <c r="AL985" i="1"/>
  <c r="AL986" i="1"/>
  <c r="AL987" i="1"/>
  <c r="AL988" i="1"/>
  <c r="AL989" i="1"/>
  <c r="AL990" i="1"/>
  <c r="AL991" i="1"/>
  <c r="AL992" i="1"/>
  <c r="AL993" i="1"/>
  <c r="AL994" i="1"/>
  <c r="AL995" i="1"/>
  <c r="AL996" i="1"/>
  <c r="AL997" i="1"/>
  <c r="AL998" i="1"/>
  <c r="AL999" i="1"/>
  <c r="AL1000" i="1"/>
  <c r="AL1001" i="1"/>
  <c r="AL65" i="1"/>
  <c r="AM58" i="1"/>
  <c r="AM36" i="1"/>
  <c r="AM39" i="1"/>
  <c r="AM49" i="1"/>
  <c r="AM16" i="1"/>
  <c r="AM21" i="1"/>
  <c r="AM94" i="1"/>
  <c r="AM59" i="1"/>
  <c r="AM124" i="1"/>
  <c r="AM57" i="1"/>
  <c r="AM15" i="1"/>
  <c r="AM33" i="1"/>
  <c r="AM114" i="1"/>
  <c r="AM4" i="1"/>
  <c r="AM61" i="1"/>
  <c r="AM9" i="1"/>
  <c r="AM107" i="1"/>
  <c r="AM60" i="1"/>
  <c r="AM6" i="1"/>
  <c r="AM55" i="1"/>
  <c r="AM22" i="1"/>
  <c r="AM43" i="1"/>
  <c r="AM105" i="1"/>
  <c r="AM10" i="1"/>
  <c r="AM7" i="1"/>
  <c r="AM78" i="1"/>
  <c r="AM70" i="1"/>
  <c r="AM29" i="1"/>
  <c r="AM3" i="1"/>
  <c r="AM137" i="1"/>
  <c r="AM56" i="1"/>
  <c r="AM38" i="1"/>
  <c r="AM101" i="1"/>
  <c r="AM74" i="1"/>
  <c r="AM37" i="1"/>
  <c r="AM122" i="1"/>
  <c r="AM130" i="1"/>
  <c r="AM177" i="1"/>
  <c r="AM100" i="1"/>
  <c r="AM73" i="1"/>
  <c r="AM169" i="1"/>
  <c r="AM28" i="1"/>
  <c r="AM120" i="1"/>
  <c r="AM18" i="1"/>
  <c r="AM106" i="1"/>
  <c r="AM149" i="1"/>
  <c r="AM112" i="1"/>
  <c r="AM98" i="1"/>
  <c r="AM47" i="1"/>
  <c r="AM75" i="1"/>
  <c r="AM86" i="1"/>
  <c r="AM157" i="1"/>
  <c r="AM45" i="1"/>
  <c r="AM34" i="1"/>
  <c r="AM54" i="1"/>
  <c r="AM27" i="1"/>
  <c r="AM8" i="1"/>
  <c r="AM97" i="1"/>
  <c r="AM109" i="1"/>
  <c r="AM20" i="1"/>
  <c r="AM153" i="1"/>
  <c r="AM158" i="1"/>
  <c r="AM13" i="1"/>
  <c r="AM162" i="1"/>
  <c r="AM40" i="1"/>
  <c r="AM147" i="1"/>
  <c r="AM88" i="1"/>
  <c r="AM143" i="1"/>
  <c r="AM135" i="1"/>
  <c r="AM165" i="1"/>
  <c r="AM69" i="1"/>
  <c r="AM179" i="1"/>
  <c r="AM52" i="1"/>
  <c r="AM115" i="1"/>
  <c r="AM32" i="1"/>
  <c r="AM85" i="1"/>
  <c r="AM80" i="1"/>
  <c r="AM19" i="1"/>
  <c r="AM76" i="1"/>
  <c r="AM159" i="1"/>
  <c r="AM142" i="1"/>
  <c r="AM79" i="1"/>
  <c r="AM72" i="1"/>
  <c r="AM41" i="1"/>
  <c r="AM25" i="1"/>
  <c r="AM87" i="1"/>
  <c r="AM123" i="1"/>
  <c r="AM126" i="1"/>
  <c r="AM141" i="1"/>
  <c r="AM181" i="1"/>
  <c r="AM144" i="1"/>
  <c r="AM102" i="1"/>
  <c r="AM131" i="1"/>
  <c r="AM68" i="1"/>
  <c r="AM155" i="1"/>
  <c r="AM154" i="1"/>
  <c r="AM183" i="1"/>
  <c r="AM190" i="1"/>
  <c r="AM174" i="1"/>
  <c r="AM168" i="1"/>
  <c r="AM140" i="1"/>
  <c r="AM118" i="1"/>
  <c r="AM11" i="1"/>
  <c r="AM14" i="1"/>
  <c r="AM119" i="1"/>
  <c r="AM180" i="1"/>
  <c r="AM111" i="1"/>
  <c r="AM83" i="1"/>
  <c r="AM171" i="1"/>
  <c r="AM127" i="1"/>
  <c r="AM113" i="1"/>
  <c r="AM2" i="1"/>
  <c r="AM35" i="1"/>
  <c r="AM196" i="1"/>
  <c r="AM66" i="1"/>
  <c r="AM26" i="1"/>
  <c r="AM91" i="1"/>
  <c r="AM108" i="1"/>
  <c r="AM5" i="1"/>
  <c r="AM42" i="1"/>
  <c r="AM146" i="1"/>
  <c r="AM51" i="1"/>
  <c r="AM133" i="1"/>
  <c r="AM104" i="1"/>
  <c r="AM199" i="1"/>
  <c r="AM46" i="1"/>
  <c r="AM12" i="1"/>
  <c r="AM53" i="1"/>
  <c r="AM84" i="1"/>
  <c r="AM93" i="1"/>
  <c r="AM164" i="1"/>
  <c r="AM178" i="1"/>
  <c r="AM187" i="1"/>
  <c r="AM129" i="1"/>
  <c r="AM17" i="1"/>
  <c r="AM71" i="1"/>
  <c r="AM139" i="1"/>
  <c r="AM96" i="1"/>
  <c r="AM77" i="1"/>
  <c r="AM175" i="1"/>
  <c r="AM182" i="1"/>
  <c r="AM173" i="1"/>
  <c r="AM89" i="1"/>
  <c r="AM48" i="1"/>
  <c r="AM145" i="1"/>
  <c r="AM166" i="1"/>
  <c r="AM132" i="1"/>
  <c r="AM64" i="1"/>
  <c r="AM136" i="1"/>
  <c r="AM95" i="1"/>
  <c r="AM110" i="1"/>
  <c r="AM152" i="1"/>
  <c r="AM31" i="1"/>
  <c r="AM161" i="1"/>
  <c r="AM81" i="1"/>
  <c r="AM125" i="1"/>
  <c r="AM151" i="1"/>
  <c r="AM30" i="1"/>
  <c r="AM138" i="1"/>
  <c r="AM50" i="1"/>
  <c r="AM24" i="1"/>
  <c r="AM23" i="1"/>
  <c r="AM63" i="1"/>
  <c r="AM82" i="1"/>
  <c r="AM185" i="1"/>
  <c r="AM103" i="1"/>
  <c r="AM121" i="1"/>
  <c r="AM167" i="1"/>
  <c r="AM116" i="1"/>
  <c r="AM92" i="1"/>
  <c r="AM99" i="1"/>
  <c r="AM170" i="1"/>
  <c r="AM44" i="1"/>
  <c r="AM198" i="1"/>
  <c r="AM163" i="1"/>
  <c r="AM148" i="1"/>
  <c r="AM160" i="1"/>
  <c r="AM188" i="1"/>
  <c r="AM192" i="1"/>
  <c r="AM117" i="1"/>
  <c r="AM150" i="1"/>
  <c r="AM90" i="1"/>
  <c r="AM134" i="1"/>
  <c r="AM128" i="1"/>
  <c r="AM156" i="1"/>
  <c r="AM67" i="1"/>
  <c r="AM194" i="1"/>
  <c r="AM189" i="1"/>
  <c r="AM184" i="1"/>
  <c r="AM193" i="1"/>
  <c r="AM195" i="1"/>
  <c r="AM172" i="1"/>
  <c r="AM176" i="1"/>
  <c r="AM62" i="1"/>
  <c r="AM191" i="1"/>
  <c r="AM197" i="1"/>
  <c r="AM186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65" i="1"/>
  <c r="M3" i="1"/>
  <c r="M4" i="1"/>
  <c r="M5" i="1"/>
  <c r="M6" i="1"/>
  <c r="M7" i="1"/>
  <c r="M8" i="1"/>
  <c r="M9" i="1"/>
  <c r="M10" i="1"/>
  <c r="M11" i="1"/>
  <c r="M12" i="1"/>
  <c r="M13" i="1"/>
  <c r="M2" i="1"/>
  <c r="L3" i="1"/>
  <c r="L4" i="1"/>
  <c r="L5" i="1"/>
  <c r="L6" i="1"/>
  <c r="L7" i="1"/>
  <c r="L8" i="1"/>
  <c r="L9" i="1"/>
  <c r="L10" i="1"/>
  <c r="L11" i="1"/>
  <c r="L12" i="1"/>
  <c r="L13" i="1"/>
  <c r="L2" i="1"/>
  <c r="Y3" i="1"/>
  <c r="Y4" i="1"/>
  <c r="Y5" i="1"/>
  <c r="Y6" i="1"/>
  <c r="Y7" i="1"/>
  <c r="Y8" i="1"/>
  <c r="Y9" i="1"/>
  <c r="Y10" i="1"/>
  <c r="Y11" i="1"/>
  <c r="Y12" i="1"/>
  <c r="Y13" i="1"/>
  <c r="Y2" i="1"/>
  <c r="J3" i="1"/>
  <c r="J4" i="1"/>
  <c r="J5" i="1"/>
  <c r="J6" i="1"/>
  <c r="J7" i="1"/>
  <c r="J8" i="1"/>
  <c r="J9" i="1"/>
  <c r="J10" i="1"/>
  <c r="J11" i="1"/>
  <c r="J12" i="1"/>
  <c r="J13" i="1"/>
  <c r="J2" i="1"/>
  <c r="I3" i="1"/>
  <c r="I4" i="1"/>
  <c r="I5" i="1"/>
  <c r="I6" i="1"/>
  <c r="I7" i="1"/>
  <c r="I8" i="1"/>
  <c r="I9" i="1"/>
  <c r="I10" i="1"/>
  <c r="I11" i="1"/>
  <c r="I12" i="1"/>
  <c r="I13" i="1"/>
  <c r="I2" i="1"/>
  <c r="BB2" i="1" l="1"/>
  <c r="BB8" i="1"/>
  <c r="BC2" i="1"/>
  <c r="BC8" i="1"/>
  <c r="BD2" i="1"/>
  <c r="BD8" i="1"/>
  <c r="BE2" i="1"/>
  <c r="BE8" i="1"/>
  <c r="BF2" i="1"/>
  <c r="BF8" i="1"/>
  <c r="BG2" i="1"/>
  <c r="BG8" i="1"/>
  <c r="BH2" i="1"/>
  <c r="BH8" i="1"/>
  <c r="BI2" i="1"/>
  <c r="BI8" i="1"/>
  <c r="BJ2" i="1"/>
  <c r="BJ8" i="1"/>
  <c r="BK2" i="1"/>
  <c r="BK8" i="1"/>
  <c r="BL2" i="1"/>
  <c r="BL8" i="1"/>
  <c r="BM2" i="1"/>
  <c r="BM8" i="1"/>
  <c r="BB13" i="1"/>
  <c r="BD13" i="1"/>
  <c r="BE13" i="1"/>
  <c r="BF13" i="1"/>
  <c r="BF7" i="1"/>
  <c r="BG13" i="1"/>
  <c r="BG7" i="1"/>
  <c r="BH13" i="1"/>
  <c r="BH7" i="1"/>
  <c r="BI13" i="1"/>
  <c r="BI7" i="1"/>
  <c r="BJ13" i="1"/>
  <c r="BJ7" i="1"/>
  <c r="BK13" i="1"/>
  <c r="BK7" i="1"/>
  <c r="BL13" i="1"/>
  <c r="BL7" i="1"/>
  <c r="BM13" i="1"/>
  <c r="BM7" i="1"/>
  <c r="BB6" i="1"/>
  <c r="BC6" i="1"/>
  <c r="BD6" i="1"/>
  <c r="BE12" i="1"/>
  <c r="BE6" i="1"/>
  <c r="BF12" i="1"/>
  <c r="BF6" i="1"/>
  <c r="BG6" i="1"/>
  <c r="BH12" i="1"/>
  <c r="BH6" i="1"/>
  <c r="BI12" i="1"/>
  <c r="BI6" i="1"/>
  <c r="BJ12" i="1"/>
  <c r="BJ6" i="1"/>
  <c r="BK12" i="1"/>
  <c r="BK6" i="1"/>
  <c r="BL12" i="1"/>
  <c r="BL6" i="1"/>
  <c r="BM12" i="1"/>
  <c r="BM6" i="1"/>
  <c r="BC11" i="1"/>
  <c r="BC5" i="1"/>
  <c r="BD11" i="1"/>
  <c r="BD5" i="1"/>
  <c r="BE11" i="1"/>
  <c r="BE5" i="1"/>
  <c r="BF11" i="1"/>
  <c r="BF5" i="1"/>
  <c r="BG11" i="1"/>
  <c r="BG5" i="1"/>
  <c r="BH11" i="1"/>
  <c r="BH5" i="1"/>
  <c r="BI11" i="1"/>
  <c r="BI5" i="1"/>
  <c r="BJ11" i="1"/>
  <c r="BJ5" i="1"/>
  <c r="BK11" i="1"/>
  <c r="BK5" i="1"/>
  <c r="BL11" i="1"/>
  <c r="BL5" i="1"/>
  <c r="BM11" i="1"/>
  <c r="BM5" i="1"/>
  <c r="BB10" i="1"/>
  <c r="BB4" i="1"/>
  <c r="BC10" i="1"/>
  <c r="BC4" i="1"/>
  <c r="BD10" i="1"/>
  <c r="BD4" i="1"/>
  <c r="BE10" i="1"/>
  <c r="BE4" i="1"/>
  <c r="BF10" i="1"/>
  <c r="BF4" i="1"/>
  <c r="BG10" i="1"/>
  <c r="BG4" i="1"/>
  <c r="BH10" i="1"/>
  <c r="BH4" i="1"/>
  <c r="BI10" i="1"/>
  <c r="BI4" i="1"/>
  <c r="BJ10" i="1"/>
  <c r="BJ4" i="1"/>
  <c r="BK10" i="1"/>
  <c r="BK4" i="1"/>
  <c r="BL10" i="1"/>
  <c r="BL4" i="1"/>
  <c r="BM10" i="1"/>
  <c r="BM4" i="1"/>
  <c r="BB3" i="1"/>
  <c r="BC9" i="1"/>
  <c r="BC3" i="1"/>
  <c r="BD3" i="1"/>
  <c r="BE9" i="1"/>
  <c r="BE3" i="1"/>
  <c r="BF9" i="1"/>
  <c r="BF3" i="1"/>
  <c r="BG9" i="1"/>
  <c r="BG3" i="1"/>
  <c r="BH9" i="1"/>
  <c r="BH3" i="1"/>
  <c r="BI9" i="1"/>
  <c r="BI3" i="1"/>
  <c r="BJ9" i="1"/>
  <c r="BJ3" i="1"/>
  <c r="BK9" i="1"/>
  <c r="BK3" i="1"/>
  <c r="BL9" i="1"/>
  <c r="BL3" i="1"/>
  <c r="BM9" i="1"/>
  <c r="BM3" i="1"/>
  <c r="N2" i="1"/>
  <c r="N8" i="1"/>
  <c r="N13" i="1"/>
  <c r="N7" i="1"/>
  <c r="N12" i="1"/>
  <c r="N6" i="1"/>
  <c r="N11" i="1"/>
  <c r="N5" i="1"/>
  <c r="N10" i="1"/>
  <c r="N4" i="1"/>
  <c r="N9" i="1"/>
  <c r="N3" i="1"/>
</calcChain>
</file>

<file path=xl/sharedStrings.xml><?xml version="1.0" encoding="utf-8"?>
<sst xmlns="http://schemas.openxmlformats.org/spreadsheetml/2006/main" count="12314" uniqueCount="510">
  <si>
    <t>ФИО менеджера</t>
  </si>
  <si>
    <t>ФИО клиента</t>
  </si>
  <si>
    <t>Дата сделки</t>
  </si>
  <si>
    <t>Сумма сделки</t>
  </si>
  <si>
    <t>NPS</t>
  </si>
  <si>
    <t>Петров Владимир Кириллович</t>
  </si>
  <si>
    <t>Степанова Александра Ивановна</t>
  </si>
  <si>
    <t>2023-09-01</t>
  </si>
  <si>
    <t>Семенова Ирина Валерьевна</t>
  </si>
  <si>
    <t>Иванов Кирилл Михайлович</t>
  </si>
  <si>
    <t>Громова Мария Ильинична</t>
  </si>
  <si>
    <t>Иванова Валерия Артемовна</t>
  </si>
  <si>
    <t>Белов Алексей Константинович</t>
  </si>
  <si>
    <t>Степанов Павел Олегович</t>
  </si>
  <si>
    <t>Иванова Анна Сергеевна</t>
  </si>
  <si>
    <t>Смирнов Артем Владимирович</t>
  </si>
  <si>
    <t>2023-09-04</t>
  </si>
  <si>
    <t>Ткаченко Андрей Олегович</t>
  </si>
  <si>
    <t>Смирнов Кирилл Юрьевич</t>
  </si>
  <si>
    <t>Смирнова Ольга Станиславовна</t>
  </si>
  <si>
    <t>Яковлев Артем Игоревич</t>
  </si>
  <si>
    <t>Семенова Екатерина Станиславовна</t>
  </si>
  <si>
    <t>Степанов Никита Андреевич</t>
  </si>
  <si>
    <t>Новикова Ольга Петровна</t>
  </si>
  <si>
    <t>Алексеева Юлия Михайловна</t>
  </si>
  <si>
    <t>Петрова Ксения Дмитриевна</t>
  </si>
  <si>
    <t>Сидорова Вероника Геннадьевна</t>
  </si>
  <si>
    <t>Орлов Павел Денисович</t>
  </si>
  <si>
    <t>Алексеева Ирина Романовна</t>
  </si>
  <si>
    <t>Смирнова Светлана Владимировна</t>
  </si>
  <si>
    <t>Степанова Мария Алексеевна</t>
  </si>
  <si>
    <t>2023-09-05</t>
  </si>
  <si>
    <t>Фролов Сергей Викторович</t>
  </si>
  <si>
    <t>Кузнецов Дмитрий Львович</t>
  </si>
  <si>
    <t>Федорова Ирина Артемовна</t>
  </si>
  <si>
    <t>Павлова Анна Викторовна</t>
  </si>
  <si>
    <t>Сидорова Елена Васильевна</t>
  </si>
  <si>
    <t>Кузнецов Георгий Александрович</t>
  </si>
  <si>
    <t>2023-09-06</t>
  </si>
  <si>
    <t>Степанова Светлана Геннадьевна</t>
  </si>
  <si>
    <t>2023-09-07</t>
  </si>
  <si>
    <t>Лебедев Михаил Ильич</t>
  </si>
  <si>
    <t>Семенова Светлана Никитична</t>
  </si>
  <si>
    <t>2023-09-08</t>
  </si>
  <si>
    <t>Петрова Ирина Александровна</t>
  </si>
  <si>
    <t>Павлова Елена Ивановна</t>
  </si>
  <si>
    <t>Егорова Дарья Александровна</t>
  </si>
  <si>
    <t>Павлова Алиса Михайловна</t>
  </si>
  <si>
    <t>Иванова Ирина Ивановна</t>
  </si>
  <si>
    <t>2023-09-11</t>
  </si>
  <si>
    <t>Попова Елена Михайловна</t>
  </si>
  <si>
    <t>Павлов Артур Егорович</t>
  </si>
  <si>
    <t>Алексеева Ксения Романовна</t>
  </si>
  <si>
    <t>Попов Константин Александрович</t>
  </si>
  <si>
    <t>Козлов Илья Ильич</t>
  </si>
  <si>
    <t>Павлов Матвей Станиславович</t>
  </si>
  <si>
    <t>Васильев Роман Юрьевич</t>
  </si>
  <si>
    <t>Кузнецов Георгий Сергеевич</t>
  </si>
  <si>
    <t>Павлова Вероника Кирилловна</t>
  </si>
  <si>
    <t>2023-09-12</t>
  </si>
  <si>
    <t>Степанова Юлия Михайловна</t>
  </si>
  <si>
    <t>Васильев Александр Александрович</t>
  </si>
  <si>
    <t>Кузнецова Наталья Артемовна</t>
  </si>
  <si>
    <t>Козлов Никита Александрович</t>
  </si>
  <si>
    <t>2023-09-13</t>
  </si>
  <si>
    <t>Козлов Алексей Кириллович</t>
  </si>
  <si>
    <t>2023-09-14</t>
  </si>
  <si>
    <t>Козлова Дарья Егоровна</t>
  </si>
  <si>
    <t>Степанов Дмитрий Геннадьевич</t>
  </si>
  <si>
    <t>Лебедева Ольга Романовна</t>
  </si>
  <si>
    <t>Попова Наталья Артемовна</t>
  </si>
  <si>
    <t>2023-09-15</t>
  </si>
  <si>
    <t>Смирнов Михаил Иванович</t>
  </si>
  <si>
    <t>2023-09-18</t>
  </si>
  <si>
    <t>Павлов Константин Алексеевич</t>
  </si>
  <si>
    <t>Орлов Сергей Сергеевич</t>
  </si>
  <si>
    <t>Новикова Анна Станиславовна</t>
  </si>
  <si>
    <t>Смирнов Дмитрий Павлович</t>
  </si>
  <si>
    <t>2023-09-19</t>
  </si>
  <si>
    <t>Морозова Полина Сергеевна</t>
  </si>
  <si>
    <t>2023-09-21</t>
  </si>
  <si>
    <t>Смирнова Юлия Дмитриевна</t>
  </si>
  <si>
    <t>Козлов Константин Павлович</t>
  </si>
  <si>
    <t>2023-09-22</t>
  </si>
  <si>
    <t>Алексеева Александра Ильинична</t>
  </si>
  <si>
    <t>Иванов Матвей Дмитриевич</t>
  </si>
  <si>
    <t>2023-09-25</t>
  </si>
  <si>
    <t>Козлова Валерия Егоровна</t>
  </si>
  <si>
    <t>Николаева Виктория Романовна</t>
  </si>
  <si>
    <t>Сидорова Полина Егоровна</t>
  </si>
  <si>
    <t>Смирнов Илья Никитич</t>
  </si>
  <si>
    <t>Петров Константин Александрович</t>
  </si>
  <si>
    <t>Смирнова София Станиславовна</t>
  </si>
  <si>
    <t>Федорова Александра Геннадьевна</t>
  </si>
  <si>
    <t>2023-09-27</t>
  </si>
  <si>
    <t>Степанов Андрей Александрович</t>
  </si>
  <si>
    <t>2023-09-28</t>
  </si>
  <si>
    <t>Петрова Светлана Геннадьевна</t>
  </si>
  <si>
    <t>Павлов Алексей Иванович</t>
  </si>
  <si>
    <t>2023-09-29</t>
  </si>
  <si>
    <t>Орлов Михаил Сергеевич</t>
  </si>
  <si>
    <t>Павлова Екатерина Олеговна</t>
  </si>
  <si>
    <t>2023-10-02</t>
  </si>
  <si>
    <t>Кузнецов Матвей Михайлович</t>
  </si>
  <si>
    <t>Егорова Дарья Сергеевна</t>
  </si>
  <si>
    <t>2023-10-03</t>
  </si>
  <si>
    <t>Семенов Михаил Егорович</t>
  </si>
  <si>
    <t>Федоров Александр Геннадьевич</t>
  </si>
  <si>
    <t>2023-10-04</t>
  </si>
  <si>
    <t>Кузнецов Егор Станиславович</t>
  </si>
  <si>
    <t>Петров Кирилл Михайлович</t>
  </si>
  <si>
    <t>Морозова Полина Викторовна</t>
  </si>
  <si>
    <t>Семенов Максим Викторович</t>
  </si>
  <si>
    <t>2023-10-05</t>
  </si>
  <si>
    <t>Кузнецов Артур Геннадьевич</t>
  </si>
  <si>
    <t>2023-10-06</t>
  </si>
  <si>
    <t>Семенова Татьяна Егоровна</t>
  </si>
  <si>
    <t>2023-10-09</t>
  </si>
  <si>
    <t>Морозова Наталья Геннадьевна</t>
  </si>
  <si>
    <t>Алексеев Максим Андреевич</t>
  </si>
  <si>
    <t>Николаева Полина Никитична</t>
  </si>
  <si>
    <t>Козлов Матвей Владимирович</t>
  </si>
  <si>
    <t>2023-10-10</t>
  </si>
  <si>
    <t>2023-10-11</t>
  </si>
  <si>
    <t>Орлов Георгий Геннадьевич</t>
  </si>
  <si>
    <t>Смирнов Андрей Дмитриевич</t>
  </si>
  <si>
    <t>2023-10-12</t>
  </si>
  <si>
    <t>Новиков Павел Станиславович</t>
  </si>
  <si>
    <t>2023-10-13</t>
  </si>
  <si>
    <t>Егорова Татьяна Юрьевна</t>
  </si>
  <si>
    <t>2023-10-16</t>
  </si>
  <si>
    <t>Смирнов Владимир Викторович</t>
  </si>
  <si>
    <t>Николаева Полина Алексеевна</t>
  </si>
  <si>
    <t>Иванова Юлия Андреевна</t>
  </si>
  <si>
    <t>2023-10-17</t>
  </si>
  <si>
    <t>Смирнов Роман Андреевич</t>
  </si>
  <si>
    <t>Федоров Артем Геннадьевич</t>
  </si>
  <si>
    <t>2023-10-18</t>
  </si>
  <si>
    <t>Кузнецова Дарья Артемовна</t>
  </si>
  <si>
    <t>Козлова Ирина Владимировна</t>
  </si>
  <si>
    <t>2023-10-19</t>
  </si>
  <si>
    <t>2023-10-23</t>
  </si>
  <si>
    <t>Попов Владимир Александрович</t>
  </si>
  <si>
    <t>Новиков Артур Михайлович</t>
  </si>
  <si>
    <t>Петрова Полина Романовна</t>
  </si>
  <si>
    <t>2023-10-24</t>
  </si>
  <si>
    <t>2023-10-25</t>
  </si>
  <si>
    <t>Волкова Людмила Кирилловна</t>
  </si>
  <si>
    <t>Павлов Иван Станиславович</t>
  </si>
  <si>
    <t>2023-10-27</t>
  </si>
  <si>
    <t>Иванова Наталья Дмитриевна</t>
  </si>
  <si>
    <t>Лебедев Алексей Павлович</t>
  </si>
  <si>
    <t>Морозова Алиса Павловна</t>
  </si>
  <si>
    <t>2023-10-30</t>
  </si>
  <si>
    <t>Смирнова Татьяна Андреевна</t>
  </si>
  <si>
    <t>Николаева Полина Александровна</t>
  </si>
  <si>
    <t>Козлов Максим Романович</t>
  </si>
  <si>
    <t>Алексеева Екатерина Владимировна</t>
  </si>
  <si>
    <t>Волков Артем Юрьевич</t>
  </si>
  <si>
    <t>2023-10-31</t>
  </si>
  <si>
    <t>2023-11-01</t>
  </si>
  <si>
    <t>Смирнова Вероника Ильинична</t>
  </si>
  <si>
    <t>Николаева Виктория Ильинична</t>
  </si>
  <si>
    <t>Лебедев Егор Иванович</t>
  </si>
  <si>
    <t>2023-11-02</t>
  </si>
  <si>
    <t>Алексеев Андрей Никитич</t>
  </si>
  <si>
    <t>Морозова Дарья Никитична</t>
  </si>
  <si>
    <t>2023-11-03</t>
  </si>
  <si>
    <t>Алексеев Владимир Алексеевич</t>
  </si>
  <si>
    <t>Степанова Людмила Дмитриевна</t>
  </si>
  <si>
    <t>2023-11-06</t>
  </si>
  <si>
    <t>Николаева Ксения Михайловна</t>
  </si>
  <si>
    <t>2023-11-08</t>
  </si>
  <si>
    <t>Сидорова София Ивановна</t>
  </si>
  <si>
    <t>Волков Иван Алексеевич</t>
  </si>
  <si>
    <t>Морозов Павел Романович</t>
  </si>
  <si>
    <t>2023-11-09</t>
  </si>
  <si>
    <t>Попов Алексей Олегович</t>
  </si>
  <si>
    <t>2023-11-10</t>
  </si>
  <si>
    <t>2023-11-13</t>
  </si>
  <si>
    <t>Егоров Илья Андреевич</t>
  </si>
  <si>
    <t>Орлова Мария Ивановна</t>
  </si>
  <si>
    <t>Павлов Андрей Олегович</t>
  </si>
  <si>
    <t>Васильева Виктория Павловна</t>
  </si>
  <si>
    <t>Федорова Ирина Дмитриевна</t>
  </si>
  <si>
    <t>2023-11-14</t>
  </si>
  <si>
    <t>Сидоров Алексей Романович</t>
  </si>
  <si>
    <t>2023-11-15</t>
  </si>
  <si>
    <t>Смирнов Андрей Александрович</t>
  </si>
  <si>
    <t>2023-11-16</t>
  </si>
  <si>
    <t>Семенов Михаил Иванович</t>
  </si>
  <si>
    <t>Морозова Юлия Егоровна</t>
  </si>
  <si>
    <t>2023-11-17</t>
  </si>
  <si>
    <t>Кузнецова Ольга Станиславовна</t>
  </si>
  <si>
    <t>2023-11-20</t>
  </si>
  <si>
    <t>Иванова Ирина Никитична</t>
  </si>
  <si>
    <t>Лебедев Иван Дмитриевич</t>
  </si>
  <si>
    <t>Алексеева Дарья Станиславовна</t>
  </si>
  <si>
    <t>2023-11-21</t>
  </si>
  <si>
    <t>Козлов Алексей Олегович</t>
  </si>
  <si>
    <t>2023-11-22</t>
  </si>
  <si>
    <t>2023-11-23</t>
  </si>
  <si>
    <t>Иванова Алиса Олеговна</t>
  </si>
  <si>
    <t>Кузнецова Ирина Артемовна</t>
  </si>
  <si>
    <t>2023-11-24</t>
  </si>
  <si>
    <t>2023-11-27</t>
  </si>
  <si>
    <t>Федорова Мария Артемовна</t>
  </si>
  <si>
    <t>2023-11-28</t>
  </si>
  <si>
    <t>2023-11-29</t>
  </si>
  <si>
    <t>2023-11-30</t>
  </si>
  <si>
    <t>2023-12-01</t>
  </si>
  <si>
    <t>2023-12-04</t>
  </si>
  <si>
    <t>Попова Людмила Олеговна</t>
  </si>
  <si>
    <t>Егорова Анна Олеговна</t>
  </si>
  <si>
    <t>Кузнецов Сергей Александрович</t>
  </si>
  <si>
    <t>Кузнецов Артур Юрьевич</t>
  </si>
  <si>
    <t>Павлов Андрей Иванович</t>
  </si>
  <si>
    <t>2023-12-05</t>
  </si>
  <si>
    <t>2023-12-06</t>
  </si>
  <si>
    <t>2023-12-08</t>
  </si>
  <si>
    <t>Николаева Наталья Юрьевна</t>
  </si>
  <si>
    <t>2023-12-11</t>
  </si>
  <si>
    <t>Алексеева Полина Олеговна</t>
  </si>
  <si>
    <t>2023-12-12</t>
  </si>
  <si>
    <t>2023-12-13</t>
  </si>
  <si>
    <t>Волков Максим Кириллович</t>
  </si>
  <si>
    <t>Васильева Александра Владимировна</t>
  </si>
  <si>
    <t>2023-12-14</t>
  </si>
  <si>
    <t>Федоров Владимир Павлович</t>
  </si>
  <si>
    <t>Волкова Алиса Дмитриевна</t>
  </si>
  <si>
    <t>2023-12-15</t>
  </si>
  <si>
    <t>Козлова Мария Алексеевна</t>
  </si>
  <si>
    <t>2023-12-18</t>
  </si>
  <si>
    <t>Козлов Иван Егорович</t>
  </si>
  <si>
    <t>2023-12-19</t>
  </si>
  <si>
    <t>2023-12-21</t>
  </si>
  <si>
    <t>Егоров Павел Сергеевич</t>
  </si>
  <si>
    <t>Смирнов Егор Дмитриевич</t>
  </si>
  <si>
    <t>Лебедева Ксения Никитична</t>
  </si>
  <si>
    <t>2023-12-22</t>
  </si>
  <si>
    <t>2023-12-25</t>
  </si>
  <si>
    <t>Петрова Ольга Романовна</t>
  </si>
  <si>
    <t>Смирнов Владимир Олегович</t>
  </si>
  <si>
    <t>2023-12-26</t>
  </si>
  <si>
    <t>Семенова Дарья Павловна</t>
  </si>
  <si>
    <t>Морозов Артур Станиславович</t>
  </si>
  <si>
    <t>2023-12-27</t>
  </si>
  <si>
    <t>Смирнова Ольга Олеговна</t>
  </si>
  <si>
    <t>2023-12-29</t>
  </si>
  <si>
    <t>Козлов Максим Владимирович</t>
  </si>
  <si>
    <t>2024-01-01</t>
  </si>
  <si>
    <t>2024-01-03</t>
  </si>
  <si>
    <t>2024-01-04</t>
  </si>
  <si>
    <t>Степанова Валерия Алексеевна</t>
  </si>
  <si>
    <t>Кузнецова Людмила Ильинична</t>
  </si>
  <si>
    <t>Волкова Людмила Геннадьевна</t>
  </si>
  <si>
    <t>Федорова Юлия Егоровна</t>
  </si>
  <si>
    <t>2024-01-05</t>
  </si>
  <si>
    <t>2024-01-08</t>
  </si>
  <si>
    <t>Козлова Алиса Андреевна</t>
  </si>
  <si>
    <t>2024-01-09</t>
  </si>
  <si>
    <t>2024-01-10</t>
  </si>
  <si>
    <t>2024-01-11</t>
  </si>
  <si>
    <t>Лебедев Роман Александрович</t>
  </si>
  <si>
    <t>2024-01-12</t>
  </si>
  <si>
    <t>2024-01-15</t>
  </si>
  <si>
    <t>Петрова Екатерина Ильинична</t>
  </si>
  <si>
    <t>2024-01-16</t>
  </si>
  <si>
    <t>2024-01-17</t>
  </si>
  <si>
    <t>Федоров Сергей Геннадьевич</t>
  </si>
  <si>
    <t>2024-01-18</t>
  </si>
  <si>
    <t>2024-01-19</t>
  </si>
  <si>
    <t>2024-01-22</t>
  </si>
  <si>
    <t>2024-01-23</t>
  </si>
  <si>
    <t>Павлова София Ивановна</t>
  </si>
  <si>
    <t>2024-01-24</t>
  </si>
  <si>
    <t>Николаев Егор Михайлович</t>
  </si>
  <si>
    <t>2024-01-25</t>
  </si>
  <si>
    <t>Петрова Алиса Никитична</t>
  </si>
  <si>
    <t>Смирнов Владимир Александрович</t>
  </si>
  <si>
    <t>2024-01-26</t>
  </si>
  <si>
    <t>Волкова Елена Владимировна</t>
  </si>
  <si>
    <t>2024-01-29</t>
  </si>
  <si>
    <t>Васильев Владимир Юрьевич</t>
  </si>
  <si>
    <t>2024-01-31</t>
  </si>
  <si>
    <t>2024-02-01</t>
  </si>
  <si>
    <t>Сидоров Константин Александрович</t>
  </si>
  <si>
    <t>Павлова Вероника Сергеевна</t>
  </si>
  <si>
    <t>2024-02-02</t>
  </si>
  <si>
    <t>2024-02-05</t>
  </si>
  <si>
    <t>Егоров Сергей Юрьевич</t>
  </si>
  <si>
    <t>2024-02-06</t>
  </si>
  <si>
    <t>2024-02-07</t>
  </si>
  <si>
    <t>2024-02-08</t>
  </si>
  <si>
    <t>Орлов Павел Олегович</t>
  </si>
  <si>
    <t>2024-02-09</t>
  </si>
  <si>
    <t>Иванова Екатерина Дмитриевна</t>
  </si>
  <si>
    <t>Попов Владимир Алексеевич</t>
  </si>
  <si>
    <t>2024-02-12</t>
  </si>
  <si>
    <t>2024-02-14</t>
  </si>
  <si>
    <t>2024-02-15</t>
  </si>
  <si>
    <t>2024-02-16</t>
  </si>
  <si>
    <t>2024-02-19</t>
  </si>
  <si>
    <t>Лебедев Алексей Андреевич</t>
  </si>
  <si>
    <t>2024-02-20</t>
  </si>
  <si>
    <t>2024-02-21</t>
  </si>
  <si>
    <t>2024-02-22</t>
  </si>
  <si>
    <t>Павлова Елена Кирилловна</t>
  </si>
  <si>
    <t>Морозова Виктория Александровна</t>
  </si>
  <si>
    <t>2024-02-23</t>
  </si>
  <si>
    <t>2024-02-26</t>
  </si>
  <si>
    <t>Лебедева Людмила Станиславовна</t>
  </si>
  <si>
    <t>2024-02-28</t>
  </si>
  <si>
    <t>2024-02-29</t>
  </si>
  <si>
    <t>2024-03-01</t>
  </si>
  <si>
    <t>2024-03-04</t>
  </si>
  <si>
    <t>Кузнецов Иван Станиславович</t>
  </si>
  <si>
    <t>2024-03-05</t>
  </si>
  <si>
    <t>2024-03-06</t>
  </si>
  <si>
    <t>Павлова Александра Геннадьевна</t>
  </si>
  <si>
    <t>2024-03-08</t>
  </si>
  <si>
    <t>2024-03-11</t>
  </si>
  <si>
    <t>2024-03-12</t>
  </si>
  <si>
    <t>2024-03-13</t>
  </si>
  <si>
    <t>2024-03-14</t>
  </si>
  <si>
    <t>Кузнецова Дарья Алексеевна</t>
  </si>
  <si>
    <t>2024-03-15</t>
  </si>
  <si>
    <t>Лебедева Александра Александровна</t>
  </si>
  <si>
    <t>2024-03-18</t>
  </si>
  <si>
    <t>2024-03-19</t>
  </si>
  <si>
    <t>2024-03-20</t>
  </si>
  <si>
    <t>2024-03-21</t>
  </si>
  <si>
    <t>2024-03-22</t>
  </si>
  <si>
    <t>2024-03-25</t>
  </si>
  <si>
    <t>Кузнецов Александр Романович</t>
  </si>
  <si>
    <t>2024-03-26</t>
  </si>
  <si>
    <t>Павлова Ольга Артемовна</t>
  </si>
  <si>
    <t>2024-03-27</t>
  </si>
  <si>
    <t>2024-03-28</t>
  </si>
  <si>
    <t>2024-03-29</t>
  </si>
  <si>
    <t>2024-04-01</t>
  </si>
  <si>
    <t>Лебедева Анна Геннадьевна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</si>
  <si>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</si>
  <si>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</si>
  <si>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</si>
  <si>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</si>
  <si>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</si>
  <si>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</si>
  <si>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</si>
  <si>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</si>
  <si>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</si>
  <si>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</si>
  <si>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Васильев Алексей Геннадьевич</t>
  </si>
  <si>
    <t>2024-04-16</t>
  </si>
  <si>
    <t>2024-04-17</t>
  </si>
  <si>
    <t>2024-04-18</t>
  </si>
  <si>
    <t>2024-04-19</t>
  </si>
  <si>
    <t>2024-04-22</t>
  </si>
  <si>
    <t>2024-04-23</t>
  </si>
  <si>
    <t>2024-04-25</t>
  </si>
  <si>
    <t>2024-04-29</t>
  </si>
  <si>
    <t>Федорова Татьяна Михайловна</t>
  </si>
  <si>
    <t>2024-04-30</t>
  </si>
  <si>
    <t>2024-05-01</t>
  </si>
  <si>
    <t>Николаева Вероника Павловна</t>
  </si>
  <si>
    <t>2024-05-02</t>
  </si>
  <si>
    <t>2024-05-03</t>
  </si>
  <si>
    <t>2024-05-06</t>
  </si>
  <si>
    <t>2024-05-07</t>
  </si>
  <si>
    <t>Степанова Ксения Олеговна</t>
  </si>
  <si>
    <t>2024-05-09</t>
  </si>
  <si>
    <t>2024-05-10</t>
  </si>
  <si>
    <t>2024-05-13</t>
  </si>
  <si>
    <t>Алексеев Александр Дмитриевич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</si>
  <si>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</si>
  <si>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</si>
  <si>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</si>
  <si>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</si>
  <si>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</si>
  <si>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</si>
  <si>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</si>
  <si>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</si>
  <si>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</si>
  <si>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</si>
  <si>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Волков Илья Геннадьевич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</si>
  <si>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</si>
  <si>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</si>
  <si>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</si>
  <si>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</si>
  <si>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</si>
  <si>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</si>
  <si>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</si>
  <si>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Семенова Мария Станиславовна</t>
  </si>
  <si>
    <t>Егорова Людмила Сергеевна</t>
  </si>
  <si>
    <t>2024-06-06</t>
  </si>
  <si>
    <t>2024-06-07</t>
  </si>
  <si>
    <t>Попов Кирилл Александрович</t>
  </si>
  <si>
    <t>2024-06-10</t>
  </si>
  <si>
    <t>2024-06-13</t>
  </si>
  <si>
    <t>2024-06-14</t>
  </si>
  <si>
    <t>2024-06-17</t>
  </si>
  <si>
    <t>2024-06-18</t>
  </si>
  <si>
    <t>2024-06-19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</si>
  <si>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</si>
  <si>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</si>
  <si>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</si>
  <si>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</si>
  <si>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</si>
  <si>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</si>
  <si>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</si>
  <si>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</si>
  <si>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</si>
  <si>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</si>
  <si>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</si>
  <si>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</si>
  <si>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</si>
  <si>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</si>
  <si>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</si>
  <si>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</si>
  <si>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</si>
  <si>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</si>
  <si>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</si>
  <si>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</si>
  <si>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</si>
  <si>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</si>
  <si>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</si>
  <si>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</si>
  <si>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</si>
  <si>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</si>
  <si>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</si>
  <si>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</si>
  <si>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2024-08-02</t>
  </si>
  <si>
    <t>2024-08-05</t>
  </si>
  <si>
    <t>2024-08-06</t>
  </si>
  <si>
    <t>Степанов Артем Юрьевич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</si>
  <si>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</si>
  <si>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</si>
  <si>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</si>
  <si>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</si>
  <si>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</si>
  <si>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</si>
  <si>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</si>
  <si>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</si>
  <si>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</si>
  <si>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</si>
  <si>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Попова Анна Артемовна</t>
  </si>
  <si>
    <t>2024-08-21</t>
  </si>
  <si>
    <t>2024-08-22</t>
  </si>
  <si>
    <t>2024-08-23</t>
  </si>
  <si>
    <t>2024-08-26</t>
  </si>
  <si>
    <t>2024-08-27</t>
  </si>
  <si>
    <t>Кузнецова Елена Егоровна</t>
  </si>
  <si>
    <t>2024-08-28</t>
  </si>
  <si>
    <t>2024-08-29</t>
  </si>
  <si>
    <t>2024-08-30</t>
  </si>
  <si>
    <t>2024-09-02</t>
  </si>
  <si>
    <t>ФИО студента:</t>
  </si>
  <si>
    <t>Задача 1</t>
  </si>
  <si>
    <t xml:space="preserve"> Для каждого менеджера найти метрики:</t>
  </si>
  <si>
    <t>ФИО Менеджера (по алфавиту)</t>
  </si>
  <si>
    <t>Клиенты</t>
  </si>
  <si>
    <t>Сумма</t>
  </si>
  <si>
    <t>Длительность, дни</t>
  </si>
  <si>
    <t xml:space="preserve">   - количество клиентов - (столбец H)</t>
  </si>
  <si>
    <t xml:space="preserve">   - сумма проектов - (столбец I)</t>
  </si>
  <si>
    <t xml:space="preserve">   - длительность работы с клиентом от первой сделки до последней - (столбец J)</t>
  </si>
  <si>
    <t>(для каждого менеджера определить самого долгого клиента в днях</t>
  </si>
  <si>
    <t xml:space="preserve">от даты заключения первого проекта до даты заключения последнего проекта). </t>
  </si>
  <si>
    <t xml:space="preserve">   - NPS по всем проектам - (столбец K)</t>
  </si>
  <si>
    <t>Определить самого эффективного менеджера:</t>
  </si>
  <si>
    <t>по количеству клиентов</t>
  </si>
  <si>
    <t>по сумме проектов</t>
  </si>
  <si>
    <t>по длительности работы</t>
  </si>
  <si>
    <t>Задача 2</t>
  </si>
  <si>
    <t>Оценить клиентов</t>
  </si>
  <si>
    <t>ТОП 10 клиентов по продажам</t>
  </si>
  <si>
    <t>- доходности (вывести топ 10 клиентов)</t>
  </si>
  <si>
    <t>ФИО</t>
  </si>
  <si>
    <t>Проекты</t>
  </si>
  <si>
    <t>- не переходил к другим менеджерам - вывести первых 10 по алфавиту</t>
  </si>
  <si>
    <t>- по длительности (сколько месяцев суммарно обслуживался клиент)</t>
  </si>
  <si>
    <t>10 клиентов, которые обслуживались у одного менеджера (в алфавитном порядке)</t>
  </si>
  <si>
    <t>всего месяцев</t>
  </si>
  <si>
    <t>Задача 3</t>
  </si>
  <si>
    <t>3. Построить динамику менеджеров во времени:</t>
  </si>
  <si>
    <t>Количество проектов на одного менеджера</t>
  </si>
  <si>
    <t xml:space="preserve">   - месяц / кол-во проектов на одного менеджера</t>
  </si>
  <si>
    <t>начало</t>
  </si>
  <si>
    <t>конец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</si>
  <si>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</si>
  <si>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</si>
  <si>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</si>
  <si>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</si>
  <si>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</si>
  <si>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</si>
  <si>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</si>
  <si>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</si>
  <si>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</si>
  <si>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</si>
  <si>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</si>
  <si>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</si>
  <si>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</si>
  <si>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 xml:space="preserve">   - месяц / NPS по компании</t>
  </si>
  <si>
    <t xml:space="preserve">   - месяц / средняя доходность на один проект</t>
  </si>
  <si>
    <t>средняя доходность на один проект</t>
  </si>
  <si>
    <t>Макаров Артём Романович</t>
  </si>
  <si>
    <t xml:space="preserve"> </t>
  </si>
  <si>
    <t>крит</t>
  </si>
  <si>
    <t>пром</t>
  </si>
  <si>
    <t>0 - к 1 - н 2 - 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</si>
</sst>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\ _₽_-;\-* #,##0.00\ _₽_-;_-* &quot;-&quot;??\ _₽_-;_-@_-"/>
    <numFmt numFmtId="164" formatCode="0.0%"/>
    <numFmt numFmtId="167" formatCode="[$-F419]yyyy\,\ mmmm;@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0" tint="-0.499984740745262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3" borderId="1" xfId="0" applyFill="1" applyBorder="1" applyAlignment="1">
      <alignment horizontal="left"/>
    </xf>
    <xf numFmtId="2" fontId="0" fillId="3" borderId="1" xfId="0" applyNumberFormat="1" applyFill="1" applyBorder="1" applyAlignment="1">
      <alignment horizontal="left"/>
    </xf>
    <xf numFmtId="164" fontId="0" fillId="3" borderId="1" xfId="2" applyNumberFormat="1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0" fillId="4" borderId="0" xfId="0" applyFill="1"/>
    <xf numFmtId="0" fontId="0" fillId="0" borderId="0" xfId="0" quotePrefix="1"/>
    <xf numFmtId="0" fontId="6" fillId="0" borderId="0" xfId="0" applyFont="1"/>
    <xf numFmtId="0" fontId="6" fillId="0" borderId="0" xfId="0" applyFont="1" applyAlignment="1">
      <alignment horizontal="center"/>
    </xf>
    <xf numFmtId="0" fontId="3" fillId="3" borderId="1" xfId="0" applyFont="1" applyFill="1" applyBorder="1" applyAlignment="1">
      <alignment horizontal="left"/>
    </xf>
    <xf numFmtId="14" fontId="6" fillId="0" borderId="0" xfId="1" applyNumberFormat="1" applyFont="1"/>
    <xf numFmtId="14" fontId="6" fillId="0" borderId="0" xfId="0" applyNumberFormat="1" applyFont="1"/>
    <xf numFmtId="0" fontId="0" fillId="0" borderId="0" xfId="0" applyAlignment="1">
      <alignment horizontal="left"/>
    </xf>
    <xf numFmtId="164" fontId="2" fillId="3" borderId="1" xfId="2" applyNumberFormat="1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3" borderId="0" xfId="0" applyFill="1"/>
    <xf numFmtId="167" fontId="0" fillId="3" borderId="1" xfId="0" applyNumberFormat="1" applyFill="1" applyBorder="1" applyAlignment="1">
      <alignment horizontal="left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14</xdr:row>
      <xdr:rowOff>149678</xdr:rowOff>
    </xdr:from>
    <xdr:to>
      <xdr:col>11</xdr:col>
      <xdr:colOff>0</xdr:colOff>
      <xdr:row>20</xdr:row>
      <xdr:rowOff>0</xdr:rowOff>
    </xdr:to>
    <xdr:sp macro="" textlink="">
      <xdr:nvSpPr>
        <xdr:cNvPr id="2" name="TextBox 1"/>
        <xdr:cNvSpPr txBox="1"/>
      </xdr:nvSpPr>
      <xdr:spPr>
        <a:xfrm>
          <a:off x="5610225" y="2997653"/>
          <a:ext cx="7791450" cy="1002847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1001"/>
  <sheetViews>
    <sheetView zoomScale="85" zoomScaleNormal="85" workbookViewId="0">
      <selection activeCell="CM2" sqref="CM2:CY13"/>
    </sheetView>
  </sheetViews>
  <sheetFormatPr defaultRowHeight="15" x14ac:dyDescent="0.25"/>
  <cols>
    <col min="1" max="2" width="33" customWidth="1"/>
    <col min="3" max="3" width="12" customWidth="1"/>
    <col min="4" max="4" width="15" customWidth="1"/>
    <col min="5" max="5" width="5" customWidth="1"/>
    <col min="8" max="8" width="33" customWidth="1"/>
    <col min="12" max="12" width="10.42578125" customWidth="1"/>
    <col min="13" max="13" width="5" customWidth="1"/>
    <col min="15" max="15" width="9.28515625" customWidth="1"/>
    <col min="16" max="17" width="33" customWidth="1"/>
    <col min="18" max="18" width="5" customWidth="1"/>
    <col min="19" max="19" width="33" customWidth="1"/>
    <col min="20" max="20" width="12" customWidth="1"/>
    <col min="22" max="22" width="33" customWidth="1"/>
    <col min="23" max="23" width="12" customWidth="1"/>
    <col min="28" max="28" width="9.42578125" customWidth="1"/>
    <col min="35" max="35" width="33" customWidth="1"/>
    <col min="36" max="36" width="15" customWidth="1"/>
    <col min="37" max="37" width="33" customWidth="1"/>
    <col min="42" max="43" width="33" customWidth="1"/>
    <col min="44" max="44" width="15" customWidth="1"/>
    <col min="45" max="45" width="33" customWidth="1"/>
    <col min="46" max="46" width="15" customWidth="1"/>
    <col min="49" max="49" width="36.140625" customWidth="1"/>
    <col min="50" max="50" width="23.85546875" customWidth="1"/>
    <col min="53" max="53" width="33" customWidth="1"/>
    <col min="68" max="68" width="33" customWidth="1"/>
    <col min="69" max="69" width="12" customWidth="1"/>
    <col min="72" max="72" width="5" customWidth="1"/>
    <col min="73" max="73" width="33" customWidth="1"/>
    <col min="74" max="74" width="16.28515625" customWidth="1"/>
    <col min="75" max="75" width="5" customWidth="1"/>
    <col min="76" max="76" width="33" customWidth="1"/>
    <col min="77" max="77" width="12" customWidth="1"/>
    <col min="78" max="78" width="15" customWidth="1"/>
    <col min="88" max="88" width="10.42578125" customWidth="1"/>
    <col min="89" max="89" width="9.42578125" customWidth="1"/>
    <col min="90" max="90" width="29" customWidth="1"/>
    <col min="103" max="103" width="9.140625" customWidth="1"/>
  </cols>
  <sheetData>
    <row r="1" spans="1:1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1" t="s">
        <v>0</v>
      </c>
      <c r="K1" t="s">
        <v>507</v>
      </c>
      <c r="L1" s="1" t="s">
        <v>508</v>
      </c>
      <c r="M1" s="1"/>
      <c r="P1" s="1" t="s">
        <v>0</v>
      </c>
      <c r="Q1" s="1" t="s">
        <v>1</v>
      </c>
      <c r="R1" s="1" t="s">
        <v>4</v>
      </c>
      <c r="S1" s="1" t="s">
        <v>0</v>
      </c>
      <c r="T1" s="1" t="s">
        <v>2</v>
      </c>
      <c r="V1" s="1" t="s">
        <v>0</v>
      </c>
      <c r="W1" s="1" t="s">
        <v>2</v>
      </c>
      <c r="AI1" s="1" t="s">
        <v>1</v>
      </c>
      <c r="AJ1" s="1" t="s">
        <v>3</v>
      </c>
      <c r="AK1" s="1" t="s">
        <v>1</v>
      </c>
      <c r="AP1" s="1" t="s">
        <v>0</v>
      </c>
      <c r="AQ1" s="1" t="s">
        <v>1</v>
      </c>
      <c r="AR1" s="1"/>
      <c r="AS1" s="1" t="s">
        <v>1</v>
      </c>
      <c r="AT1" s="1" t="s">
        <v>3</v>
      </c>
      <c r="AW1" s="1" t="s">
        <v>1</v>
      </c>
      <c r="AX1" s="1" t="s">
        <v>3</v>
      </c>
      <c r="BA1" s="1" t="s">
        <v>0</v>
      </c>
      <c r="BB1" s="24" t="s">
        <v>489</v>
      </c>
      <c r="BC1" s="24" t="s">
        <v>490</v>
      </c>
      <c r="BD1" s="24" t="s">
        <v>491</v>
      </c>
      <c r="BE1" s="24" t="s">
        <v>492</v>
      </c>
      <c r="BF1" s="24" t="s">
        <v>493</v>
      </c>
      <c r="BG1" s="24" t="s">
        <v>494</v>
      </c>
      <c r="BH1" s="24" t="s">
        <v>495</v>
      </c>
      <c r="BI1" s="24" t="s">
        <v>496</v>
      </c>
      <c r="BJ1" s="24" t="s">
        <v>497</v>
      </c>
      <c r="BK1" s="24" t="s">
        <v>498</v>
      </c>
      <c r="BL1" s="24" t="s">
        <v>499</v>
      </c>
      <c r="BM1" s="24" t="s">
        <v>500</v>
      </c>
      <c r="BN1" s="24" t="s">
        <v>501</v>
      </c>
      <c r="BP1" s="1" t="s">
        <v>0</v>
      </c>
      <c r="BQ1" s="1" t="s">
        <v>2</v>
      </c>
      <c r="BT1" s="1" t="s">
        <v>4</v>
      </c>
      <c r="BU1" s="1"/>
      <c r="BV1" s="1" t="s">
        <v>509</v>
      </c>
      <c r="BW1" s="1"/>
      <c r="BX1" s="1" t="s">
        <v>0</v>
      </c>
      <c r="BY1" s="1" t="s">
        <v>2</v>
      </c>
      <c r="BZ1" s="1" t="s">
        <v>3</v>
      </c>
      <c r="CL1" s="1" t="s">
        <v>0</v>
      </c>
      <c r="CM1" s="7" t="s">
        <v>489</v>
      </c>
      <c r="CN1" s="7" t="s">
        <v>490</v>
      </c>
      <c r="CO1" s="7" t="s">
        <v>491</v>
      </c>
      <c r="CP1" s="7" t="s">
        <v>492</v>
      </c>
      <c r="CQ1" s="7" t="s">
        <v>493</v>
      </c>
      <c r="CR1" s="7" t="s">
        <v>494</v>
      </c>
      <c r="CS1" s="7" t="s">
        <v>495</v>
      </c>
      <c r="CT1" s="7" t="s">
        <v>496</v>
      </c>
      <c r="CU1" s="7" t="s">
        <v>497</v>
      </c>
      <c r="CV1" s="7" t="s">
        <v>498</v>
      </c>
      <c r="CW1" s="7" t="s">
        <v>499</v>
      </c>
      <c r="CX1" s="7" t="s">
        <v>500</v>
      </c>
      <c r="CY1" s="7" t="s">
        <v>501</v>
      </c>
      <c r="DB1" s="1" t="s">
        <v>0</v>
      </c>
      <c r="DC1" s="7" t="s">
        <v>489</v>
      </c>
      <c r="DD1" s="7" t="s">
        <v>490</v>
      </c>
      <c r="DE1" s="7" t="s">
        <v>491</v>
      </c>
      <c r="DF1" s="7" t="s">
        <v>492</v>
      </c>
      <c r="DG1" s="7" t="s">
        <v>493</v>
      </c>
      <c r="DH1" s="7" t="s">
        <v>494</v>
      </c>
      <c r="DI1" s="7" t="s">
        <v>495</v>
      </c>
      <c r="DJ1" s="7" t="s">
        <v>496</v>
      </c>
      <c r="DK1" s="7" t="s">
        <v>497</v>
      </c>
      <c r="DL1" s="7" t="s">
        <v>498</v>
      </c>
      <c r="DM1" s="7" t="s">
        <v>499</v>
      </c>
      <c r="DN1" s="7" t="s">
        <v>500</v>
      </c>
      <c r="DO1" s="7" t="s">
        <v>501</v>
      </c>
    </row>
    <row r="2" spans="1:119" x14ac:dyDescent="0.25">
      <c r="A2" t="s">
        <v>5</v>
      </c>
      <c r="B2" t="s">
        <v>6</v>
      </c>
      <c r="C2" t="s">
        <v>7</v>
      </c>
      <c r="D2">
        <v>88885</v>
      </c>
      <c r="E2">
        <v>5</v>
      </c>
      <c r="H2" t="s">
        <v>12</v>
      </c>
      <c r="I2">
        <f>COUNTIF(A:A,H2)</f>
        <v>78</v>
      </c>
      <c r="J2">
        <f>SUMIF(A:A,H2,D:D)</f>
        <v>4152118</v>
      </c>
      <c r="K2">
        <f>COUNTIFS(P:P,H2,R:R,"&lt;7")</f>
        <v>39</v>
      </c>
      <c r="L2">
        <f>COUNTIFS(P:P,H2,R:R,"&gt;8")</f>
        <v>14</v>
      </c>
      <c r="M2">
        <f>COUNTIF(P:P,H2)</f>
        <v>77</v>
      </c>
      <c r="N2">
        <f>(L2-K2)/M2</f>
        <v>-0.32467532467532467</v>
      </c>
      <c r="P2" t="s">
        <v>5</v>
      </c>
      <c r="Q2" t="s">
        <v>6</v>
      </c>
      <c r="R2">
        <v>5</v>
      </c>
      <c r="S2" t="s">
        <v>12</v>
      </c>
      <c r="T2" t="s">
        <v>7</v>
      </c>
      <c r="V2" t="s">
        <v>12</v>
      </c>
      <c r="W2" t="s">
        <v>455</v>
      </c>
      <c r="Y2">
        <f>W2-T2</f>
        <v>367</v>
      </c>
      <c r="AB2" t="s">
        <v>8</v>
      </c>
      <c r="AC2">
        <v>79</v>
      </c>
      <c r="AD2">
        <v>4606392</v>
      </c>
      <c r="AE2">
        <v>363</v>
      </c>
      <c r="AF2">
        <v>-1.282051282051282E-2</v>
      </c>
      <c r="AI2" t="s">
        <v>6</v>
      </c>
      <c r="AJ2">
        <v>88885</v>
      </c>
      <c r="AK2" t="s">
        <v>173</v>
      </c>
      <c r="AL2">
        <f>COUNTIF(AI:AI,AK2)</f>
        <v>16</v>
      </c>
      <c r="AM2">
        <f>SUMIF(AI:AI,AK2,AJ:AJ)</f>
        <v>1235514</v>
      </c>
      <c r="AP2" t="s">
        <v>5</v>
      </c>
      <c r="AQ2" t="s">
        <v>6</v>
      </c>
      <c r="AS2" t="s">
        <v>6</v>
      </c>
      <c r="AT2">
        <v>88885</v>
      </c>
      <c r="AU2">
        <f>COUNTIF(AQ:AQ,AS2)</f>
        <v>4</v>
      </c>
      <c r="AW2" t="s">
        <v>373</v>
      </c>
      <c r="AX2">
        <v>55373</v>
      </c>
      <c r="AY2">
        <f>COUNTIF(B:B,AW2)</f>
        <v>1</v>
      </c>
      <c r="BA2" t="s">
        <v>12</v>
      </c>
      <c r="BB2">
        <f>COUNTIFS(BP:BP,BA2,BR:BR,"=9",BS:BS,"=2023")</f>
        <v>9</v>
      </c>
      <c r="BC2">
        <f>COUNTIFS(BP:BP,BA2,BR:BR,"=10",BS:BS,"=2023")</f>
        <v>10</v>
      </c>
      <c r="BD2">
        <f>COUNTIFS(BP:BP,BA2,BR:BR,"=11",BS:BS,"=2023")</f>
        <v>6</v>
      </c>
      <c r="BE2">
        <f>COUNTIFS(BP:BP,BA2,BR:BR,"=12",BS:BS,"=2023")</f>
        <v>9</v>
      </c>
      <c r="BF2">
        <f>COUNTIFS(BP:BP,BA2,BR:BR,"=1",BS:BS,"=2024")</f>
        <v>7</v>
      </c>
      <c r="BG2">
        <f>COUNTIFS(BP:BP,BA2,BR:BR,"=2",BS:BS,"=2024")</f>
        <v>4</v>
      </c>
      <c r="BH2">
        <f>COUNTIFS(BP:BP,BA2,BR:BR,"=3",BS:BS,"=2024")</f>
        <v>1</v>
      </c>
      <c r="BI2">
        <f>COUNTIFS(BP:BP,BA2,BR:BR,"=4",BS:BS,"=2024")</f>
        <v>7</v>
      </c>
      <c r="BJ2">
        <f>COUNTIFS(BP:BP,BA2,BR:BR,"=5",BS:BS,"=2024")</f>
        <v>6</v>
      </c>
      <c r="BK2">
        <f>COUNTIFS(BP:BP,BA2,BR:BR,"=6",BS:BS,"=2024")</f>
        <v>6</v>
      </c>
      <c r="BL2">
        <f>COUNTIFS(BP:BP,BA2,BR:BR,"=7",BS:BS,"=2024")</f>
        <v>3</v>
      </c>
      <c r="BM2">
        <f>COUNTIFS(BP:BP,BA2,BR:BR,"=8",BS:BS,"=2024")</f>
        <v>9</v>
      </c>
      <c r="BN2">
        <f>COUNTIFS(BP:BP,BA2,BR:BR,"=9",BS:BS,"=2024")</f>
        <v>1</v>
      </c>
      <c r="BP2" t="s">
        <v>12</v>
      </c>
      <c r="BQ2" t="s">
        <v>7</v>
      </c>
      <c r="BR2">
        <f>MONTH(BQ2)</f>
        <v>9</v>
      </c>
      <c r="BS2">
        <f>YEAR(BQ2)</f>
        <v>2023</v>
      </c>
      <c r="BT2">
        <v>5</v>
      </c>
      <c r="BU2" t="str">
        <f>BS2&amp;"-"&amp;BR2</f>
        <v>2023-9</v>
      </c>
      <c r="BV2">
        <f>IF(BT2&lt;7,0,IF(BT2&lt;9,1,2))</f>
        <v>0</v>
      </c>
      <c r="BX2" t="s">
        <v>5</v>
      </c>
      <c r="BY2" t="s">
        <v>7</v>
      </c>
      <c r="BZ2">
        <v>88885</v>
      </c>
      <c r="CA2">
        <f>MONTH(BY2)</f>
        <v>9</v>
      </c>
      <c r="CB2">
        <f>YEAR(BY2)</f>
        <v>2023</v>
      </c>
      <c r="CC2" t="str">
        <f>CB2&amp;"-"&amp;CA2</f>
        <v>2023-9</v>
      </c>
      <c r="CL2" t="s">
        <v>12</v>
      </c>
      <c r="CM2">
        <f>(SUMIFS($BZ:$BZ,$CC:$CC,CM$1,$BX:$BX,$CL2) / COUNTIFS($BX:$BX,$CL2,$CC:$CC,CM$1))</f>
        <v>73575.888888888891</v>
      </c>
      <c r="CN2">
        <f t="shared" ref="CN2:CY2" si="0">(SUMIFS($BZ:$BZ,$CC:$CC,CN$1,$BX:$BX,$CL2) / COUNTIFS($BX:$BX,$CL2,$CC:$CC,CN$1))</f>
        <v>43261.8</v>
      </c>
      <c r="CO2">
        <f t="shared" si="0"/>
        <v>49238</v>
      </c>
      <c r="CP2">
        <f t="shared" si="0"/>
        <v>48448</v>
      </c>
      <c r="CQ2">
        <f t="shared" si="0"/>
        <v>60848.142857142855</v>
      </c>
      <c r="CR2">
        <f t="shared" si="0"/>
        <v>76958.25</v>
      </c>
      <c r="CS2">
        <f t="shared" si="0"/>
        <v>43477</v>
      </c>
      <c r="CT2">
        <f t="shared" si="0"/>
        <v>53168.714285714283</v>
      </c>
      <c r="CU2">
        <f t="shared" si="0"/>
        <v>45168</v>
      </c>
      <c r="CV2">
        <f t="shared" si="0"/>
        <v>39441.333333333336</v>
      </c>
      <c r="CW2">
        <f t="shared" si="0"/>
        <v>58921</v>
      </c>
      <c r="CX2">
        <f t="shared" si="0"/>
        <v>46418.444444444445</v>
      </c>
      <c r="CY2">
        <f t="shared" si="0"/>
        <v>74244</v>
      </c>
      <c r="DB2" t="s">
        <v>12</v>
      </c>
      <c r="DC2">
        <f>(COUNTIFS($BP:$BP,$DB2,$BU:$BU,DC$1,$BV:$BV,"=2") - COUNTIFS($BP:$BP,$DB2,$BU:$BU,DC$1,$BV:$BV,"=0")) / COUNTIFS($BP:$BP,$DB2,$BU:$BU,DC$1)</f>
        <v>0</v>
      </c>
      <c r="DD2">
        <f>(COUNTIFS($BP:$BP,$DB2,$BU:$BU,DD$1,$BV:$BV,"=2") - COUNTIFS($BP:$BP,$DB2,$BU:$BU,DD$1,$BV:$BV,"=0")) / COUNTIFS($BP:$BP,$DB2,$BU:$BU,DD$1)</f>
        <v>-0.5</v>
      </c>
      <c r="DE2">
        <f>(COUNTIFS($BP:$BP,$DB2,$BU:$BU,DE$1,$BV:$BV,"=2") - COUNTIFS($BP:$BP,$DB2,$BU:$BU,DE$1,$BV:$BV,"=0")) / COUNTIFS($BP:$BP,$DB2,$BU:$BU,DE$1)</f>
        <v>-0.16666666666666666</v>
      </c>
      <c r="DF2">
        <f>(COUNTIFS($BP:$BP,$DB2,$BU:$BU,DF$1,$BV:$BV,"=2") - COUNTIFS($BP:$BP,$DB2,$BU:$BU,DF$1,$BV:$BV,"=0")) / COUNTIFS($BP:$BP,$DB2,$BU:$BU,DF$1)</f>
        <v>-0.77777777777777779</v>
      </c>
      <c r="DG2">
        <f>(COUNTIFS($BP:$BP,$DB2,$BU:$BU,DG$1,$BV:$BV,"=2") - COUNTIFS($BP:$BP,$DB2,$BU:$BU,DG$1,$BV:$BV,"=0")) / COUNTIFS($BP:$BP,$DB2,$BU:$BU,DG$1)</f>
        <v>-0.14285714285714285</v>
      </c>
      <c r="DH2">
        <f>(COUNTIFS($BP:$BP,$DB2,$BU:$BU,DH$1,$BV:$BV,"=2") - COUNTIFS($BP:$BP,$DB2,$BU:$BU,DH$1,$BV:$BV,"=0")) / COUNTIFS($BP:$BP,$DB2,$BU:$BU,DH$1)</f>
        <v>-0.25</v>
      </c>
      <c r="DI2">
        <f>(COUNTIFS($BP:$BP,$DB2,$BU:$BU,DI$1,$BV:$BV,"=2") - COUNTIFS($BP:$BP,$DB2,$BU:$BU,DI$1,$BV:$BV,"=0")) / COUNTIFS($BP:$BP,$DB2,$BU:$BU,DI$1)</f>
        <v>-1</v>
      </c>
      <c r="DJ2">
        <f>(COUNTIFS($BP:$BP,$DB2,$BU:$BU,DJ$1,$BV:$BV,"=2") - COUNTIFS($BP:$BP,$DB2,$BU:$BU,DJ$1,$BV:$BV,"=0")) / COUNTIFS($BP:$BP,$DB2,$BU:$BU,DJ$1)</f>
        <v>-0.2857142857142857</v>
      </c>
      <c r="DK2">
        <f>(COUNTIFS($BP:$BP,$DB2,$BU:$BU,DK$1,$BV:$BV,"=2") - COUNTIFS($BP:$BP,$DB2,$BU:$BU,DK$1,$BV:$BV,"=0")) / COUNTIFS($BP:$BP,$DB2,$BU:$BU,DK$1)</f>
        <v>-0.5</v>
      </c>
      <c r="DL2">
        <f>(COUNTIFS($BP:$BP,$DB2,$BU:$BU,DL$1,$BV:$BV,"=2") - COUNTIFS($BP:$BP,$DB2,$BU:$BU,DL$1,$BV:$BV,"=0")) / COUNTIFS($BP:$BP,$DB2,$BU:$BU,DL$1)</f>
        <v>-0.33333333333333331</v>
      </c>
      <c r="DM2">
        <f>(COUNTIFS($BP:$BP,$DB2,$BU:$BU,DM$1,$BV:$BV,"=2") - COUNTIFS($BP:$BP,$DB2,$BU:$BU,DM$1,$BV:$BV,"=0")) / COUNTIFS($BP:$BP,$DB2,$BU:$BU,DM$1)</f>
        <v>-0.33333333333333331</v>
      </c>
      <c r="DN2">
        <f>(COUNTIFS($BP:$BP,$DB2,$BU:$BU,DN$1,$BV:$BV,"=2") - COUNTIFS($BP:$BP,$DB2,$BU:$BU,DN$1,$BV:$BV,"=0")) / COUNTIFS($BP:$BP,$DB2,$BU:$BU,DN$1)</f>
        <v>-0.22222222222222221</v>
      </c>
      <c r="DO2">
        <f>(COUNTIFS($BP:$BP,$DB2,$BU:$BU,DO$1,$BV:$BV,"=2") - COUNTIFS($BP:$BP,$DB2,$BU:$BU,DO$1,$BV:$BV,"=0")) / COUNTIFS($BP:$BP,$DB2,$BU:$BU,DO$1)</f>
        <v>-1</v>
      </c>
    </row>
    <row r="3" spans="1:119" x14ac:dyDescent="0.25">
      <c r="A3" t="s">
        <v>8</v>
      </c>
      <c r="B3" t="s">
        <v>9</v>
      </c>
      <c r="C3" t="s">
        <v>7</v>
      </c>
      <c r="D3">
        <v>67379</v>
      </c>
      <c r="E3">
        <v>9</v>
      </c>
      <c r="H3" t="s">
        <v>10</v>
      </c>
      <c r="I3">
        <f t="shared" ref="I3:I13" si="1">COUNTIF(A:A,H3)</f>
        <v>96</v>
      </c>
      <c r="J3">
        <f t="shared" ref="J3:J13" si="2">SUMIF(A:A,H3,D:D)</f>
        <v>4929070</v>
      </c>
      <c r="K3">
        <f t="shared" ref="K3:K13" si="3">COUNTIFS(P:P,H3,R:R,"&lt;7")</f>
        <v>41</v>
      </c>
      <c r="L3">
        <f t="shared" ref="L3:L13" si="4">COUNTIFS(P:P,H3,R:R,"&gt;8")</f>
        <v>17</v>
      </c>
      <c r="M3">
        <f t="shared" ref="M3:M13" si="5">COUNTIF(P:P,H3)</f>
        <v>92</v>
      </c>
      <c r="N3">
        <f t="shared" ref="N3:N13" si="6">(L3-K3)/M3</f>
        <v>-0.2608695652173913</v>
      </c>
      <c r="P3" t="s">
        <v>8</v>
      </c>
      <c r="Q3" t="s">
        <v>9</v>
      </c>
      <c r="R3">
        <v>9</v>
      </c>
      <c r="S3" t="s">
        <v>10</v>
      </c>
      <c r="T3" t="s">
        <v>7</v>
      </c>
      <c r="V3" t="s">
        <v>10</v>
      </c>
      <c r="W3" t="s">
        <v>446</v>
      </c>
      <c r="Y3">
        <f t="shared" ref="Y3:Y13" si="7">W3-T3</f>
        <v>355</v>
      </c>
      <c r="AB3" t="s">
        <v>32</v>
      </c>
      <c r="AC3">
        <v>99</v>
      </c>
      <c r="AD3">
        <v>5712528</v>
      </c>
      <c r="AE3">
        <v>346</v>
      </c>
      <c r="AF3">
        <v>-4.3010752688172046E-2</v>
      </c>
      <c r="AI3" t="s">
        <v>9</v>
      </c>
      <c r="AJ3">
        <v>67379</v>
      </c>
      <c r="AK3" t="s">
        <v>53</v>
      </c>
      <c r="AL3">
        <f>COUNTIF(AI:AI,AK3)</f>
        <v>17</v>
      </c>
      <c r="AM3">
        <f>SUMIF(AI:AI,AK3,AJ:AJ)</f>
        <v>957030</v>
      </c>
      <c r="AP3" t="s">
        <v>8</v>
      </c>
      <c r="AQ3" t="s">
        <v>9</v>
      </c>
      <c r="AS3" t="s">
        <v>9</v>
      </c>
      <c r="AT3">
        <v>67379</v>
      </c>
      <c r="AU3">
        <f t="shared" ref="AU3:AU66" si="8">COUNTIF(AQ:AQ,AS3)</f>
        <v>4</v>
      </c>
      <c r="AW3" t="s">
        <v>226</v>
      </c>
      <c r="AX3">
        <v>79157</v>
      </c>
      <c r="AY3">
        <f t="shared" ref="AY3:AY18" si="9">COUNTIF(B:B,AW3)</f>
        <v>1</v>
      </c>
      <c r="BA3" t="s">
        <v>10</v>
      </c>
      <c r="BB3">
        <f t="shared" ref="BB3:BB13" si="10">COUNTIFS(BP:BP,BA3,BR:BR,"=9",BS:BS,"=2023")</f>
        <v>10</v>
      </c>
      <c r="BC3">
        <f t="shared" ref="BC3:BC13" si="11">COUNTIFS(BP:BP,BA3,BR:BR,"=10",BS:BS,"=2023")</f>
        <v>5</v>
      </c>
      <c r="BD3">
        <f t="shared" ref="BD3:BD13" si="12">COUNTIFS(BP:BP,BA3,BR:BR,"=11",BS:BS,"=2023")</f>
        <v>5</v>
      </c>
      <c r="BE3">
        <f t="shared" ref="BE3:BE13" si="13">COUNTIFS(BP:BP,BA3,BR:BR,"=12",BS:BS,"=2023")</f>
        <v>4</v>
      </c>
      <c r="BF3">
        <f t="shared" ref="BF3:BF13" si="14">COUNTIFS(BP:BP,BA3,BR:BR,"=1",BS:BS,"=2024")</f>
        <v>14</v>
      </c>
      <c r="BG3">
        <f t="shared" ref="BG3:BG13" si="15">COUNTIFS(BP:BP,BA3,BR:BR,"=2",BS:BS,"=2024")</f>
        <v>8</v>
      </c>
      <c r="BH3">
        <f t="shared" ref="BH3:BH13" si="16">COUNTIFS(BP:BP,BA3,BR:BR,"=3",BS:BS,"=2024")</f>
        <v>9</v>
      </c>
      <c r="BI3">
        <f t="shared" ref="BI3:BI13" si="17">COUNTIFS(BP:BP,BA3,BR:BR,"=4",BS:BS,"=2024")</f>
        <v>12</v>
      </c>
      <c r="BJ3">
        <f t="shared" ref="BJ3:BJ13" si="18">COUNTIFS(BP:BP,BA3,BR:BR,"=5",BS:BS,"=2024")</f>
        <v>7</v>
      </c>
      <c r="BK3">
        <f t="shared" ref="BK3:BK13" si="19">COUNTIFS(BP:BP,BA3,BR:BR,"=6",BS:BS,"=2024")</f>
        <v>7</v>
      </c>
      <c r="BL3">
        <f t="shared" ref="BL3:BL13" si="20">COUNTIFS(BP:BP,BA3,BR:BR,"=7",BS:BS,"=2024")</f>
        <v>5</v>
      </c>
      <c r="BM3">
        <f t="shared" ref="BM3:BM13" si="21">COUNTIFS(BP:BP,BA3,BR:BR,"=8",BS:BS,"=2024")</f>
        <v>10</v>
      </c>
      <c r="BN3">
        <f t="shared" ref="BN3:BN13" si="22">COUNTIFS(BP:BP,BA3,BR:BR,"=9",BS:BS,"=2024")</f>
        <v>0</v>
      </c>
      <c r="BP3" t="s">
        <v>12</v>
      </c>
      <c r="BQ3" t="s">
        <v>16</v>
      </c>
      <c r="BR3">
        <f t="shared" ref="BR3:BR21" si="23">MONTH(BQ3)</f>
        <v>9</v>
      </c>
      <c r="BS3">
        <f t="shared" ref="BS3:BS66" si="24">YEAR(BQ3)</f>
        <v>2023</v>
      </c>
      <c r="BT3">
        <v>9</v>
      </c>
      <c r="BU3" t="str">
        <f t="shared" ref="BU3:BU66" si="25">BS3&amp;"-"&amp;BR3</f>
        <v>2023-9</v>
      </c>
      <c r="BV3">
        <f t="shared" ref="BV3:BV66" si="26">IF(BT3&lt;7,0,IF(BT3&lt;9,1,2))</f>
        <v>2</v>
      </c>
      <c r="BX3" t="s">
        <v>8</v>
      </c>
      <c r="BY3" t="s">
        <v>7</v>
      </c>
      <c r="BZ3">
        <v>67379</v>
      </c>
      <c r="CA3">
        <f t="shared" ref="CA3:CA66" si="27">MONTH(BY3)</f>
        <v>9</v>
      </c>
      <c r="CB3">
        <f t="shared" ref="CB3:CB66" si="28">YEAR(BY3)</f>
        <v>2023</v>
      </c>
      <c r="CC3" t="str">
        <f t="shared" ref="CC3:CC66" si="29">CB3&amp;"-"&amp;CA3</f>
        <v>2023-9</v>
      </c>
      <c r="CL3" t="s">
        <v>10</v>
      </c>
      <c r="CM3">
        <f t="shared" ref="CM3:CY13" si="30">(SUMIFS($BZ:$BZ,$CC:$CC,CM$1,$BX:$BX,$CL3) / COUNTIFS($BX:$BX,$CL3,$CC:$CC,CM$1))</f>
        <v>49023.199999999997</v>
      </c>
      <c r="CN3">
        <f t="shared" si="30"/>
        <v>40621.800000000003</v>
      </c>
      <c r="CO3">
        <f t="shared" si="30"/>
        <v>42576</v>
      </c>
      <c r="CP3">
        <f t="shared" si="30"/>
        <v>50009.25</v>
      </c>
      <c r="CQ3">
        <f t="shared" si="30"/>
        <v>49619.142857142855</v>
      </c>
      <c r="CR3">
        <f t="shared" si="30"/>
        <v>60343.25</v>
      </c>
      <c r="CS3">
        <f t="shared" si="30"/>
        <v>38613.888888888891</v>
      </c>
      <c r="CT3">
        <f t="shared" si="30"/>
        <v>48501.583333333336</v>
      </c>
      <c r="CU3">
        <f t="shared" si="30"/>
        <v>62341.428571428572</v>
      </c>
      <c r="CV3">
        <f t="shared" si="30"/>
        <v>55990.285714285717</v>
      </c>
      <c r="CW3">
        <f t="shared" si="30"/>
        <v>58740.4</v>
      </c>
      <c r="CX3">
        <f t="shared" si="30"/>
        <v>59383</v>
      </c>
      <c r="DB3" t="s">
        <v>10</v>
      </c>
      <c r="DC3">
        <f>(COUNTIFS($BP:$BP,$DB3,$BU:$BU,DC$1,$BV:$BV,"=2") - COUNTIFS($BP:$BP,$DB3,$BU:$BU,DC$1,$BV:$BV,"=0")) / COUNTIFS($BP:$BP,$DB3,$BU:$BU,DC$1)</f>
        <v>-0.2</v>
      </c>
      <c r="DD3">
        <f>(COUNTIFS($BP:$BP,$DB3,$BU:$BU,DD$1,$BV:$BV,"=2") - COUNTIFS($BP:$BP,$DB3,$BU:$BU,DD$1,$BV:$BV,"=0")) / COUNTIFS($BP:$BP,$DB3,$BU:$BU,DD$1)</f>
        <v>0.4</v>
      </c>
      <c r="DE3">
        <f>(COUNTIFS($BP:$BP,$DB3,$BU:$BU,DE$1,$BV:$BV,"=2") - COUNTIFS($BP:$BP,$DB3,$BU:$BU,DE$1,$BV:$BV,"=0")) / COUNTIFS($BP:$BP,$DB3,$BU:$BU,DE$1)</f>
        <v>-0.6</v>
      </c>
      <c r="DF3">
        <f>(COUNTIFS($BP:$BP,$DB3,$BU:$BU,DF$1,$BV:$BV,"=2") - COUNTIFS($BP:$BP,$DB3,$BU:$BU,DF$1,$BV:$BV,"=0")) / COUNTIFS($BP:$BP,$DB3,$BU:$BU,DF$1)</f>
        <v>-0.75</v>
      </c>
      <c r="DG3">
        <f>(COUNTIFS($BP:$BP,$DB3,$BU:$BU,DG$1,$BV:$BV,"=2") - COUNTIFS($BP:$BP,$DB3,$BU:$BU,DG$1,$BV:$BV,"=0")) / COUNTIFS($BP:$BP,$DB3,$BU:$BU,DG$1)</f>
        <v>-0.2857142857142857</v>
      </c>
      <c r="DH3">
        <f>(COUNTIFS($BP:$BP,$DB3,$BU:$BU,DH$1,$BV:$BV,"=2") - COUNTIFS($BP:$BP,$DB3,$BU:$BU,DH$1,$BV:$BV,"=0")) / COUNTIFS($BP:$BP,$DB3,$BU:$BU,DH$1)</f>
        <v>0.375</v>
      </c>
      <c r="DI3">
        <f>(COUNTIFS($BP:$BP,$DB3,$BU:$BU,DI$1,$BV:$BV,"=2") - COUNTIFS($BP:$BP,$DB3,$BU:$BU,DI$1,$BV:$BV,"=0")) / COUNTIFS($BP:$BP,$DB3,$BU:$BU,DI$1)</f>
        <v>-0.33333333333333331</v>
      </c>
      <c r="DJ3">
        <f>(COUNTIFS($BP:$BP,$DB3,$BU:$BU,DJ$1,$BV:$BV,"=2") - COUNTIFS($BP:$BP,$DB3,$BU:$BU,DJ$1,$BV:$BV,"=0")) / COUNTIFS($BP:$BP,$DB3,$BU:$BU,DJ$1)</f>
        <v>0</v>
      </c>
      <c r="DK3">
        <f>(COUNTIFS($BP:$BP,$DB3,$BU:$BU,DK$1,$BV:$BV,"=2") - COUNTIFS($BP:$BP,$DB3,$BU:$BU,DK$1,$BV:$BV,"=0")) / COUNTIFS($BP:$BP,$DB3,$BU:$BU,DK$1)</f>
        <v>-0.42857142857142855</v>
      </c>
      <c r="DL3">
        <f>(COUNTIFS($BP:$BP,$DB3,$BU:$BU,DL$1,$BV:$BV,"=2") - COUNTIFS($BP:$BP,$DB3,$BU:$BU,DL$1,$BV:$BV,"=0")) / COUNTIFS($BP:$BP,$DB3,$BU:$BU,DL$1)</f>
        <v>-0.5714285714285714</v>
      </c>
      <c r="DM3">
        <f>(COUNTIFS($BP:$BP,$DB3,$BU:$BU,DM$1,$BV:$BV,"=2") - COUNTIFS($BP:$BP,$DB3,$BU:$BU,DM$1,$BV:$BV,"=0")) / COUNTIFS($BP:$BP,$DB3,$BU:$BU,DM$1)</f>
        <v>-0.4</v>
      </c>
      <c r="DN3">
        <f>(COUNTIFS($BP:$BP,$DB3,$BU:$BU,DN$1,$BV:$BV,"=2") - COUNTIFS($BP:$BP,$DB3,$BU:$BU,DN$1,$BV:$BV,"=0")) / COUNTIFS($BP:$BP,$DB3,$BU:$BU,DN$1)</f>
        <v>-0.6</v>
      </c>
    </row>
    <row r="4" spans="1:119" x14ac:dyDescent="0.25">
      <c r="A4" t="s">
        <v>10</v>
      </c>
      <c r="B4" t="s">
        <v>11</v>
      </c>
      <c r="C4" t="s">
        <v>7</v>
      </c>
      <c r="D4">
        <v>11250</v>
      </c>
      <c r="E4">
        <v>8</v>
      </c>
      <c r="H4" t="s">
        <v>14</v>
      </c>
      <c r="I4">
        <f t="shared" si="1"/>
        <v>83</v>
      </c>
      <c r="J4">
        <f t="shared" si="2"/>
        <v>4215377</v>
      </c>
      <c r="K4">
        <f t="shared" si="3"/>
        <v>41</v>
      </c>
      <c r="L4">
        <f t="shared" si="4"/>
        <v>14</v>
      </c>
      <c r="M4">
        <f t="shared" si="5"/>
        <v>79</v>
      </c>
      <c r="N4">
        <f t="shared" si="6"/>
        <v>-0.34177215189873417</v>
      </c>
      <c r="P4" t="s">
        <v>10</v>
      </c>
      <c r="Q4" t="s">
        <v>11</v>
      </c>
      <c r="R4">
        <v>8</v>
      </c>
      <c r="S4" t="s">
        <v>14</v>
      </c>
      <c r="T4" t="s">
        <v>16</v>
      </c>
      <c r="V4" t="s">
        <v>14</v>
      </c>
      <c r="W4" t="s">
        <v>454</v>
      </c>
      <c r="Y4">
        <f t="shared" si="7"/>
        <v>361</v>
      </c>
      <c r="AB4" t="s">
        <v>17</v>
      </c>
      <c r="AC4">
        <v>95</v>
      </c>
      <c r="AD4">
        <v>5081350</v>
      </c>
      <c r="AE4">
        <v>361</v>
      </c>
      <c r="AF4">
        <v>-5.434782608695652E-2</v>
      </c>
      <c r="AI4" t="s">
        <v>11</v>
      </c>
      <c r="AJ4">
        <v>11250</v>
      </c>
      <c r="AK4" t="s">
        <v>30</v>
      </c>
      <c r="AL4">
        <f>COUNTIF(AI:AI,AK4)</f>
        <v>14</v>
      </c>
      <c r="AM4">
        <f>SUMIF(AI:AI,AK4,AJ:AJ)</f>
        <v>863550</v>
      </c>
      <c r="AP4" t="s">
        <v>10</v>
      </c>
      <c r="AQ4" t="s">
        <v>11</v>
      </c>
      <c r="AS4" t="s">
        <v>11</v>
      </c>
      <c r="AT4">
        <v>11250</v>
      </c>
      <c r="AU4">
        <f t="shared" si="8"/>
        <v>5</v>
      </c>
      <c r="AW4" t="s">
        <v>384</v>
      </c>
      <c r="AX4">
        <v>46574</v>
      </c>
      <c r="AY4">
        <f t="shared" si="9"/>
        <v>1</v>
      </c>
      <c r="BA4" t="s">
        <v>14</v>
      </c>
      <c r="BB4">
        <f t="shared" si="10"/>
        <v>10</v>
      </c>
      <c r="BC4">
        <f t="shared" si="11"/>
        <v>9</v>
      </c>
      <c r="BD4">
        <f t="shared" si="12"/>
        <v>7</v>
      </c>
      <c r="BE4">
        <f t="shared" si="13"/>
        <v>9</v>
      </c>
      <c r="BF4">
        <f t="shared" si="14"/>
        <v>3</v>
      </c>
      <c r="BG4">
        <f t="shared" si="15"/>
        <v>6</v>
      </c>
      <c r="BH4">
        <f t="shared" si="16"/>
        <v>5</v>
      </c>
      <c r="BI4">
        <f t="shared" si="17"/>
        <v>7</v>
      </c>
      <c r="BJ4">
        <f t="shared" si="18"/>
        <v>6</v>
      </c>
      <c r="BK4">
        <f t="shared" si="19"/>
        <v>3</v>
      </c>
      <c r="BL4">
        <f t="shared" si="20"/>
        <v>8</v>
      </c>
      <c r="BM4">
        <f t="shared" si="21"/>
        <v>10</v>
      </c>
      <c r="BN4">
        <f t="shared" si="22"/>
        <v>0</v>
      </c>
      <c r="BP4" t="s">
        <v>12</v>
      </c>
      <c r="BQ4" t="s">
        <v>16</v>
      </c>
      <c r="BR4">
        <f t="shared" si="23"/>
        <v>9</v>
      </c>
      <c r="BS4">
        <f t="shared" si="24"/>
        <v>2023</v>
      </c>
      <c r="BT4">
        <v>8</v>
      </c>
      <c r="BU4" t="str">
        <f t="shared" si="25"/>
        <v>2023-9</v>
      </c>
      <c r="BV4">
        <f t="shared" si="26"/>
        <v>1</v>
      </c>
      <c r="BX4" t="s">
        <v>10</v>
      </c>
      <c r="BY4" t="s">
        <v>7</v>
      </c>
      <c r="BZ4">
        <v>11250</v>
      </c>
      <c r="CA4">
        <f t="shared" si="27"/>
        <v>9</v>
      </c>
      <c r="CB4">
        <f t="shared" si="28"/>
        <v>2023</v>
      </c>
      <c r="CC4" t="str">
        <f t="shared" si="29"/>
        <v>2023-9</v>
      </c>
      <c r="CL4" t="s">
        <v>14</v>
      </c>
      <c r="CM4">
        <f t="shared" si="30"/>
        <v>52537.7</v>
      </c>
      <c r="CN4">
        <f t="shared" si="30"/>
        <v>56237.777777777781</v>
      </c>
      <c r="CO4">
        <f t="shared" si="30"/>
        <v>35948.571428571428</v>
      </c>
      <c r="CP4">
        <f t="shared" si="30"/>
        <v>46109.888888888891</v>
      </c>
      <c r="CQ4">
        <f t="shared" si="30"/>
        <v>39835.666666666664</v>
      </c>
      <c r="CR4">
        <f t="shared" si="30"/>
        <v>46013.666666666664</v>
      </c>
      <c r="CS4">
        <f t="shared" si="30"/>
        <v>63053.2</v>
      </c>
      <c r="CT4">
        <f t="shared" si="30"/>
        <v>31688.714285714286</v>
      </c>
      <c r="CU4">
        <f t="shared" si="30"/>
        <v>53294.333333333336</v>
      </c>
      <c r="CV4">
        <f t="shared" si="30"/>
        <v>45300.666666666664</v>
      </c>
      <c r="CW4">
        <f t="shared" si="30"/>
        <v>58060.875</v>
      </c>
      <c r="CX4">
        <f t="shared" si="30"/>
        <v>66440</v>
      </c>
      <c r="DB4" t="s">
        <v>14</v>
      </c>
      <c r="DC4">
        <f>(COUNTIFS($BP:$BP,$DB4,$BU:$BU,DC$1,$BV:$BV,"=2") - COUNTIFS($BP:$BP,$DB4,$BU:$BU,DC$1,$BV:$BV,"=0")) / COUNTIFS($BP:$BP,$DB4,$BU:$BU,DC$1)</f>
        <v>-0.1</v>
      </c>
      <c r="DD4">
        <f>(COUNTIFS($BP:$BP,$DB4,$BU:$BU,DD$1,$BV:$BV,"=2") - COUNTIFS($BP:$BP,$DB4,$BU:$BU,DD$1,$BV:$BV,"=0")) / COUNTIFS($BP:$BP,$DB4,$BU:$BU,DD$1)</f>
        <v>-0.33333333333333331</v>
      </c>
      <c r="DE4">
        <f>(COUNTIFS($BP:$BP,$DB4,$BU:$BU,DE$1,$BV:$BV,"=2") - COUNTIFS($BP:$BP,$DB4,$BU:$BU,DE$1,$BV:$BV,"=0")) / COUNTIFS($BP:$BP,$DB4,$BU:$BU,DE$1)</f>
        <v>-0.42857142857142855</v>
      </c>
      <c r="DF4">
        <f>(COUNTIFS($BP:$BP,$DB4,$BU:$BU,DF$1,$BV:$BV,"=2") - COUNTIFS($BP:$BP,$DB4,$BU:$BU,DF$1,$BV:$BV,"=0")) / COUNTIFS($BP:$BP,$DB4,$BU:$BU,DF$1)</f>
        <v>-0.22222222222222221</v>
      </c>
      <c r="DG4">
        <f>(COUNTIFS($BP:$BP,$DB4,$BU:$BU,DG$1,$BV:$BV,"=2") - COUNTIFS($BP:$BP,$DB4,$BU:$BU,DG$1,$BV:$BV,"=0")) / COUNTIFS($BP:$BP,$DB4,$BU:$BU,DG$1)</f>
        <v>-0.66666666666666663</v>
      </c>
      <c r="DH4">
        <f>(COUNTIFS($BP:$BP,$DB4,$BU:$BU,DH$1,$BV:$BV,"=2") - COUNTIFS($BP:$BP,$DB4,$BU:$BU,DH$1,$BV:$BV,"=0")) / COUNTIFS($BP:$BP,$DB4,$BU:$BU,DH$1)</f>
        <v>-0.33333333333333331</v>
      </c>
      <c r="DI4">
        <f>(COUNTIFS($BP:$BP,$DB4,$BU:$BU,DI$1,$BV:$BV,"=2") - COUNTIFS($BP:$BP,$DB4,$BU:$BU,DI$1,$BV:$BV,"=0")) / COUNTIFS($BP:$BP,$DB4,$BU:$BU,DI$1)</f>
        <v>-0.8</v>
      </c>
      <c r="DJ4">
        <f>(COUNTIFS($BP:$BP,$DB4,$BU:$BU,DJ$1,$BV:$BV,"=2") - COUNTIFS($BP:$BP,$DB4,$BU:$BU,DJ$1,$BV:$BV,"=0")) / COUNTIFS($BP:$BP,$DB4,$BU:$BU,DJ$1)</f>
        <v>0.14285714285714285</v>
      </c>
      <c r="DK4">
        <f>(COUNTIFS($BP:$BP,$DB4,$BU:$BU,DK$1,$BV:$BV,"=2") - COUNTIFS($BP:$BP,$DB4,$BU:$BU,DK$1,$BV:$BV,"=0")) / COUNTIFS($BP:$BP,$DB4,$BU:$BU,DK$1)</f>
        <v>0.16666666666666666</v>
      </c>
      <c r="DL4">
        <f>(COUNTIFS($BP:$BP,$DB4,$BU:$BU,DL$1,$BV:$BV,"=2") - COUNTIFS($BP:$BP,$DB4,$BU:$BU,DL$1,$BV:$BV,"=0")) / COUNTIFS($BP:$BP,$DB4,$BU:$BU,DL$1)</f>
        <v>-0.33333333333333331</v>
      </c>
      <c r="DM4">
        <f>(COUNTIFS($BP:$BP,$DB4,$BU:$BU,DM$1,$BV:$BV,"=2") - COUNTIFS($BP:$BP,$DB4,$BU:$BU,DM$1,$BV:$BV,"=0")) / COUNTIFS($BP:$BP,$DB4,$BU:$BU,DM$1)</f>
        <v>0.125</v>
      </c>
      <c r="DN4">
        <f>(COUNTIFS($BP:$BP,$DB4,$BU:$BU,DN$1,$BV:$BV,"=2") - COUNTIFS($BP:$BP,$DB4,$BU:$BU,DN$1,$BV:$BV,"=0")) / COUNTIFS($BP:$BP,$DB4,$BU:$BU,DN$1)</f>
        <v>0</v>
      </c>
    </row>
    <row r="5" spans="1:119" x14ac:dyDescent="0.25">
      <c r="A5" t="s">
        <v>12</v>
      </c>
      <c r="B5" t="s">
        <v>13</v>
      </c>
      <c r="C5" t="s">
        <v>7</v>
      </c>
      <c r="D5">
        <v>76223</v>
      </c>
      <c r="E5">
        <v>7</v>
      </c>
      <c r="H5" t="s">
        <v>33</v>
      </c>
      <c r="I5">
        <f t="shared" si="1"/>
        <v>76</v>
      </c>
      <c r="J5">
        <f t="shared" si="2"/>
        <v>3990672</v>
      </c>
      <c r="K5">
        <f t="shared" si="3"/>
        <v>39</v>
      </c>
      <c r="L5">
        <f t="shared" si="4"/>
        <v>11</v>
      </c>
      <c r="M5">
        <f t="shared" si="5"/>
        <v>76</v>
      </c>
      <c r="N5">
        <f t="shared" si="6"/>
        <v>-0.36842105263157893</v>
      </c>
      <c r="P5" t="s">
        <v>12</v>
      </c>
      <c r="Q5" t="s">
        <v>13</v>
      </c>
      <c r="R5">
        <v>7</v>
      </c>
      <c r="S5" t="s">
        <v>33</v>
      </c>
      <c r="T5" t="s">
        <v>31</v>
      </c>
      <c r="V5" t="s">
        <v>33</v>
      </c>
      <c r="W5" t="s">
        <v>454</v>
      </c>
      <c r="Y5">
        <f t="shared" si="7"/>
        <v>360</v>
      </c>
      <c r="AB5" t="s">
        <v>36</v>
      </c>
      <c r="AC5">
        <v>72</v>
      </c>
      <c r="AD5">
        <v>3469845</v>
      </c>
      <c r="AE5">
        <v>352</v>
      </c>
      <c r="AF5">
        <v>-5.5555555555555552E-2</v>
      </c>
      <c r="AI5" t="s">
        <v>13</v>
      </c>
      <c r="AJ5">
        <v>76223</v>
      </c>
      <c r="AK5" t="s">
        <v>183</v>
      </c>
      <c r="AL5">
        <f>COUNTIF(AI:AI,AK5)</f>
        <v>11</v>
      </c>
      <c r="AM5">
        <f>SUMIF(AI:AI,AK5,AJ:AJ)</f>
        <v>723073</v>
      </c>
      <c r="AP5" t="s">
        <v>12</v>
      </c>
      <c r="AQ5" t="s">
        <v>13</v>
      </c>
      <c r="AS5" t="s">
        <v>13</v>
      </c>
      <c r="AT5">
        <v>76223</v>
      </c>
      <c r="AU5">
        <f t="shared" si="8"/>
        <v>4</v>
      </c>
      <c r="AW5" t="s">
        <v>393</v>
      </c>
      <c r="AX5">
        <v>87879</v>
      </c>
      <c r="AY5">
        <f t="shared" si="9"/>
        <v>1</v>
      </c>
      <c r="BA5" t="s">
        <v>33</v>
      </c>
      <c r="BB5">
        <f t="shared" si="10"/>
        <v>6</v>
      </c>
      <c r="BC5">
        <f t="shared" si="11"/>
        <v>5</v>
      </c>
      <c r="BD5">
        <f t="shared" si="12"/>
        <v>6</v>
      </c>
      <c r="BE5">
        <f t="shared" si="13"/>
        <v>6</v>
      </c>
      <c r="BF5">
        <f t="shared" si="14"/>
        <v>7</v>
      </c>
      <c r="BG5">
        <f t="shared" si="15"/>
        <v>7</v>
      </c>
      <c r="BH5">
        <f t="shared" si="16"/>
        <v>6</v>
      </c>
      <c r="BI5">
        <f t="shared" si="17"/>
        <v>5</v>
      </c>
      <c r="BJ5">
        <f t="shared" si="18"/>
        <v>7</v>
      </c>
      <c r="BK5">
        <f t="shared" si="19"/>
        <v>3</v>
      </c>
      <c r="BL5">
        <f t="shared" si="20"/>
        <v>8</v>
      </c>
      <c r="BM5">
        <f t="shared" si="21"/>
        <v>10</v>
      </c>
      <c r="BN5">
        <f t="shared" si="22"/>
        <v>0</v>
      </c>
      <c r="BP5" t="s">
        <v>12</v>
      </c>
      <c r="BQ5" t="s">
        <v>49</v>
      </c>
      <c r="BR5">
        <f t="shared" si="23"/>
        <v>9</v>
      </c>
      <c r="BS5">
        <f t="shared" si="24"/>
        <v>2023</v>
      </c>
      <c r="BT5">
        <v>7</v>
      </c>
      <c r="BU5" t="str">
        <f t="shared" si="25"/>
        <v>2023-9</v>
      </c>
      <c r="BV5">
        <f t="shared" si="26"/>
        <v>1</v>
      </c>
      <c r="BX5" t="s">
        <v>12</v>
      </c>
      <c r="BY5" t="s">
        <v>7</v>
      </c>
      <c r="BZ5">
        <v>76223</v>
      </c>
      <c r="CA5">
        <f t="shared" si="27"/>
        <v>9</v>
      </c>
      <c r="CB5">
        <f t="shared" si="28"/>
        <v>2023</v>
      </c>
      <c r="CC5" t="str">
        <f t="shared" si="29"/>
        <v>2023-9</v>
      </c>
      <c r="CL5" t="s">
        <v>33</v>
      </c>
      <c r="CM5">
        <f t="shared" si="30"/>
        <v>64356.666666666664</v>
      </c>
      <c r="CN5">
        <f t="shared" si="30"/>
        <v>36633.800000000003</v>
      </c>
      <c r="CO5">
        <f t="shared" si="30"/>
        <v>48833.833333333336</v>
      </c>
      <c r="CP5">
        <f t="shared" si="30"/>
        <v>62519</v>
      </c>
      <c r="CQ5">
        <f t="shared" si="30"/>
        <v>76602.28571428571</v>
      </c>
      <c r="CR5">
        <f t="shared" si="30"/>
        <v>47127.714285714283</v>
      </c>
      <c r="CS5">
        <f t="shared" si="30"/>
        <v>28063.666666666668</v>
      </c>
      <c r="CT5">
        <f t="shared" si="30"/>
        <v>58737.599999999999</v>
      </c>
      <c r="CU5">
        <f t="shared" si="30"/>
        <v>37954.714285714283</v>
      </c>
      <c r="CV5">
        <f t="shared" si="30"/>
        <v>47406</v>
      </c>
      <c r="CW5">
        <f t="shared" si="30"/>
        <v>51541.625</v>
      </c>
      <c r="CX5">
        <f t="shared" si="30"/>
        <v>60483.199999999997</v>
      </c>
      <c r="DB5" t="s">
        <v>33</v>
      </c>
      <c r="DC5">
        <f>(COUNTIFS($BP:$BP,$DB5,$BU:$BU,DC$1,$BV:$BV,"=2") - COUNTIFS($BP:$BP,$DB5,$BU:$BU,DC$1,$BV:$BV,"=0")) / COUNTIFS($BP:$BP,$DB5,$BU:$BU,DC$1)</f>
        <v>-0.5</v>
      </c>
      <c r="DD5">
        <f>(COUNTIFS($BP:$BP,$DB5,$BU:$BU,DD$1,$BV:$BV,"=2") - COUNTIFS($BP:$BP,$DB5,$BU:$BU,DD$1,$BV:$BV,"=0")) / COUNTIFS($BP:$BP,$DB5,$BU:$BU,DD$1)</f>
        <v>-0.4</v>
      </c>
      <c r="DE5">
        <f>(COUNTIFS($BP:$BP,$DB5,$BU:$BU,DE$1,$BV:$BV,"=2") - COUNTIFS($BP:$BP,$DB5,$BU:$BU,DE$1,$BV:$BV,"=0")) / COUNTIFS($BP:$BP,$DB5,$BU:$BU,DE$1)</f>
        <v>-0.5</v>
      </c>
      <c r="DF5">
        <f>(COUNTIFS($BP:$BP,$DB5,$BU:$BU,DF$1,$BV:$BV,"=2") - COUNTIFS($BP:$BP,$DB5,$BU:$BU,DF$1,$BV:$BV,"=0")) / COUNTIFS($BP:$BP,$DB5,$BU:$BU,DF$1)</f>
        <v>-0.5</v>
      </c>
      <c r="DG5">
        <f>(COUNTIFS($BP:$BP,$DB5,$BU:$BU,DG$1,$BV:$BV,"=2") - COUNTIFS($BP:$BP,$DB5,$BU:$BU,DG$1,$BV:$BV,"=0")) / COUNTIFS($BP:$BP,$DB5,$BU:$BU,DG$1)</f>
        <v>-0.14285714285714285</v>
      </c>
      <c r="DH5">
        <f>(COUNTIFS($BP:$BP,$DB5,$BU:$BU,DH$1,$BV:$BV,"=2") - COUNTIFS($BP:$BP,$DB5,$BU:$BU,DH$1,$BV:$BV,"=0")) / COUNTIFS($BP:$BP,$DB5,$BU:$BU,DH$1)</f>
        <v>-0.2857142857142857</v>
      </c>
      <c r="DI5">
        <f>(COUNTIFS($BP:$BP,$DB5,$BU:$BU,DI$1,$BV:$BV,"=2") - COUNTIFS($BP:$BP,$DB5,$BU:$BU,DI$1,$BV:$BV,"=0")) / COUNTIFS($BP:$BP,$DB5,$BU:$BU,DI$1)</f>
        <v>-0.33333333333333331</v>
      </c>
      <c r="DJ5">
        <f>(COUNTIFS($BP:$BP,$DB5,$BU:$BU,DJ$1,$BV:$BV,"=2") - COUNTIFS($BP:$BP,$DB5,$BU:$BU,DJ$1,$BV:$BV,"=0")) / COUNTIFS($BP:$BP,$DB5,$BU:$BU,DJ$1)</f>
        <v>-0.6</v>
      </c>
      <c r="DK5">
        <f>(COUNTIFS($BP:$BP,$DB5,$BU:$BU,DK$1,$BV:$BV,"=2") - COUNTIFS($BP:$BP,$DB5,$BU:$BU,DK$1,$BV:$BV,"=0")) / COUNTIFS($BP:$BP,$DB5,$BU:$BU,DK$1)</f>
        <v>-0.7142857142857143</v>
      </c>
      <c r="DL5">
        <f>(COUNTIFS($BP:$BP,$DB5,$BU:$BU,DL$1,$BV:$BV,"=2") - COUNTIFS($BP:$BP,$DB5,$BU:$BU,DL$1,$BV:$BV,"=0")) / COUNTIFS($BP:$BP,$DB5,$BU:$BU,DL$1)</f>
        <v>-0.66666666666666663</v>
      </c>
      <c r="DM5">
        <f>(COUNTIFS($BP:$BP,$DB5,$BU:$BU,DM$1,$BV:$BV,"=2") - COUNTIFS($BP:$BP,$DB5,$BU:$BU,DM$1,$BV:$BV,"=0")) / COUNTIFS($BP:$BP,$DB5,$BU:$BU,DM$1)</f>
        <v>0.125</v>
      </c>
      <c r="DN5">
        <f>(COUNTIFS($BP:$BP,$DB5,$BU:$BU,DN$1,$BV:$BV,"=2") - COUNTIFS($BP:$BP,$DB5,$BU:$BU,DN$1,$BV:$BV,"=0")) / COUNTIFS($BP:$BP,$DB5,$BU:$BU,DN$1)</f>
        <v>-0.6</v>
      </c>
    </row>
    <row r="6" spans="1:119" x14ac:dyDescent="0.25">
      <c r="A6" t="s">
        <v>14</v>
      </c>
      <c r="B6" t="s">
        <v>15</v>
      </c>
      <c r="C6" t="s">
        <v>16</v>
      </c>
      <c r="D6">
        <v>13125</v>
      </c>
      <c r="E6">
        <v>5</v>
      </c>
      <c r="H6" t="s">
        <v>23</v>
      </c>
      <c r="I6">
        <f t="shared" si="1"/>
        <v>86</v>
      </c>
      <c r="J6">
        <f t="shared" si="2"/>
        <v>5002098</v>
      </c>
      <c r="K6">
        <f t="shared" si="3"/>
        <v>44</v>
      </c>
      <c r="L6">
        <f t="shared" si="4"/>
        <v>14</v>
      </c>
      <c r="M6">
        <f t="shared" si="5"/>
        <v>81</v>
      </c>
      <c r="N6">
        <f t="shared" si="6"/>
        <v>-0.37037037037037035</v>
      </c>
      <c r="P6" t="s">
        <v>14</v>
      </c>
      <c r="Q6" t="s">
        <v>15</v>
      </c>
      <c r="R6">
        <v>5</v>
      </c>
      <c r="S6" t="s">
        <v>23</v>
      </c>
      <c r="T6" t="s">
        <v>16</v>
      </c>
      <c r="V6" t="s">
        <v>23</v>
      </c>
      <c r="W6" t="s">
        <v>444</v>
      </c>
      <c r="Y6">
        <f t="shared" si="7"/>
        <v>351</v>
      </c>
      <c r="AB6" t="s">
        <v>20</v>
      </c>
      <c r="AC6">
        <v>63</v>
      </c>
      <c r="AD6">
        <v>3764426</v>
      </c>
      <c r="AE6">
        <v>360</v>
      </c>
      <c r="AF6">
        <v>-6.7796610169491525E-2</v>
      </c>
      <c r="AI6" t="s">
        <v>15</v>
      </c>
      <c r="AJ6">
        <v>13125</v>
      </c>
      <c r="AK6" t="s">
        <v>41</v>
      </c>
      <c r="AL6">
        <f>COUNTIF(AI:AI,AK6)</f>
        <v>11</v>
      </c>
      <c r="AM6">
        <f>SUMIF(AI:AI,AK6,AJ:AJ)</f>
        <v>663773</v>
      </c>
      <c r="AP6" t="s">
        <v>14</v>
      </c>
      <c r="AQ6" t="s">
        <v>15</v>
      </c>
      <c r="AS6" t="s">
        <v>15</v>
      </c>
      <c r="AT6">
        <v>13125</v>
      </c>
      <c r="AU6">
        <f t="shared" si="8"/>
        <v>4</v>
      </c>
      <c r="AW6" t="s">
        <v>63</v>
      </c>
      <c r="AX6">
        <v>86606</v>
      </c>
      <c r="AY6">
        <f t="shared" si="9"/>
        <v>1</v>
      </c>
      <c r="BA6" t="s">
        <v>23</v>
      </c>
      <c r="BB6">
        <f t="shared" si="10"/>
        <v>10</v>
      </c>
      <c r="BC6">
        <f t="shared" si="11"/>
        <v>9</v>
      </c>
      <c r="BD6">
        <f t="shared" si="12"/>
        <v>7</v>
      </c>
      <c r="BE6">
        <f t="shared" si="13"/>
        <v>4</v>
      </c>
      <c r="BF6">
        <f t="shared" si="14"/>
        <v>2</v>
      </c>
      <c r="BG6">
        <f t="shared" si="15"/>
        <v>5</v>
      </c>
      <c r="BH6">
        <f t="shared" si="16"/>
        <v>11</v>
      </c>
      <c r="BI6">
        <f t="shared" si="17"/>
        <v>8</v>
      </c>
      <c r="BJ6">
        <f t="shared" si="18"/>
        <v>11</v>
      </c>
      <c r="BK6">
        <f t="shared" si="19"/>
        <v>3</v>
      </c>
      <c r="BL6">
        <f t="shared" si="20"/>
        <v>7</v>
      </c>
      <c r="BM6">
        <f t="shared" si="21"/>
        <v>9</v>
      </c>
      <c r="BN6">
        <f t="shared" si="22"/>
        <v>0</v>
      </c>
      <c r="BP6" t="s">
        <v>12</v>
      </c>
      <c r="BQ6" t="s">
        <v>49</v>
      </c>
      <c r="BR6">
        <f t="shared" si="23"/>
        <v>9</v>
      </c>
      <c r="BS6">
        <f t="shared" si="24"/>
        <v>2023</v>
      </c>
      <c r="BT6">
        <v>5</v>
      </c>
      <c r="BU6" t="str">
        <f t="shared" si="25"/>
        <v>2023-9</v>
      </c>
      <c r="BV6">
        <f t="shared" si="26"/>
        <v>0</v>
      </c>
      <c r="BX6" t="s">
        <v>14</v>
      </c>
      <c r="BY6" t="s">
        <v>16</v>
      </c>
      <c r="BZ6">
        <v>13125</v>
      </c>
      <c r="CA6">
        <f t="shared" si="27"/>
        <v>9</v>
      </c>
      <c r="CB6">
        <f t="shared" si="28"/>
        <v>2023</v>
      </c>
      <c r="CC6" t="str">
        <f t="shared" si="29"/>
        <v>2023-9</v>
      </c>
      <c r="CL6" t="s">
        <v>23</v>
      </c>
      <c r="CM6">
        <f t="shared" si="30"/>
        <v>59747.5</v>
      </c>
      <c r="CN6">
        <f t="shared" si="30"/>
        <v>49282.888888888891</v>
      </c>
      <c r="CO6">
        <f t="shared" si="30"/>
        <v>61886.571428571428</v>
      </c>
      <c r="CP6">
        <f t="shared" si="30"/>
        <v>43775.75</v>
      </c>
      <c r="CQ6">
        <f t="shared" si="30"/>
        <v>73611</v>
      </c>
      <c r="CR6">
        <f t="shared" si="30"/>
        <v>53668.6</v>
      </c>
      <c r="CS6">
        <f t="shared" si="30"/>
        <v>52807.454545454544</v>
      </c>
      <c r="CT6">
        <f t="shared" si="30"/>
        <v>75342</v>
      </c>
      <c r="CU6">
        <f t="shared" si="30"/>
        <v>70683.454545454544</v>
      </c>
      <c r="CV6">
        <f t="shared" si="30"/>
        <v>38930.666666666664</v>
      </c>
      <c r="CW6">
        <f t="shared" si="30"/>
        <v>60431.857142857145</v>
      </c>
      <c r="CX6">
        <f t="shared" si="30"/>
        <v>48472.444444444445</v>
      </c>
      <c r="DB6" t="s">
        <v>23</v>
      </c>
      <c r="DC6">
        <f>(COUNTIFS($BP:$BP,$DB6,$BU:$BU,DC$1,$BV:$BV,"=2") - COUNTIFS($BP:$BP,$DB6,$BU:$BU,DC$1,$BV:$BV,"=0")) / COUNTIFS($BP:$BP,$DB6,$BU:$BU,DC$1)</f>
        <v>0.1</v>
      </c>
      <c r="DD6">
        <f>(COUNTIFS($BP:$BP,$DB6,$BU:$BU,DD$1,$BV:$BV,"=2") - COUNTIFS($BP:$BP,$DB6,$BU:$BU,DD$1,$BV:$BV,"=0")) / COUNTIFS($BP:$BP,$DB6,$BU:$BU,DD$1)</f>
        <v>-0.22222222222222221</v>
      </c>
      <c r="DE6">
        <f>(COUNTIFS($BP:$BP,$DB6,$BU:$BU,DE$1,$BV:$BV,"=2") - COUNTIFS($BP:$BP,$DB6,$BU:$BU,DE$1,$BV:$BV,"=0")) / COUNTIFS($BP:$BP,$DB6,$BU:$BU,DE$1)</f>
        <v>-0.14285714285714285</v>
      </c>
      <c r="DF6">
        <f>(COUNTIFS($BP:$BP,$DB6,$BU:$BU,DF$1,$BV:$BV,"=2") - COUNTIFS($BP:$BP,$DB6,$BU:$BU,DF$1,$BV:$BV,"=0")) / COUNTIFS($BP:$BP,$DB6,$BU:$BU,DF$1)</f>
        <v>0.25</v>
      </c>
      <c r="DG6">
        <f>(COUNTIFS($BP:$BP,$DB6,$BU:$BU,DG$1,$BV:$BV,"=2") - COUNTIFS($BP:$BP,$DB6,$BU:$BU,DG$1,$BV:$BV,"=0")) / COUNTIFS($BP:$BP,$DB6,$BU:$BU,DG$1)</f>
        <v>-0.5</v>
      </c>
      <c r="DH6">
        <f>(COUNTIFS($BP:$BP,$DB6,$BU:$BU,DH$1,$BV:$BV,"=2") - COUNTIFS($BP:$BP,$DB6,$BU:$BU,DH$1,$BV:$BV,"=0")) / COUNTIFS($BP:$BP,$DB6,$BU:$BU,DH$1)</f>
        <v>-0.2</v>
      </c>
      <c r="DI6">
        <f>(COUNTIFS($BP:$BP,$DB6,$BU:$BU,DI$1,$BV:$BV,"=2") - COUNTIFS($BP:$BP,$DB6,$BU:$BU,DI$1,$BV:$BV,"=0")) / COUNTIFS($BP:$BP,$DB6,$BU:$BU,DI$1)</f>
        <v>9.0909090909090912E-2</v>
      </c>
      <c r="DJ6">
        <f>(COUNTIFS($BP:$BP,$DB6,$BU:$BU,DJ$1,$BV:$BV,"=2") - COUNTIFS($BP:$BP,$DB6,$BU:$BU,DJ$1,$BV:$BV,"=0")) / COUNTIFS($BP:$BP,$DB6,$BU:$BU,DJ$1)</f>
        <v>-0.5</v>
      </c>
      <c r="DK6">
        <f>(COUNTIFS($BP:$BP,$DB6,$BU:$BU,DK$1,$BV:$BV,"=2") - COUNTIFS($BP:$BP,$DB6,$BU:$BU,DK$1,$BV:$BV,"=0")) / COUNTIFS($BP:$BP,$DB6,$BU:$BU,DK$1)</f>
        <v>-0.45454545454545453</v>
      </c>
      <c r="DL6">
        <f>(COUNTIFS($BP:$BP,$DB6,$BU:$BU,DL$1,$BV:$BV,"=2") - COUNTIFS($BP:$BP,$DB6,$BU:$BU,DL$1,$BV:$BV,"=0")) / COUNTIFS($BP:$BP,$DB6,$BU:$BU,DL$1)</f>
        <v>-0.66666666666666663</v>
      </c>
      <c r="DM6">
        <f>(COUNTIFS($BP:$BP,$DB6,$BU:$BU,DM$1,$BV:$BV,"=2") - COUNTIFS($BP:$BP,$DB6,$BU:$BU,DM$1,$BV:$BV,"=0")) / COUNTIFS($BP:$BP,$DB6,$BU:$BU,DM$1)</f>
        <v>0.2857142857142857</v>
      </c>
      <c r="DN6">
        <f>(COUNTIFS($BP:$BP,$DB6,$BU:$BU,DN$1,$BV:$BV,"=2") - COUNTIFS($BP:$BP,$DB6,$BU:$BU,DN$1,$BV:$BV,"=0")) / COUNTIFS($BP:$BP,$DB6,$BU:$BU,DN$1)</f>
        <v>0.33333333333333331</v>
      </c>
    </row>
    <row r="7" spans="1:119" x14ac:dyDescent="0.25">
      <c r="A7" t="s">
        <v>17</v>
      </c>
      <c r="B7" t="s">
        <v>18</v>
      </c>
      <c r="C7" t="s">
        <v>16</v>
      </c>
      <c r="D7">
        <v>39172</v>
      </c>
      <c r="E7">
        <v>9</v>
      </c>
      <c r="H7" t="s">
        <v>27</v>
      </c>
      <c r="I7">
        <f t="shared" si="1"/>
        <v>89</v>
      </c>
      <c r="J7">
        <f t="shared" si="2"/>
        <v>5367389</v>
      </c>
      <c r="K7">
        <f t="shared" si="3"/>
        <v>45</v>
      </c>
      <c r="L7">
        <f t="shared" si="4"/>
        <v>12</v>
      </c>
      <c r="M7">
        <f t="shared" si="5"/>
        <v>85</v>
      </c>
      <c r="N7">
        <f t="shared" si="6"/>
        <v>-0.38823529411764707</v>
      </c>
      <c r="P7" t="s">
        <v>17</v>
      </c>
      <c r="Q7" t="s">
        <v>18</v>
      </c>
      <c r="R7">
        <v>9</v>
      </c>
      <c r="S7" t="s">
        <v>27</v>
      </c>
      <c r="T7" t="s">
        <v>16</v>
      </c>
      <c r="V7" t="s">
        <v>27</v>
      </c>
      <c r="W7" t="s">
        <v>448</v>
      </c>
      <c r="Y7">
        <f t="shared" si="7"/>
        <v>354</v>
      </c>
      <c r="AB7" t="s">
        <v>10</v>
      </c>
      <c r="AC7">
        <v>96</v>
      </c>
      <c r="AD7">
        <v>4929070</v>
      </c>
      <c r="AE7">
        <v>355</v>
      </c>
      <c r="AF7">
        <v>-0.11956521739130435</v>
      </c>
      <c r="AI7" t="s">
        <v>18</v>
      </c>
      <c r="AJ7">
        <v>39172</v>
      </c>
      <c r="AK7" t="s">
        <v>48</v>
      </c>
      <c r="AL7">
        <f>COUNTIF(AI:AI,AK7)</f>
        <v>11</v>
      </c>
      <c r="AM7">
        <f>SUMIF(AI:AI,AK7,AJ:AJ)</f>
        <v>659936</v>
      </c>
      <c r="AP7" t="s">
        <v>17</v>
      </c>
      <c r="AQ7" t="s">
        <v>18</v>
      </c>
      <c r="AS7" t="s">
        <v>18</v>
      </c>
      <c r="AT7">
        <v>39172</v>
      </c>
      <c r="AU7">
        <f t="shared" si="8"/>
        <v>8</v>
      </c>
      <c r="AW7" t="s">
        <v>451</v>
      </c>
      <c r="AX7">
        <v>71474</v>
      </c>
      <c r="AY7">
        <f t="shared" si="9"/>
        <v>1</v>
      </c>
      <c r="BA7" t="s">
        <v>27</v>
      </c>
      <c r="BB7">
        <f t="shared" si="10"/>
        <v>9</v>
      </c>
      <c r="BC7">
        <f t="shared" si="11"/>
        <v>4</v>
      </c>
      <c r="BD7">
        <f t="shared" si="12"/>
        <v>6</v>
      </c>
      <c r="BE7">
        <f t="shared" si="13"/>
        <v>8</v>
      </c>
      <c r="BF7">
        <f t="shared" si="14"/>
        <v>9</v>
      </c>
      <c r="BG7">
        <f t="shared" si="15"/>
        <v>5</v>
      </c>
      <c r="BH7">
        <f t="shared" si="16"/>
        <v>5</v>
      </c>
      <c r="BI7">
        <f t="shared" si="17"/>
        <v>11</v>
      </c>
      <c r="BJ7">
        <f t="shared" si="18"/>
        <v>12</v>
      </c>
      <c r="BK7">
        <f t="shared" si="19"/>
        <v>5</v>
      </c>
      <c r="BL7">
        <f t="shared" si="20"/>
        <v>7</v>
      </c>
      <c r="BM7">
        <f t="shared" si="21"/>
        <v>8</v>
      </c>
      <c r="BN7">
        <f t="shared" si="22"/>
        <v>0</v>
      </c>
      <c r="BP7" t="s">
        <v>12</v>
      </c>
      <c r="BQ7" t="s">
        <v>66</v>
      </c>
      <c r="BR7">
        <f t="shared" si="23"/>
        <v>9</v>
      </c>
      <c r="BS7">
        <f t="shared" si="24"/>
        <v>2023</v>
      </c>
      <c r="BT7">
        <v>9</v>
      </c>
      <c r="BU7" t="str">
        <f t="shared" si="25"/>
        <v>2023-9</v>
      </c>
      <c r="BV7">
        <f t="shared" si="26"/>
        <v>2</v>
      </c>
      <c r="BX7" t="s">
        <v>17</v>
      </c>
      <c r="BY7" t="s">
        <v>16</v>
      </c>
      <c r="BZ7">
        <v>39172</v>
      </c>
      <c r="CA7">
        <f t="shared" si="27"/>
        <v>9</v>
      </c>
      <c r="CB7">
        <f t="shared" si="28"/>
        <v>2023</v>
      </c>
      <c r="CC7" t="str">
        <f t="shared" si="29"/>
        <v>2023-9</v>
      </c>
      <c r="CL7" t="s">
        <v>27</v>
      </c>
      <c r="CM7">
        <f t="shared" si="30"/>
        <v>50076.111111111109</v>
      </c>
      <c r="CN7">
        <f t="shared" si="30"/>
        <v>60147.75</v>
      </c>
      <c r="CO7">
        <f t="shared" si="30"/>
        <v>75328</v>
      </c>
      <c r="CP7">
        <f t="shared" si="30"/>
        <v>53202.5</v>
      </c>
      <c r="CQ7">
        <f t="shared" si="30"/>
        <v>76399.666666666672</v>
      </c>
      <c r="CR7">
        <f t="shared" si="30"/>
        <v>57386.8</v>
      </c>
      <c r="CS7">
        <f t="shared" si="30"/>
        <v>61366.400000000001</v>
      </c>
      <c r="CT7">
        <f t="shared" si="30"/>
        <v>67661.363636363632</v>
      </c>
      <c r="CU7">
        <f t="shared" si="30"/>
        <v>68001</v>
      </c>
      <c r="CV7">
        <f t="shared" si="30"/>
        <v>25009.599999999999</v>
      </c>
      <c r="CW7">
        <f t="shared" si="30"/>
        <v>56788.857142857145</v>
      </c>
      <c r="CX7">
        <f t="shared" si="30"/>
        <v>54288.125</v>
      </c>
      <c r="DB7" t="s">
        <v>27</v>
      </c>
      <c r="DC7">
        <f>(COUNTIFS($BP:$BP,$DB7,$BU:$BU,DC$1,$BV:$BV,"=2") - COUNTIFS($BP:$BP,$DB7,$BU:$BU,DC$1,$BV:$BV,"=0")) / COUNTIFS($BP:$BP,$DB7,$BU:$BU,DC$1)</f>
        <v>-0.22222222222222221</v>
      </c>
      <c r="DD7">
        <f>(COUNTIFS($BP:$BP,$DB7,$BU:$BU,DD$1,$BV:$BV,"=2") - COUNTIFS($BP:$BP,$DB7,$BU:$BU,DD$1,$BV:$BV,"=0")) / COUNTIFS($BP:$BP,$DB7,$BU:$BU,DD$1)</f>
        <v>-0.75</v>
      </c>
      <c r="DE7">
        <f>(COUNTIFS($BP:$BP,$DB7,$BU:$BU,DE$1,$BV:$BV,"=2") - COUNTIFS($BP:$BP,$DB7,$BU:$BU,DE$1,$BV:$BV,"=0")) / COUNTIFS($BP:$BP,$DB7,$BU:$BU,DE$1)</f>
        <v>-0.33333333333333331</v>
      </c>
      <c r="DF7">
        <f>(COUNTIFS($BP:$BP,$DB7,$BU:$BU,DF$1,$BV:$BV,"=2") - COUNTIFS($BP:$BP,$DB7,$BU:$BU,DF$1,$BV:$BV,"=0")) / COUNTIFS($BP:$BP,$DB7,$BU:$BU,DF$1)</f>
        <v>-0.875</v>
      </c>
      <c r="DG7">
        <f>(COUNTIFS($BP:$BP,$DB7,$BU:$BU,DG$1,$BV:$BV,"=2") - COUNTIFS($BP:$BP,$DB7,$BU:$BU,DG$1,$BV:$BV,"=0")) / COUNTIFS($BP:$BP,$DB7,$BU:$BU,DG$1)</f>
        <v>-0.77777777777777779</v>
      </c>
      <c r="DH7">
        <f>(COUNTIFS($BP:$BP,$DB7,$BU:$BU,DH$1,$BV:$BV,"=2") - COUNTIFS($BP:$BP,$DB7,$BU:$BU,DH$1,$BV:$BV,"=0")) / COUNTIFS($BP:$BP,$DB7,$BU:$BU,DH$1)</f>
        <v>0.4</v>
      </c>
      <c r="DI7">
        <f>(COUNTIFS($BP:$BP,$DB7,$BU:$BU,DI$1,$BV:$BV,"=2") - COUNTIFS($BP:$BP,$DB7,$BU:$BU,DI$1,$BV:$BV,"=0")) / COUNTIFS($BP:$BP,$DB7,$BU:$BU,DI$1)</f>
        <v>-0.4</v>
      </c>
      <c r="DJ7">
        <f>(COUNTIFS($BP:$BP,$DB7,$BU:$BU,DJ$1,$BV:$BV,"=2") - COUNTIFS($BP:$BP,$DB7,$BU:$BU,DJ$1,$BV:$BV,"=0")) / COUNTIFS($BP:$BP,$DB7,$BU:$BU,DJ$1)</f>
        <v>-0.45454545454545453</v>
      </c>
      <c r="DK7">
        <f>(COUNTIFS($BP:$BP,$DB7,$BU:$BU,DK$1,$BV:$BV,"=2") - COUNTIFS($BP:$BP,$DB7,$BU:$BU,DK$1,$BV:$BV,"=0")) / COUNTIFS($BP:$BP,$DB7,$BU:$BU,DK$1)</f>
        <v>0</v>
      </c>
      <c r="DL7">
        <f>(COUNTIFS($BP:$BP,$DB7,$BU:$BU,DL$1,$BV:$BV,"=2") - COUNTIFS($BP:$BP,$DB7,$BU:$BU,DL$1,$BV:$BV,"=0")) / COUNTIFS($BP:$BP,$DB7,$BU:$BU,DL$1)</f>
        <v>0.2</v>
      </c>
      <c r="DM7">
        <f>(COUNTIFS($BP:$BP,$DB7,$BU:$BU,DM$1,$BV:$BV,"=2") - COUNTIFS($BP:$BP,$DB7,$BU:$BU,DM$1,$BV:$BV,"=0")) / COUNTIFS($BP:$BP,$DB7,$BU:$BU,DM$1)</f>
        <v>-0.42857142857142855</v>
      </c>
      <c r="DN7">
        <f>(COUNTIFS($BP:$BP,$DB7,$BU:$BU,DN$1,$BV:$BV,"=2") - COUNTIFS($BP:$BP,$DB7,$BU:$BU,DN$1,$BV:$BV,"=0")) / COUNTIFS($BP:$BP,$DB7,$BU:$BU,DN$1)</f>
        <v>-0.875</v>
      </c>
    </row>
    <row r="8" spans="1:119" x14ac:dyDescent="0.25">
      <c r="A8" t="s">
        <v>5</v>
      </c>
      <c r="B8" t="s">
        <v>19</v>
      </c>
      <c r="C8" t="s">
        <v>16</v>
      </c>
      <c r="D8">
        <v>12495</v>
      </c>
      <c r="E8">
        <v>7</v>
      </c>
      <c r="H8" t="s">
        <v>5</v>
      </c>
      <c r="I8">
        <f t="shared" si="1"/>
        <v>84</v>
      </c>
      <c r="J8">
        <f t="shared" si="2"/>
        <v>4205293</v>
      </c>
      <c r="K8">
        <f t="shared" si="3"/>
        <v>42</v>
      </c>
      <c r="L8">
        <f t="shared" si="4"/>
        <v>13</v>
      </c>
      <c r="M8">
        <f t="shared" si="5"/>
        <v>81</v>
      </c>
      <c r="N8">
        <f t="shared" si="6"/>
        <v>-0.35802469135802467</v>
      </c>
      <c r="P8" t="s">
        <v>5</v>
      </c>
      <c r="Q8" t="s">
        <v>19</v>
      </c>
      <c r="R8">
        <v>7</v>
      </c>
      <c r="S8" t="s">
        <v>5</v>
      </c>
      <c r="T8" t="s">
        <v>7</v>
      </c>
      <c r="V8" t="s">
        <v>5</v>
      </c>
      <c r="W8" t="s">
        <v>448</v>
      </c>
      <c r="Y8">
        <f t="shared" si="7"/>
        <v>357</v>
      </c>
      <c r="AB8" t="s">
        <v>14</v>
      </c>
      <c r="AC8">
        <v>83</v>
      </c>
      <c r="AD8">
        <v>4215377</v>
      </c>
      <c r="AE8">
        <v>361</v>
      </c>
      <c r="AF8">
        <v>-0.189873417721519</v>
      </c>
      <c r="AI8" t="s">
        <v>19</v>
      </c>
      <c r="AJ8">
        <v>12495</v>
      </c>
      <c r="AK8" t="s">
        <v>90</v>
      </c>
      <c r="AL8">
        <f>COUNTIF(AI:AI,AK8)</f>
        <v>10</v>
      </c>
      <c r="AM8">
        <f>SUMIF(AI:AI,AK8,AJ:AJ)</f>
        <v>645029</v>
      </c>
      <c r="AP8" t="s">
        <v>5</v>
      </c>
      <c r="AQ8" t="s">
        <v>19</v>
      </c>
      <c r="AS8" t="s">
        <v>19</v>
      </c>
      <c r="AT8">
        <v>12495</v>
      </c>
      <c r="AU8">
        <f t="shared" si="8"/>
        <v>7</v>
      </c>
      <c r="AW8" t="s">
        <v>193</v>
      </c>
      <c r="AX8">
        <v>10026</v>
      </c>
      <c r="AY8">
        <f t="shared" si="9"/>
        <v>1</v>
      </c>
      <c r="BA8" t="s">
        <v>5</v>
      </c>
      <c r="BB8">
        <f t="shared" si="10"/>
        <v>8</v>
      </c>
      <c r="BC8">
        <f t="shared" si="11"/>
        <v>7</v>
      </c>
      <c r="BD8">
        <f t="shared" si="12"/>
        <v>3</v>
      </c>
      <c r="BE8">
        <f t="shared" si="13"/>
        <v>4</v>
      </c>
      <c r="BF8">
        <f t="shared" si="14"/>
        <v>4</v>
      </c>
      <c r="BG8">
        <f t="shared" si="15"/>
        <v>6</v>
      </c>
      <c r="BH8">
        <f t="shared" si="16"/>
        <v>10</v>
      </c>
      <c r="BI8">
        <f t="shared" si="17"/>
        <v>10</v>
      </c>
      <c r="BJ8">
        <f t="shared" si="18"/>
        <v>7</v>
      </c>
      <c r="BK8">
        <f t="shared" si="19"/>
        <v>9</v>
      </c>
      <c r="BL8">
        <f t="shared" si="20"/>
        <v>10</v>
      </c>
      <c r="BM8">
        <f t="shared" si="21"/>
        <v>6</v>
      </c>
      <c r="BN8">
        <f t="shared" si="22"/>
        <v>0</v>
      </c>
      <c r="BP8" t="s">
        <v>12</v>
      </c>
      <c r="BQ8" t="s">
        <v>83</v>
      </c>
      <c r="BR8">
        <f t="shared" si="23"/>
        <v>9</v>
      </c>
      <c r="BS8">
        <f t="shared" si="24"/>
        <v>2023</v>
      </c>
      <c r="BT8">
        <v>7</v>
      </c>
      <c r="BU8" t="str">
        <f t="shared" si="25"/>
        <v>2023-9</v>
      </c>
      <c r="BV8">
        <f t="shared" si="26"/>
        <v>1</v>
      </c>
      <c r="BX8" t="s">
        <v>5</v>
      </c>
      <c r="BY8" t="s">
        <v>16</v>
      </c>
      <c r="BZ8">
        <v>12495</v>
      </c>
      <c r="CA8">
        <f t="shared" si="27"/>
        <v>9</v>
      </c>
      <c r="CB8">
        <f t="shared" si="28"/>
        <v>2023</v>
      </c>
      <c r="CC8" t="str">
        <f t="shared" si="29"/>
        <v>2023-9</v>
      </c>
      <c r="CL8" t="s">
        <v>5</v>
      </c>
      <c r="CM8">
        <f t="shared" si="30"/>
        <v>43839.75</v>
      </c>
      <c r="CN8">
        <f t="shared" si="30"/>
        <v>53630.142857142855</v>
      </c>
      <c r="CO8">
        <f t="shared" si="30"/>
        <v>69940</v>
      </c>
      <c r="CP8">
        <f t="shared" si="30"/>
        <v>36737.75</v>
      </c>
      <c r="CQ8">
        <f t="shared" si="30"/>
        <v>57889</v>
      </c>
      <c r="CR8">
        <f t="shared" si="30"/>
        <v>45750</v>
      </c>
      <c r="CS8">
        <f t="shared" si="30"/>
        <v>48509.8</v>
      </c>
      <c r="CT8">
        <f t="shared" si="30"/>
        <v>46743.4</v>
      </c>
      <c r="CU8">
        <f t="shared" si="30"/>
        <v>48187</v>
      </c>
      <c r="CV8">
        <f t="shared" si="30"/>
        <v>56427.333333333336</v>
      </c>
      <c r="CW8">
        <f t="shared" si="30"/>
        <v>54506.7</v>
      </c>
      <c r="CX8">
        <f t="shared" si="30"/>
        <v>45597.166666666664</v>
      </c>
      <c r="DB8" t="s">
        <v>5</v>
      </c>
      <c r="DC8">
        <f>(COUNTIFS($BP:$BP,$DB8,$BU:$BU,DC$1,$BV:$BV,"=2") - COUNTIFS($BP:$BP,$DB8,$BU:$BU,DC$1,$BV:$BV,"=0")) / COUNTIFS($BP:$BP,$DB8,$BU:$BU,DC$1)</f>
        <v>0.125</v>
      </c>
      <c r="DD8">
        <f>(COUNTIFS($BP:$BP,$DB8,$BU:$BU,DD$1,$BV:$BV,"=2") - COUNTIFS($BP:$BP,$DB8,$BU:$BU,DD$1,$BV:$BV,"=0")) / COUNTIFS($BP:$BP,$DB8,$BU:$BU,DD$1)</f>
        <v>0.14285714285714285</v>
      </c>
      <c r="DE8">
        <f>(COUNTIFS($BP:$BP,$DB8,$BU:$BU,DE$1,$BV:$BV,"=2") - COUNTIFS($BP:$BP,$DB8,$BU:$BU,DE$1,$BV:$BV,"=0")) / COUNTIFS($BP:$BP,$DB8,$BU:$BU,DE$1)</f>
        <v>-0.66666666666666663</v>
      </c>
      <c r="DF8">
        <f>(COUNTIFS($BP:$BP,$DB8,$BU:$BU,DF$1,$BV:$BV,"=2") - COUNTIFS($BP:$BP,$DB8,$BU:$BU,DF$1,$BV:$BV,"=0")) / COUNTIFS($BP:$BP,$DB8,$BU:$BU,DF$1)</f>
        <v>0.25</v>
      </c>
      <c r="DG8">
        <f>(COUNTIFS($BP:$BP,$DB8,$BU:$BU,DG$1,$BV:$BV,"=2") - COUNTIFS($BP:$BP,$DB8,$BU:$BU,DG$1,$BV:$BV,"=0")) / COUNTIFS($BP:$BP,$DB8,$BU:$BU,DG$1)</f>
        <v>0.5</v>
      </c>
      <c r="DH8">
        <f>(COUNTIFS($BP:$BP,$DB8,$BU:$BU,DH$1,$BV:$BV,"=2") - COUNTIFS($BP:$BP,$DB8,$BU:$BU,DH$1,$BV:$BV,"=0")) / COUNTIFS($BP:$BP,$DB8,$BU:$BU,DH$1)</f>
        <v>-0.33333333333333331</v>
      </c>
      <c r="DI8">
        <f>(COUNTIFS($BP:$BP,$DB8,$BU:$BU,DI$1,$BV:$BV,"=2") - COUNTIFS($BP:$BP,$DB8,$BU:$BU,DI$1,$BV:$BV,"=0")) / COUNTIFS($BP:$BP,$DB8,$BU:$BU,DI$1)</f>
        <v>-0.4</v>
      </c>
      <c r="DJ8">
        <f>(COUNTIFS($BP:$BP,$DB8,$BU:$BU,DJ$1,$BV:$BV,"=2") - COUNTIFS($BP:$BP,$DB8,$BU:$BU,DJ$1,$BV:$BV,"=0")) / COUNTIFS($BP:$BP,$DB8,$BU:$BU,DJ$1)</f>
        <v>-0.6</v>
      </c>
      <c r="DK8">
        <f>(COUNTIFS($BP:$BP,$DB8,$BU:$BU,DK$1,$BV:$BV,"=2") - COUNTIFS($BP:$BP,$DB8,$BU:$BU,DK$1,$BV:$BV,"=0")) / COUNTIFS($BP:$BP,$DB8,$BU:$BU,DK$1)</f>
        <v>-0.5714285714285714</v>
      </c>
      <c r="DL8">
        <f>(COUNTIFS($BP:$BP,$DB8,$BU:$BU,DL$1,$BV:$BV,"=2") - COUNTIFS($BP:$BP,$DB8,$BU:$BU,DL$1,$BV:$BV,"=0")) / COUNTIFS($BP:$BP,$DB8,$BU:$BU,DL$1)</f>
        <v>-0.1111111111111111</v>
      </c>
      <c r="DM8">
        <f>(COUNTIFS($BP:$BP,$DB8,$BU:$BU,DM$1,$BV:$BV,"=2") - COUNTIFS($BP:$BP,$DB8,$BU:$BU,DM$1,$BV:$BV,"=0")) / COUNTIFS($BP:$BP,$DB8,$BU:$BU,DM$1)</f>
        <v>-0.3</v>
      </c>
      <c r="DN8">
        <f>(COUNTIFS($BP:$BP,$DB8,$BU:$BU,DN$1,$BV:$BV,"=2") - COUNTIFS($BP:$BP,$DB8,$BU:$BU,DN$1,$BV:$BV,"=0")) / COUNTIFS($BP:$BP,$DB8,$BU:$BU,DN$1)</f>
        <v>0.33333333333333331</v>
      </c>
    </row>
    <row r="9" spans="1:119" x14ac:dyDescent="0.25">
      <c r="A9" t="s">
        <v>20</v>
      </c>
      <c r="B9" t="s">
        <v>21</v>
      </c>
      <c r="C9" t="s">
        <v>16</v>
      </c>
      <c r="D9">
        <v>96127</v>
      </c>
      <c r="E9">
        <v>1</v>
      </c>
      <c r="H9" t="s">
        <v>8</v>
      </c>
      <c r="I9">
        <f t="shared" si="1"/>
        <v>79</v>
      </c>
      <c r="J9">
        <f t="shared" si="2"/>
        <v>4606392</v>
      </c>
      <c r="K9">
        <f t="shared" si="3"/>
        <v>27</v>
      </c>
      <c r="L9">
        <f t="shared" si="4"/>
        <v>16</v>
      </c>
      <c r="M9">
        <f t="shared" si="5"/>
        <v>78</v>
      </c>
      <c r="N9">
        <f t="shared" si="6"/>
        <v>-0.14102564102564102</v>
      </c>
      <c r="P9" t="s">
        <v>20</v>
      </c>
      <c r="Q9" t="s">
        <v>21</v>
      </c>
      <c r="R9">
        <v>1</v>
      </c>
      <c r="S9" t="s">
        <v>8</v>
      </c>
      <c r="T9" t="s">
        <v>7</v>
      </c>
      <c r="V9" t="s">
        <v>8</v>
      </c>
      <c r="W9" t="s">
        <v>453</v>
      </c>
      <c r="Y9">
        <f t="shared" si="7"/>
        <v>363</v>
      </c>
      <c r="AB9" t="s">
        <v>5</v>
      </c>
      <c r="AC9">
        <v>84</v>
      </c>
      <c r="AD9">
        <v>4205293</v>
      </c>
      <c r="AE9">
        <v>357</v>
      </c>
      <c r="AF9">
        <v>-0.19753086419753085</v>
      </c>
      <c r="AI9" t="s">
        <v>21</v>
      </c>
      <c r="AJ9">
        <v>96127</v>
      </c>
      <c r="AK9" t="s">
        <v>35</v>
      </c>
      <c r="AL9">
        <f>COUNTIF(AI:AI,AK9)</f>
        <v>11</v>
      </c>
      <c r="AM9">
        <f>SUMIF(AI:AI,AK9,AJ:AJ)</f>
        <v>628215</v>
      </c>
      <c r="AP9" t="s">
        <v>20</v>
      </c>
      <c r="AQ9" t="s">
        <v>21</v>
      </c>
      <c r="AS9" t="s">
        <v>21</v>
      </c>
      <c r="AT9">
        <v>96127</v>
      </c>
      <c r="AU9">
        <f t="shared" si="8"/>
        <v>5</v>
      </c>
      <c r="AW9" t="s">
        <v>163</v>
      </c>
      <c r="AX9">
        <v>82423</v>
      </c>
      <c r="AY9">
        <f t="shared" si="9"/>
        <v>1</v>
      </c>
      <c r="BA9" t="s">
        <v>8</v>
      </c>
      <c r="BB9">
        <f t="shared" si="10"/>
        <v>4</v>
      </c>
      <c r="BC9">
        <f t="shared" si="11"/>
        <v>4</v>
      </c>
      <c r="BD9">
        <f t="shared" si="12"/>
        <v>4</v>
      </c>
      <c r="BE9">
        <f t="shared" si="13"/>
        <v>6</v>
      </c>
      <c r="BF9">
        <f t="shared" si="14"/>
        <v>8</v>
      </c>
      <c r="BG9">
        <f t="shared" si="15"/>
        <v>4</v>
      </c>
      <c r="BH9">
        <f t="shared" si="16"/>
        <v>5</v>
      </c>
      <c r="BI9">
        <f t="shared" si="17"/>
        <v>2</v>
      </c>
      <c r="BJ9">
        <f t="shared" si="18"/>
        <v>11</v>
      </c>
      <c r="BK9">
        <f t="shared" si="19"/>
        <v>11</v>
      </c>
      <c r="BL9">
        <f t="shared" si="20"/>
        <v>8</v>
      </c>
      <c r="BM9">
        <f t="shared" si="21"/>
        <v>12</v>
      </c>
      <c r="BN9">
        <f t="shared" si="22"/>
        <v>0</v>
      </c>
      <c r="BP9" t="s">
        <v>12</v>
      </c>
      <c r="BQ9" t="s">
        <v>86</v>
      </c>
      <c r="BR9">
        <f t="shared" si="23"/>
        <v>9</v>
      </c>
      <c r="BS9">
        <f t="shared" si="24"/>
        <v>2023</v>
      </c>
      <c r="BT9">
        <v>1</v>
      </c>
      <c r="BU9" t="str">
        <f t="shared" si="25"/>
        <v>2023-9</v>
      </c>
      <c r="BV9">
        <f t="shared" si="26"/>
        <v>0</v>
      </c>
      <c r="BX9" t="s">
        <v>20</v>
      </c>
      <c r="BY9" t="s">
        <v>16</v>
      </c>
      <c r="BZ9">
        <v>96127</v>
      </c>
      <c r="CA9">
        <f t="shared" si="27"/>
        <v>9</v>
      </c>
      <c r="CB9">
        <f t="shared" si="28"/>
        <v>2023</v>
      </c>
      <c r="CC9" t="str">
        <f t="shared" si="29"/>
        <v>2023-9</v>
      </c>
      <c r="CL9" t="s">
        <v>8</v>
      </c>
      <c r="CM9">
        <f t="shared" si="30"/>
        <v>57729.75</v>
      </c>
      <c r="CN9">
        <f t="shared" si="30"/>
        <v>87300.25</v>
      </c>
      <c r="CO9">
        <f t="shared" si="30"/>
        <v>65028.75</v>
      </c>
      <c r="CP9">
        <f t="shared" si="30"/>
        <v>55733</v>
      </c>
      <c r="CQ9">
        <f t="shared" si="30"/>
        <v>54225.25</v>
      </c>
      <c r="CR9">
        <f t="shared" si="30"/>
        <v>57947</v>
      </c>
      <c r="CS9">
        <f t="shared" si="30"/>
        <v>35253.800000000003</v>
      </c>
      <c r="CT9">
        <f t="shared" si="30"/>
        <v>62192</v>
      </c>
      <c r="CU9">
        <f t="shared" si="30"/>
        <v>60452.63636363636</v>
      </c>
      <c r="CV9">
        <f t="shared" si="30"/>
        <v>62416.090909090912</v>
      </c>
      <c r="CW9">
        <f t="shared" si="30"/>
        <v>62990.875</v>
      </c>
      <c r="CX9">
        <f t="shared" si="30"/>
        <v>50836.083333333336</v>
      </c>
      <c r="DB9" t="s">
        <v>8</v>
      </c>
      <c r="DC9">
        <f>(COUNTIFS($BP:$BP,$DB9,$BU:$BU,DC$1,$BV:$BV,"=2") - COUNTIFS($BP:$BP,$DB9,$BU:$BU,DC$1,$BV:$BV,"=0")) / COUNTIFS($BP:$BP,$DB9,$BU:$BU,DC$1)</f>
        <v>-0.75</v>
      </c>
      <c r="DD9">
        <f>(COUNTIFS($BP:$BP,$DB9,$BU:$BU,DD$1,$BV:$BV,"=2") - COUNTIFS($BP:$BP,$DB9,$BU:$BU,DD$1,$BV:$BV,"=0")) / COUNTIFS($BP:$BP,$DB9,$BU:$BU,DD$1)</f>
        <v>0.25</v>
      </c>
      <c r="DE9">
        <f>(COUNTIFS($BP:$BP,$DB9,$BU:$BU,DE$1,$BV:$BV,"=2") - COUNTIFS($BP:$BP,$DB9,$BU:$BU,DE$1,$BV:$BV,"=0")) / COUNTIFS($BP:$BP,$DB9,$BU:$BU,DE$1)</f>
        <v>0</v>
      </c>
      <c r="DF9">
        <f>(COUNTIFS($BP:$BP,$DB9,$BU:$BU,DF$1,$BV:$BV,"=2") - COUNTIFS($BP:$BP,$DB9,$BU:$BU,DF$1,$BV:$BV,"=0")) / COUNTIFS($BP:$BP,$DB9,$BU:$BU,DF$1)</f>
        <v>-0.5</v>
      </c>
      <c r="DG9">
        <f>(COUNTIFS($BP:$BP,$DB9,$BU:$BU,DG$1,$BV:$BV,"=2") - COUNTIFS($BP:$BP,$DB9,$BU:$BU,DG$1,$BV:$BV,"=0")) / COUNTIFS($BP:$BP,$DB9,$BU:$BU,DG$1)</f>
        <v>0</v>
      </c>
      <c r="DH9">
        <f>(COUNTIFS($BP:$BP,$DB9,$BU:$BU,DH$1,$BV:$BV,"=2") - COUNTIFS($BP:$BP,$DB9,$BU:$BU,DH$1,$BV:$BV,"=0")) / COUNTIFS($BP:$BP,$DB9,$BU:$BU,DH$1)</f>
        <v>0.25</v>
      </c>
      <c r="DI9">
        <f>(COUNTIFS($BP:$BP,$DB9,$BU:$BU,DI$1,$BV:$BV,"=2") - COUNTIFS($BP:$BP,$DB9,$BU:$BU,DI$1,$BV:$BV,"=0")) / COUNTIFS($BP:$BP,$DB9,$BU:$BU,DI$1)</f>
        <v>-0.6</v>
      </c>
      <c r="DJ9">
        <f>(COUNTIFS($BP:$BP,$DB9,$BU:$BU,DJ$1,$BV:$BV,"=2") - COUNTIFS($BP:$BP,$DB9,$BU:$BU,DJ$1,$BV:$BV,"=0")) / COUNTIFS($BP:$BP,$DB9,$BU:$BU,DJ$1)</f>
        <v>0.5</v>
      </c>
      <c r="DK9">
        <f>(COUNTIFS($BP:$BP,$DB9,$BU:$BU,DK$1,$BV:$BV,"=2") - COUNTIFS($BP:$BP,$DB9,$BU:$BU,DK$1,$BV:$BV,"=0")) / COUNTIFS($BP:$BP,$DB9,$BU:$BU,DK$1)</f>
        <v>-0.18181818181818182</v>
      </c>
      <c r="DL9">
        <f>(COUNTIFS($BP:$BP,$DB9,$BU:$BU,DL$1,$BV:$BV,"=2") - COUNTIFS($BP:$BP,$DB9,$BU:$BU,DL$1,$BV:$BV,"=0")) / COUNTIFS($BP:$BP,$DB9,$BU:$BU,DL$1)</f>
        <v>-0.45454545454545453</v>
      </c>
      <c r="DM9">
        <f>(COUNTIFS($BP:$BP,$DB9,$BU:$BU,DM$1,$BV:$BV,"=2") - COUNTIFS($BP:$BP,$DB9,$BU:$BU,DM$1,$BV:$BV,"=0")) / COUNTIFS($BP:$BP,$DB9,$BU:$BU,DM$1)</f>
        <v>-0.625</v>
      </c>
      <c r="DN9">
        <f>(COUNTIFS($BP:$BP,$DB9,$BU:$BU,DN$1,$BV:$BV,"=2") - COUNTIFS($BP:$BP,$DB9,$BU:$BU,DN$1,$BV:$BV,"=0")) / COUNTIFS($BP:$BP,$DB9,$BU:$BU,DN$1)</f>
        <v>-0.5</v>
      </c>
    </row>
    <row r="10" spans="1:119" x14ac:dyDescent="0.25">
      <c r="A10" t="s">
        <v>10</v>
      </c>
      <c r="B10" t="s">
        <v>22</v>
      </c>
      <c r="C10" t="s">
        <v>16</v>
      </c>
      <c r="D10">
        <v>10817</v>
      </c>
      <c r="E10">
        <v>10</v>
      </c>
      <c r="H10" t="s">
        <v>36</v>
      </c>
      <c r="I10">
        <f t="shared" si="1"/>
        <v>72</v>
      </c>
      <c r="J10">
        <f t="shared" si="2"/>
        <v>3469845</v>
      </c>
      <c r="K10">
        <f t="shared" si="3"/>
        <v>31</v>
      </c>
      <c r="L10">
        <f t="shared" si="4"/>
        <v>20</v>
      </c>
      <c r="M10">
        <f t="shared" si="5"/>
        <v>72</v>
      </c>
      <c r="N10">
        <f t="shared" si="6"/>
        <v>-0.15277777777777779</v>
      </c>
      <c r="P10" t="s">
        <v>10</v>
      </c>
      <c r="Q10" t="s">
        <v>22</v>
      </c>
      <c r="R10">
        <v>10</v>
      </c>
      <c r="S10" t="s">
        <v>36</v>
      </c>
      <c r="T10" t="s">
        <v>38</v>
      </c>
      <c r="V10" t="s">
        <v>36</v>
      </c>
      <c r="W10" t="s">
        <v>448</v>
      </c>
      <c r="Y10">
        <f t="shared" si="7"/>
        <v>352</v>
      </c>
      <c r="AB10" t="s">
        <v>23</v>
      </c>
      <c r="AC10">
        <v>86</v>
      </c>
      <c r="AD10">
        <v>5002098</v>
      </c>
      <c r="AE10">
        <v>351</v>
      </c>
      <c r="AF10">
        <v>-0.20987654320987653</v>
      </c>
      <c r="AI10" t="s">
        <v>22</v>
      </c>
      <c r="AJ10">
        <v>10817</v>
      </c>
      <c r="AK10" t="s">
        <v>47</v>
      </c>
      <c r="AL10">
        <f>COUNTIF(AI:AI,AK10)</f>
        <v>9</v>
      </c>
      <c r="AM10">
        <f>SUMIF(AI:AI,AK10,AJ:AJ)</f>
        <v>605323</v>
      </c>
      <c r="AP10" t="s">
        <v>10</v>
      </c>
      <c r="AQ10" t="s">
        <v>22</v>
      </c>
      <c r="AS10" t="s">
        <v>22</v>
      </c>
      <c r="AT10">
        <v>10817</v>
      </c>
      <c r="AU10">
        <f t="shared" si="8"/>
        <v>5</v>
      </c>
      <c r="AW10" t="s">
        <v>311</v>
      </c>
      <c r="AX10">
        <v>68339</v>
      </c>
      <c r="AY10">
        <f t="shared" si="9"/>
        <v>1</v>
      </c>
      <c r="BA10" t="s">
        <v>36</v>
      </c>
      <c r="BB10">
        <f t="shared" si="10"/>
        <v>3</v>
      </c>
      <c r="BC10">
        <f t="shared" si="11"/>
        <v>4</v>
      </c>
      <c r="BD10">
        <f t="shared" si="12"/>
        <v>13</v>
      </c>
      <c r="BE10">
        <f t="shared" si="13"/>
        <v>5</v>
      </c>
      <c r="BF10">
        <f t="shared" si="14"/>
        <v>7</v>
      </c>
      <c r="BG10">
        <f t="shared" si="15"/>
        <v>6</v>
      </c>
      <c r="BH10">
        <f t="shared" si="16"/>
        <v>6</v>
      </c>
      <c r="BI10">
        <f t="shared" si="17"/>
        <v>6</v>
      </c>
      <c r="BJ10">
        <f t="shared" si="18"/>
        <v>5</v>
      </c>
      <c r="BK10">
        <f t="shared" si="19"/>
        <v>6</v>
      </c>
      <c r="BL10">
        <f t="shared" si="20"/>
        <v>6</v>
      </c>
      <c r="BM10">
        <f t="shared" si="21"/>
        <v>5</v>
      </c>
      <c r="BN10">
        <f t="shared" si="22"/>
        <v>0</v>
      </c>
      <c r="BP10" t="s">
        <v>12</v>
      </c>
      <c r="BQ10" t="s">
        <v>96</v>
      </c>
      <c r="BR10">
        <f t="shared" si="23"/>
        <v>9</v>
      </c>
      <c r="BS10">
        <f t="shared" si="24"/>
        <v>2023</v>
      </c>
      <c r="BT10">
        <v>10</v>
      </c>
      <c r="BU10" t="str">
        <f t="shared" si="25"/>
        <v>2023-9</v>
      </c>
      <c r="BV10">
        <f t="shared" si="26"/>
        <v>2</v>
      </c>
      <c r="BX10" t="s">
        <v>10</v>
      </c>
      <c r="BY10" t="s">
        <v>16</v>
      </c>
      <c r="BZ10">
        <v>10817</v>
      </c>
      <c r="CA10">
        <f t="shared" si="27"/>
        <v>9</v>
      </c>
      <c r="CB10">
        <f t="shared" si="28"/>
        <v>2023</v>
      </c>
      <c r="CC10" t="str">
        <f t="shared" si="29"/>
        <v>2023-9</v>
      </c>
      <c r="CL10" t="s">
        <v>36</v>
      </c>
      <c r="CM10">
        <f t="shared" si="30"/>
        <v>24168.666666666668</v>
      </c>
      <c r="CN10">
        <f t="shared" si="30"/>
        <v>38561</v>
      </c>
      <c r="CO10">
        <f t="shared" si="30"/>
        <v>54131.923076923078</v>
      </c>
      <c r="CP10">
        <f t="shared" si="30"/>
        <v>60461.2</v>
      </c>
      <c r="CQ10">
        <f t="shared" si="30"/>
        <v>49000.142857142855</v>
      </c>
      <c r="CR10">
        <f t="shared" si="30"/>
        <v>52793.166666666664</v>
      </c>
      <c r="CS10">
        <f t="shared" si="30"/>
        <v>34761.5</v>
      </c>
      <c r="CT10">
        <f t="shared" si="30"/>
        <v>42000.166666666664</v>
      </c>
      <c r="CU10">
        <f t="shared" si="30"/>
        <v>49469.599999999999</v>
      </c>
      <c r="CV10">
        <f t="shared" si="30"/>
        <v>50510.666666666664</v>
      </c>
      <c r="CW10">
        <f t="shared" si="30"/>
        <v>42590.666666666664</v>
      </c>
      <c r="CX10">
        <f t="shared" si="30"/>
        <v>62157.599999999999</v>
      </c>
      <c r="DB10" t="s">
        <v>36</v>
      </c>
      <c r="DC10">
        <f>(COUNTIFS($BP:$BP,$DB10,$BU:$BU,DC$1,$BV:$BV,"=2") - COUNTIFS($BP:$BP,$DB10,$BU:$BU,DC$1,$BV:$BV,"=0")) / COUNTIFS($BP:$BP,$DB10,$BU:$BU,DC$1)</f>
        <v>0.33333333333333331</v>
      </c>
      <c r="DD10">
        <f>(COUNTIFS($BP:$BP,$DB10,$BU:$BU,DD$1,$BV:$BV,"=2") - COUNTIFS($BP:$BP,$DB10,$BU:$BU,DD$1,$BV:$BV,"=0")) / COUNTIFS($BP:$BP,$DB10,$BU:$BU,DD$1)</f>
        <v>-0.25</v>
      </c>
      <c r="DE10">
        <f>(COUNTIFS($BP:$BP,$DB10,$BU:$BU,DE$1,$BV:$BV,"=2") - COUNTIFS($BP:$BP,$DB10,$BU:$BU,DE$1,$BV:$BV,"=0")) / COUNTIFS($BP:$BP,$DB10,$BU:$BU,DE$1)</f>
        <v>-0.69230769230769229</v>
      </c>
      <c r="DF10">
        <f>(COUNTIFS($BP:$BP,$DB10,$BU:$BU,DF$1,$BV:$BV,"=2") - COUNTIFS($BP:$BP,$DB10,$BU:$BU,DF$1,$BV:$BV,"=0")) / COUNTIFS($BP:$BP,$DB10,$BU:$BU,DF$1)</f>
        <v>0.4</v>
      </c>
      <c r="DG10">
        <f>(COUNTIFS($BP:$BP,$DB10,$BU:$BU,DG$1,$BV:$BV,"=2") - COUNTIFS($BP:$BP,$DB10,$BU:$BU,DG$1,$BV:$BV,"=0")) / COUNTIFS($BP:$BP,$DB10,$BU:$BU,DG$1)</f>
        <v>-0.2857142857142857</v>
      </c>
      <c r="DH10">
        <f>(COUNTIFS($BP:$BP,$DB10,$BU:$BU,DH$1,$BV:$BV,"=2") - COUNTIFS($BP:$BP,$DB10,$BU:$BU,DH$1,$BV:$BV,"=0")) / COUNTIFS($BP:$BP,$DB10,$BU:$BU,DH$1)</f>
        <v>-0.5</v>
      </c>
      <c r="DI10">
        <f>(COUNTIFS($BP:$BP,$DB10,$BU:$BU,DI$1,$BV:$BV,"=2") - COUNTIFS($BP:$BP,$DB10,$BU:$BU,DI$1,$BV:$BV,"=0")) / COUNTIFS($BP:$BP,$DB10,$BU:$BU,DI$1)</f>
        <v>-0.33333333333333331</v>
      </c>
      <c r="DJ10">
        <f>(COUNTIFS($BP:$BP,$DB10,$BU:$BU,DJ$1,$BV:$BV,"=2") - COUNTIFS($BP:$BP,$DB10,$BU:$BU,DJ$1,$BV:$BV,"=0")) / COUNTIFS($BP:$BP,$DB10,$BU:$BU,DJ$1)</f>
        <v>-0.66666666666666663</v>
      </c>
      <c r="DK10">
        <f>(COUNTIFS($BP:$BP,$DB10,$BU:$BU,DK$1,$BV:$BV,"=2") - COUNTIFS($BP:$BP,$DB10,$BU:$BU,DK$1,$BV:$BV,"=0")) / COUNTIFS($BP:$BP,$DB10,$BU:$BU,DK$1)</f>
        <v>-0.4</v>
      </c>
      <c r="DL10">
        <f>(COUNTIFS($BP:$BP,$DB10,$BU:$BU,DL$1,$BV:$BV,"=2") - COUNTIFS($BP:$BP,$DB10,$BU:$BU,DL$1,$BV:$BV,"=0")) / COUNTIFS($BP:$BP,$DB10,$BU:$BU,DL$1)</f>
        <v>-0.33333333333333331</v>
      </c>
      <c r="DM10">
        <f>(COUNTIFS($BP:$BP,$DB10,$BU:$BU,DM$1,$BV:$BV,"=2") - COUNTIFS($BP:$BP,$DB10,$BU:$BU,DM$1,$BV:$BV,"=0")) / COUNTIFS($BP:$BP,$DB10,$BU:$BU,DM$1)</f>
        <v>-0.5</v>
      </c>
      <c r="DN10">
        <f>(COUNTIFS($BP:$BP,$DB10,$BU:$BU,DN$1,$BV:$BV,"=2") - COUNTIFS($BP:$BP,$DB10,$BU:$BU,DN$1,$BV:$BV,"=0")) / COUNTIFS($BP:$BP,$DB10,$BU:$BU,DN$1)</f>
        <v>-0.2</v>
      </c>
    </row>
    <row r="11" spans="1:119" x14ac:dyDescent="0.25">
      <c r="A11" t="s">
        <v>23</v>
      </c>
      <c r="B11" t="s">
        <v>24</v>
      </c>
      <c r="C11" t="s">
        <v>16</v>
      </c>
      <c r="D11">
        <v>78553</v>
      </c>
      <c r="E11">
        <v>6</v>
      </c>
      <c r="H11" t="s">
        <v>17</v>
      </c>
      <c r="I11">
        <f t="shared" si="1"/>
        <v>95</v>
      </c>
      <c r="J11">
        <f t="shared" si="2"/>
        <v>5081350</v>
      </c>
      <c r="K11">
        <f t="shared" si="3"/>
        <v>39</v>
      </c>
      <c r="L11">
        <f t="shared" si="4"/>
        <v>23</v>
      </c>
      <c r="M11">
        <f t="shared" si="5"/>
        <v>92</v>
      </c>
      <c r="N11">
        <f t="shared" si="6"/>
        <v>-0.17391304347826086</v>
      </c>
      <c r="P11" t="s">
        <v>23</v>
      </c>
      <c r="Q11" t="s">
        <v>24</v>
      </c>
      <c r="R11">
        <v>6</v>
      </c>
      <c r="S11" t="s">
        <v>17</v>
      </c>
      <c r="T11" t="s">
        <v>16</v>
      </c>
      <c r="V11" t="s">
        <v>17</v>
      </c>
      <c r="W11" t="s">
        <v>454</v>
      </c>
      <c r="Y11">
        <f t="shared" si="7"/>
        <v>361</v>
      </c>
      <c r="AB11" t="s">
        <v>33</v>
      </c>
      <c r="AC11">
        <v>76</v>
      </c>
      <c r="AD11">
        <v>3990672</v>
      </c>
      <c r="AE11">
        <v>360</v>
      </c>
      <c r="AF11">
        <v>-0.22368421052631579</v>
      </c>
      <c r="AI11" t="s">
        <v>24</v>
      </c>
      <c r="AJ11">
        <v>78553</v>
      </c>
      <c r="AK11" t="s">
        <v>158</v>
      </c>
      <c r="AL11">
        <f>COUNTIF(AI:AI,AK11)</f>
        <v>11</v>
      </c>
      <c r="AM11">
        <f>SUMIF(AI:AI,AK11,AJ:AJ)</f>
        <v>599917</v>
      </c>
      <c r="AP11" t="s">
        <v>23</v>
      </c>
      <c r="AQ11" t="s">
        <v>24</v>
      </c>
      <c r="AS11" t="s">
        <v>24</v>
      </c>
      <c r="AT11">
        <v>78553</v>
      </c>
      <c r="AU11">
        <f t="shared" si="8"/>
        <v>3</v>
      </c>
      <c r="AW11" t="s">
        <v>175</v>
      </c>
      <c r="AX11">
        <v>45774</v>
      </c>
      <c r="AY11">
        <f t="shared" si="9"/>
        <v>1</v>
      </c>
      <c r="BA11" t="s">
        <v>17</v>
      </c>
      <c r="BB11">
        <f t="shared" si="10"/>
        <v>5</v>
      </c>
      <c r="BC11">
        <f t="shared" si="11"/>
        <v>8</v>
      </c>
      <c r="BD11">
        <f t="shared" si="12"/>
        <v>5</v>
      </c>
      <c r="BE11">
        <f t="shared" si="13"/>
        <v>7</v>
      </c>
      <c r="BF11">
        <f t="shared" si="14"/>
        <v>11</v>
      </c>
      <c r="BG11">
        <f t="shared" si="15"/>
        <v>11</v>
      </c>
      <c r="BH11">
        <f t="shared" si="16"/>
        <v>10</v>
      </c>
      <c r="BI11">
        <f t="shared" si="17"/>
        <v>6</v>
      </c>
      <c r="BJ11">
        <f t="shared" si="18"/>
        <v>11</v>
      </c>
      <c r="BK11">
        <f t="shared" si="19"/>
        <v>9</v>
      </c>
      <c r="BL11">
        <f t="shared" si="20"/>
        <v>6</v>
      </c>
      <c r="BM11">
        <f t="shared" si="21"/>
        <v>6</v>
      </c>
      <c r="BN11">
        <f t="shared" si="22"/>
        <v>0</v>
      </c>
      <c r="BP11" t="s">
        <v>12</v>
      </c>
      <c r="BQ11" t="s">
        <v>102</v>
      </c>
      <c r="BR11">
        <f t="shared" si="23"/>
        <v>10</v>
      </c>
      <c r="BS11">
        <f t="shared" si="24"/>
        <v>2023</v>
      </c>
      <c r="BT11">
        <v>6</v>
      </c>
      <c r="BU11" t="str">
        <f t="shared" si="25"/>
        <v>2023-10</v>
      </c>
      <c r="BV11">
        <f t="shared" si="26"/>
        <v>0</v>
      </c>
      <c r="BX11" t="s">
        <v>23</v>
      </c>
      <c r="BY11" t="s">
        <v>16</v>
      </c>
      <c r="BZ11">
        <v>78553</v>
      </c>
      <c r="CA11">
        <f t="shared" si="27"/>
        <v>9</v>
      </c>
      <c r="CB11">
        <f t="shared" si="28"/>
        <v>2023</v>
      </c>
      <c r="CC11" t="str">
        <f t="shared" si="29"/>
        <v>2023-9</v>
      </c>
      <c r="CL11" t="s">
        <v>17</v>
      </c>
      <c r="CM11">
        <f t="shared" si="30"/>
        <v>36623.599999999999</v>
      </c>
      <c r="CN11">
        <f t="shared" si="30"/>
        <v>59462.5</v>
      </c>
      <c r="CO11">
        <f t="shared" si="30"/>
        <v>44452.4</v>
      </c>
      <c r="CP11">
        <f t="shared" si="30"/>
        <v>63507.571428571428</v>
      </c>
      <c r="CQ11">
        <f t="shared" si="30"/>
        <v>44742.818181818184</v>
      </c>
      <c r="CR11">
        <f t="shared" si="30"/>
        <v>58010.727272727272</v>
      </c>
      <c r="CS11">
        <f t="shared" si="30"/>
        <v>56085.3</v>
      </c>
      <c r="CT11">
        <f t="shared" si="30"/>
        <v>56668.833333333336</v>
      </c>
      <c r="CU11">
        <f t="shared" si="30"/>
        <v>56052.272727272728</v>
      </c>
      <c r="CV11">
        <f t="shared" si="30"/>
        <v>44920.333333333336</v>
      </c>
      <c r="CW11">
        <f t="shared" si="30"/>
        <v>64393</v>
      </c>
      <c r="CX11">
        <f t="shared" si="30"/>
        <v>52891</v>
      </c>
      <c r="DB11" t="s">
        <v>17</v>
      </c>
      <c r="DC11">
        <f>(COUNTIFS($BP:$BP,$DB11,$BU:$BU,DC$1,$BV:$BV,"=2") - COUNTIFS($BP:$BP,$DB11,$BU:$BU,DC$1,$BV:$BV,"=0")) / COUNTIFS($BP:$BP,$DB11,$BU:$BU,DC$1)</f>
        <v>0</v>
      </c>
      <c r="DD11">
        <f>(COUNTIFS($BP:$BP,$DB11,$BU:$BU,DD$1,$BV:$BV,"=2") - COUNTIFS($BP:$BP,$DB11,$BU:$BU,DD$1,$BV:$BV,"=0")) / COUNTIFS($BP:$BP,$DB11,$BU:$BU,DD$1)</f>
        <v>-0.5</v>
      </c>
      <c r="DE11">
        <f>(COUNTIFS($BP:$BP,$DB11,$BU:$BU,DE$1,$BV:$BV,"=2") - COUNTIFS($BP:$BP,$DB11,$BU:$BU,DE$1,$BV:$BV,"=0")) / COUNTIFS($BP:$BP,$DB11,$BU:$BU,DE$1)</f>
        <v>-1</v>
      </c>
      <c r="DF11">
        <f>(COUNTIFS($BP:$BP,$DB11,$BU:$BU,DF$1,$BV:$BV,"=2") - COUNTIFS($BP:$BP,$DB11,$BU:$BU,DF$1,$BV:$BV,"=0")) / COUNTIFS($BP:$BP,$DB11,$BU:$BU,DF$1)</f>
        <v>-0.2857142857142857</v>
      </c>
      <c r="DG11">
        <f>(COUNTIFS($BP:$BP,$DB11,$BU:$BU,DG$1,$BV:$BV,"=2") - COUNTIFS($BP:$BP,$DB11,$BU:$BU,DG$1,$BV:$BV,"=0")) / COUNTIFS($BP:$BP,$DB11,$BU:$BU,DG$1)</f>
        <v>0</v>
      </c>
      <c r="DH11">
        <f>(COUNTIFS($BP:$BP,$DB11,$BU:$BU,DH$1,$BV:$BV,"=2") - COUNTIFS($BP:$BP,$DB11,$BU:$BU,DH$1,$BV:$BV,"=0")) / COUNTIFS($BP:$BP,$DB11,$BU:$BU,DH$1)</f>
        <v>-9.0909090909090912E-2</v>
      </c>
      <c r="DI11">
        <f>(COUNTIFS($BP:$BP,$DB11,$BU:$BU,DI$1,$BV:$BV,"=2") - COUNTIFS($BP:$BP,$DB11,$BU:$BU,DI$1,$BV:$BV,"=0")) / COUNTIFS($BP:$BP,$DB11,$BU:$BU,DI$1)</f>
        <v>-0.1</v>
      </c>
      <c r="DJ11">
        <f>(COUNTIFS($BP:$BP,$DB11,$BU:$BU,DJ$1,$BV:$BV,"=2") - COUNTIFS($BP:$BP,$DB11,$BU:$BU,DJ$1,$BV:$BV,"=0")) / COUNTIFS($BP:$BP,$DB11,$BU:$BU,DJ$1)</f>
        <v>-0.16666666666666666</v>
      </c>
      <c r="DK11">
        <f>(COUNTIFS($BP:$BP,$DB11,$BU:$BU,DK$1,$BV:$BV,"=2") - COUNTIFS($BP:$BP,$DB11,$BU:$BU,DK$1,$BV:$BV,"=0")) / COUNTIFS($BP:$BP,$DB11,$BU:$BU,DK$1)</f>
        <v>-0.36363636363636365</v>
      </c>
      <c r="DL11">
        <f>(COUNTIFS($BP:$BP,$DB11,$BU:$BU,DL$1,$BV:$BV,"=2") - COUNTIFS($BP:$BP,$DB11,$BU:$BU,DL$1,$BV:$BV,"=0")) / COUNTIFS($BP:$BP,$DB11,$BU:$BU,DL$1)</f>
        <v>-0.22222222222222221</v>
      </c>
      <c r="DM11">
        <f>(COUNTIFS($BP:$BP,$DB11,$BU:$BU,DM$1,$BV:$BV,"=2") - COUNTIFS($BP:$BP,$DB11,$BU:$BU,DM$1,$BV:$BV,"=0")) / COUNTIFS($BP:$BP,$DB11,$BU:$BU,DM$1)</f>
        <v>-0.66666666666666663</v>
      </c>
      <c r="DN11">
        <f>(COUNTIFS($BP:$BP,$DB11,$BU:$BU,DN$1,$BV:$BV,"=2") - COUNTIFS($BP:$BP,$DB11,$BU:$BU,DN$1,$BV:$BV,"=0")) / COUNTIFS($BP:$BP,$DB11,$BU:$BU,DN$1)</f>
        <v>-0.33333333333333331</v>
      </c>
    </row>
    <row r="12" spans="1:119" x14ac:dyDescent="0.25">
      <c r="A12" t="s">
        <v>12</v>
      </c>
      <c r="B12" t="s">
        <v>25</v>
      </c>
      <c r="C12" t="s">
        <v>16</v>
      </c>
      <c r="D12">
        <v>87463</v>
      </c>
      <c r="E12">
        <v>9</v>
      </c>
      <c r="H12" t="s">
        <v>32</v>
      </c>
      <c r="I12">
        <f t="shared" si="1"/>
        <v>99</v>
      </c>
      <c r="J12">
        <f t="shared" si="2"/>
        <v>5712528</v>
      </c>
      <c r="K12">
        <f t="shared" si="3"/>
        <v>37</v>
      </c>
      <c r="L12">
        <f t="shared" si="4"/>
        <v>17</v>
      </c>
      <c r="M12">
        <f t="shared" si="5"/>
        <v>93</v>
      </c>
      <c r="N12">
        <f t="shared" si="6"/>
        <v>-0.21505376344086022</v>
      </c>
      <c r="P12" t="s">
        <v>12</v>
      </c>
      <c r="Q12" t="s">
        <v>25</v>
      </c>
      <c r="R12">
        <v>9</v>
      </c>
      <c r="S12" t="s">
        <v>32</v>
      </c>
      <c r="T12" t="s">
        <v>31</v>
      </c>
      <c r="V12" t="s">
        <v>32</v>
      </c>
      <c r="W12" t="s">
        <v>442</v>
      </c>
      <c r="Y12">
        <f t="shared" si="7"/>
        <v>346</v>
      </c>
      <c r="AB12" t="s">
        <v>12</v>
      </c>
      <c r="AC12">
        <v>78</v>
      </c>
      <c r="AD12">
        <v>4152118</v>
      </c>
      <c r="AE12">
        <v>367</v>
      </c>
      <c r="AF12">
        <v>-0.23376623376623376</v>
      </c>
      <c r="AI12" t="s">
        <v>25</v>
      </c>
      <c r="AJ12">
        <v>87463</v>
      </c>
      <c r="AK12" t="s">
        <v>196</v>
      </c>
      <c r="AL12">
        <f>COUNTIF(AI:AI,AK12)</f>
        <v>10</v>
      </c>
      <c r="AM12">
        <f>SUMIF(AI:AI,AK12,AJ:AJ)</f>
        <v>590303</v>
      </c>
      <c r="AP12" t="s">
        <v>12</v>
      </c>
      <c r="AQ12" t="s">
        <v>25</v>
      </c>
      <c r="AS12" t="s">
        <v>25</v>
      </c>
      <c r="AT12">
        <v>87463</v>
      </c>
      <c r="AU12">
        <f t="shared" si="8"/>
        <v>6</v>
      </c>
      <c r="AW12" t="s">
        <v>308</v>
      </c>
      <c r="AX12">
        <v>77177</v>
      </c>
      <c r="AY12">
        <f t="shared" si="9"/>
        <v>2</v>
      </c>
      <c r="BA12" t="s">
        <v>32</v>
      </c>
      <c r="BB12">
        <f t="shared" si="10"/>
        <v>9</v>
      </c>
      <c r="BC12">
        <f t="shared" si="11"/>
        <v>9</v>
      </c>
      <c r="BD12">
        <f t="shared" si="12"/>
        <v>8</v>
      </c>
      <c r="BE12">
        <f t="shared" si="13"/>
        <v>9</v>
      </c>
      <c r="BF12">
        <f t="shared" si="14"/>
        <v>11</v>
      </c>
      <c r="BG12">
        <f t="shared" si="15"/>
        <v>12</v>
      </c>
      <c r="BH12">
        <f t="shared" si="16"/>
        <v>8</v>
      </c>
      <c r="BI12">
        <f t="shared" si="17"/>
        <v>5</v>
      </c>
      <c r="BJ12">
        <f t="shared" si="18"/>
        <v>9</v>
      </c>
      <c r="BK12">
        <f t="shared" si="19"/>
        <v>6</v>
      </c>
      <c r="BL12">
        <f t="shared" si="20"/>
        <v>9</v>
      </c>
      <c r="BM12">
        <f t="shared" si="21"/>
        <v>4</v>
      </c>
      <c r="BN12">
        <f t="shared" si="22"/>
        <v>0</v>
      </c>
      <c r="BP12" t="s">
        <v>12</v>
      </c>
      <c r="BQ12" t="s">
        <v>117</v>
      </c>
      <c r="BR12">
        <f t="shared" si="23"/>
        <v>10</v>
      </c>
      <c r="BS12">
        <f t="shared" si="24"/>
        <v>2023</v>
      </c>
      <c r="BT12">
        <v>9</v>
      </c>
      <c r="BU12" t="str">
        <f t="shared" si="25"/>
        <v>2023-10</v>
      </c>
      <c r="BV12">
        <f t="shared" si="26"/>
        <v>2</v>
      </c>
      <c r="BX12" t="s">
        <v>12</v>
      </c>
      <c r="BY12" t="s">
        <v>16</v>
      </c>
      <c r="BZ12">
        <v>87463</v>
      </c>
      <c r="CA12">
        <f t="shared" si="27"/>
        <v>9</v>
      </c>
      <c r="CB12">
        <f t="shared" si="28"/>
        <v>2023</v>
      </c>
      <c r="CC12" t="str">
        <f t="shared" si="29"/>
        <v>2023-9</v>
      </c>
      <c r="CL12" t="s">
        <v>32</v>
      </c>
      <c r="CM12">
        <f t="shared" si="30"/>
        <v>60832.777777777781</v>
      </c>
      <c r="CN12">
        <f t="shared" si="30"/>
        <v>56370.555555555555</v>
      </c>
      <c r="CO12">
        <f t="shared" si="30"/>
        <v>68374.125</v>
      </c>
      <c r="CP12">
        <f t="shared" si="30"/>
        <v>59166.777777777781</v>
      </c>
      <c r="CQ12">
        <f t="shared" si="30"/>
        <v>51307.272727272728</v>
      </c>
      <c r="CR12">
        <f t="shared" si="30"/>
        <v>64562.75</v>
      </c>
      <c r="CS12">
        <f t="shared" si="30"/>
        <v>55202.375</v>
      </c>
      <c r="CT12">
        <f t="shared" si="30"/>
        <v>44507.6</v>
      </c>
      <c r="CU12">
        <f t="shared" si="30"/>
        <v>48862.333333333336</v>
      </c>
      <c r="CV12">
        <f t="shared" si="30"/>
        <v>49690</v>
      </c>
      <c r="CW12">
        <f t="shared" si="30"/>
        <v>70875</v>
      </c>
      <c r="CX12">
        <f t="shared" si="30"/>
        <v>49784.5</v>
      </c>
      <c r="DB12" t="s">
        <v>32</v>
      </c>
      <c r="DC12">
        <f>(COUNTIFS($BP:$BP,$DB12,$BU:$BU,DC$1,$BV:$BV,"=2") - COUNTIFS($BP:$BP,$DB12,$BU:$BU,DC$1,$BV:$BV,"=0")) / COUNTIFS($BP:$BP,$DB12,$BU:$BU,DC$1)</f>
        <v>0</v>
      </c>
      <c r="DD12">
        <f>(COUNTIFS($BP:$BP,$DB12,$BU:$BU,DD$1,$BV:$BV,"=2") - COUNTIFS($BP:$BP,$DB12,$BU:$BU,DD$1,$BV:$BV,"=0")) / COUNTIFS($BP:$BP,$DB12,$BU:$BU,DD$1)</f>
        <v>-0.33333333333333331</v>
      </c>
      <c r="DE12">
        <f>(COUNTIFS($BP:$BP,$DB12,$BU:$BU,DE$1,$BV:$BV,"=2") - COUNTIFS($BP:$BP,$DB12,$BU:$BU,DE$1,$BV:$BV,"=0")) / COUNTIFS($BP:$BP,$DB12,$BU:$BU,DE$1)</f>
        <v>-0.125</v>
      </c>
      <c r="DF12">
        <f>(COUNTIFS($BP:$BP,$DB12,$BU:$BU,DF$1,$BV:$BV,"=2") - COUNTIFS($BP:$BP,$DB12,$BU:$BU,DF$1,$BV:$BV,"=0")) / COUNTIFS($BP:$BP,$DB12,$BU:$BU,DF$1)</f>
        <v>0</v>
      </c>
      <c r="DG12">
        <f>(COUNTIFS($BP:$BP,$DB12,$BU:$BU,DG$1,$BV:$BV,"=2") - COUNTIFS($BP:$BP,$DB12,$BU:$BU,DG$1,$BV:$BV,"=0")) / COUNTIFS($BP:$BP,$DB12,$BU:$BU,DG$1)</f>
        <v>0.18181818181818182</v>
      </c>
      <c r="DH12">
        <f>(COUNTIFS($BP:$BP,$DB12,$BU:$BU,DH$1,$BV:$BV,"=2") - COUNTIFS($BP:$BP,$DB12,$BU:$BU,DH$1,$BV:$BV,"=0")) / COUNTIFS($BP:$BP,$DB12,$BU:$BU,DH$1)</f>
        <v>-0.58333333333333337</v>
      </c>
      <c r="DI12">
        <f>(COUNTIFS($BP:$BP,$DB12,$BU:$BU,DI$1,$BV:$BV,"=2") - COUNTIFS($BP:$BP,$DB12,$BU:$BU,DI$1,$BV:$BV,"=0")) / COUNTIFS($BP:$BP,$DB12,$BU:$BU,DI$1)</f>
        <v>-0.5</v>
      </c>
      <c r="DJ12">
        <f>(COUNTIFS($BP:$BP,$DB12,$BU:$BU,DJ$1,$BV:$BV,"=2") - COUNTIFS($BP:$BP,$DB12,$BU:$BU,DJ$1,$BV:$BV,"=0")) / COUNTIFS($BP:$BP,$DB12,$BU:$BU,DJ$1)</f>
        <v>-0.6</v>
      </c>
      <c r="DK12">
        <f>(COUNTIFS($BP:$BP,$DB12,$BU:$BU,DK$1,$BV:$BV,"=2") - COUNTIFS($BP:$BP,$DB12,$BU:$BU,DK$1,$BV:$BV,"=0")) / COUNTIFS($BP:$BP,$DB12,$BU:$BU,DK$1)</f>
        <v>-0.33333333333333331</v>
      </c>
      <c r="DL12">
        <f>(COUNTIFS($BP:$BP,$DB12,$BU:$BU,DL$1,$BV:$BV,"=2") - COUNTIFS($BP:$BP,$DB12,$BU:$BU,DL$1,$BV:$BV,"=0")) / COUNTIFS($BP:$BP,$DB12,$BU:$BU,DL$1)</f>
        <v>0.16666666666666666</v>
      </c>
      <c r="DM12">
        <f>(COUNTIFS($BP:$BP,$DB12,$BU:$BU,DM$1,$BV:$BV,"=2") - COUNTIFS($BP:$BP,$DB12,$BU:$BU,DM$1,$BV:$BV,"=0")) / COUNTIFS($BP:$BP,$DB12,$BU:$BU,DM$1)</f>
        <v>-0.44444444444444442</v>
      </c>
      <c r="DN12">
        <f>(COUNTIFS($BP:$BP,$DB12,$BU:$BU,DN$1,$BV:$BV,"=2") - COUNTIFS($BP:$BP,$DB12,$BU:$BU,DN$1,$BV:$BV,"=0")) / COUNTIFS($BP:$BP,$DB12,$BU:$BU,DN$1)</f>
        <v>-0.5</v>
      </c>
    </row>
    <row r="13" spans="1:119" x14ac:dyDescent="0.25">
      <c r="A13" t="s">
        <v>12</v>
      </c>
      <c r="B13" t="s">
        <v>26</v>
      </c>
      <c r="C13" t="s">
        <v>16</v>
      </c>
      <c r="D13">
        <v>81333</v>
      </c>
      <c r="E13">
        <v>8</v>
      </c>
      <c r="H13" t="s">
        <v>20</v>
      </c>
      <c r="I13">
        <f t="shared" si="1"/>
        <v>63</v>
      </c>
      <c r="J13">
        <f t="shared" si="2"/>
        <v>3764426</v>
      </c>
      <c r="K13">
        <f t="shared" si="3"/>
        <v>25</v>
      </c>
      <c r="L13">
        <f t="shared" si="4"/>
        <v>15</v>
      </c>
      <c r="M13">
        <f t="shared" si="5"/>
        <v>59</v>
      </c>
      <c r="N13">
        <f t="shared" si="6"/>
        <v>-0.16949152542372881</v>
      </c>
      <c r="P13" t="s">
        <v>12</v>
      </c>
      <c r="Q13" t="s">
        <v>26</v>
      </c>
      <c r="R13">
        <v>8</v>
      </c>
      <c r="S13" t="s">
        <v>20</v>
      </c>
      <c r="T13" t="s">
        <v>16</v>
      </c>
      <c r="V13" t="s">
        <v>20</v>
      </c>
      <c r="W13" t="s">
        <v>453</v>
      </c>
      <c r="Y13">
        <f t="shared" si="7"/>
        <v>360</v>
      </c>
      <c r="AB13" t="s">
        <v>27</v>
      </c>
      <c r="AC13">
        <v>89</v>
      </c>
      <c r="AD13">
        <v>5367389</v>
      </c>
      <c r="AE13">
        <v>354</v>
      </c>
      <c r="AF13">
        <v>-0.23529411764705882</v>
      </c>
      <c r="AI13" t="s">
        <v>26</v>
      </c>
      <c r="AJ13">
        <v>81333</v>
      </c>
      <c r="AK13" t="s">
        <v>98</v>
      </c>
      <c r="AL13">
        <f>COUNTIF(AI:AI,AK13)</f>
        <v>9</v>
      </c>
      <c r="AM13">
        <f>SUMIF(AI:AI,AK13,AJ:AJ)</f>
        <v>582087</v>
      </c>
      <c r="AP13" t="s">
        <v>12</v>
      </c>
      <c r="AQ13" t="s">
        <v>26</v>
      </c>
      <c r="AS13" t="s">
        <v>26</v>
      </c>
      <c r="AT13">
        <v>81333</v>
      </c>
      <c r="AU13">
        <f t="shared" si="8"/>
        <v>7</v>
      </c>
      <c r="AW13" t="s">
        <v>278</v>
      </c>
      <c r="AX13">
        <v>73054</v>
      </c>
      <c r="AY13">
        <f t="shared" si="9"/>
        <v>1</v>
      </c>
      <c r="BA13" t="s">
        <v>20</v>
      </c>
      <c r="BB13">
        <f t="shared" si="10"/>
        <v>1</v>
      </c>
      <c r="BC13">
        <f t="shared" si="11"/>
        <v>8</v>
      </c>
      <c r="BD13">
        <f t="shared" si="12"/>
        <v>3</v>
      </c>
      <c r="BE13">
        <f t="shared" si="13"/>
        <v>4</v>
      </c>
      <c r="BF13">
        <f t="shared" si="14"/>
        <v>4</v>
      </c>
      <c r="BG13">
        <f t="shared" si="15"/>
        <v>5</v>
      </c>
      <c r="BH13">
        <f t="shared" si="16"/>
        <v>8</v>
      </c>
      <c r="BI13">
        <f t="shared" si="17"/>
        <v>6</v>
      </c>
      <c r="BJ13">
        <f t="shared" si="18"/>
        <v>5</v>
      </c>
      <c r="BK13">
        <f t="shared" si="19"/>
        <v>7</v>
      </c>
      <c r="BL13">
        <f t="shared" si="20"/>
        <v>5</v>
      </c>
      <c r="BM13">
        <f t="shared" si="21"/>
        <v>7</v>
      </c>
      <c r="BN13">
        <f t="shared" si="22"/>
        <v>0</v>
      </c>
      <c r="BP13" t="s">
        <v>12</v>
      </c>
      <c r="BQ13" t="s">
        <v>128</v>
      </c>
      <c r="BR13">
        <f t="shared" si="23"/>
        <v>10</v>
      </c>
      <c r="BS13">
        <f t="shared" si="24"/>
        <v>2023</v>
      </c>
      <c r="BT13">
        <v>8</v>
      </c>
      <c r="BU13" t="str">
        <f t="shared" si="25"/>
        <v>2023-10</v>
      </c>
      <c r="BV13">
        <f t="shared" si="26"/>
        <v>1</v>
      </c>
      <c r="BX13" t="s">
        <v>12</v>
      </c>
      <c r="BY13" t="s">
        <v>16</v>
      </c>
      <c r="BZ13">
        <v>81333</v>
      </c>
      <c r="CA13">
        <f t="shared" si="27"/>
        <v>9</v>
      </c>
      <c r="CB13">
        <f t="shared" si="28"/>
        <v>2023</v>
      </c>
      <c r="CC13" t="str">
        <f t="shared" si="29"/>
        <v>2023-9</v>
      </c>
      <c r="CL13" t="s">
        <v>20</v>
      </c>
      <c r="CM13">
        <f t="shared" si="30"/>
        <v>96127</v>
      </c>
      <c r="CN13">
        <f t="shared" si="30"/>
        <v>57411.5</v>
      </c>
      <c r="CO13">
        <f t="shared" si="30"/>
        <v>40354</v>
      </c>
      <c r="CP13">
        <f t="shared" si="30"/>
        <v>53840.5</v>
      </c>
      <c r="CQ13">
        <f t="shared" si="30"/>
        <v>58590.75</v>
      </c>
      <c r="CR13">
        <f t="shared" si="30"/>
        <v>62063.4</v>
      </c>
      <c r="CS13">
        <f t="shared" si="30"/>
        <v>62866</v>
      </c>
      <c r="CT13">
        <f t="shared" si="30"/>
        <v>58048</v>
      </c>
      <c r="CU13">
        <f t="shared" si="30"/>
        <v>59023.6</v>
      </c>
      <c r="CV13">
        <f t="shared" si="30"/>
        <v>58780.857142857145</v>
      </c>
      <c r="CW13">
        <f t="shared" si="30"/>
        <v>78938.2</v>
      </c>
      <c r="CX13">
        <f t="shared" si="30"/>
        <v>53630.285714285717</v>
      </c>
      <c r="DB13" t="s">
        <v>20</v>
      </c>
      <c r="DC13">
        <f>(COUNTIFS($BP:$BP,$DB13,$BU:$BU,DC$1,$BV:$BV,"=2") - COUNTIFS($BP:$BP,$DB13,$BU:$BU,DC$1,$BV:$BV,"=0")) / COUNTIFS($BP:$BP,$DB13,$BU:$BU,DC$1)</f>
        <v>-1</v>
      </c>
      <c r="DD13">
        <f>(COUNTIFS($BP:$BP,$DB13,$BU:$BU,DD$1,$BV:$BV,"=2") - COUNTIFS($BP:$BP,$DB13,$BU:$BU,DD$1,$BV:$BV,"=0")) / COUNTIFS($BP:$BP,$DB13,$BU:$BU,DD$1)</f>
        <v>-0.25</v>
      </c>
      <c r="DE13">
        <f>(COUNTIFS($BP:$BP,$DB13,$BU:$BU,DE$1,$BV:$BV,"=2") - COUNTIFS($BP:$BP,$DB13,$BU:$BU,DE$1,$BV:$BV,"=0")) / COUNTIFS($BP:$BP,$DB13,$BU:$BU,DE$1)</f>
        <v>0</v>
      </c>
      <c r="DF13">
        <f>(COUNTIFS($BP:$BP,$DB13,$BU:$BU,DF$1,$BV:$BV,"=2") - COUNTIFS($BP:$BP,$DB13,$BU:$BU,DF$1,$BV:$BV,"=0")) / COUNTIFS($BP:$BP,$DB13,$BU:$BU,DF$1)</f>
        <v>-0.25</v>
      </c>
      <c r="DG13">
        <f>(COUNTIFS($BP:$BP,$DB13,$BU:$BU,DG$1,$BV:$BV,"=2") - COUNTIFS($BP:$BP,$DB13,$BU:$BU,DG$1,$BV:$BV,"=0")) / COUNTIFS($BP:$BP,$DB13,$BU:$BU,DG$1)</f>
        <v>-0.5</v>
      </c>
      <c r="DH13">
        <f>(COUNTIFS($BP:$BP,$DB13,$BU:$BU,DH$1,$BV:$BV,"=2") - COUNTIFS($BP:$BP,$DB13,$BU:$BU,DH$1,$BV:$BV,"=0")) / COUNTIFS($BP:$BP,$DB13,$BU:$BU,DH$1)</f>
        <v>0</v>
      </c>
      <c r="DI13">
        <f>(COUNTIFS($BP:$BP,$DB13,$BU:$BU,DI$1,$BV:$BV,"=2") - COUNTIFS($BP:$BP,$DB13,$BU:$BU,DI$1,$BV:$BV,"=0")) / COUNTIFS($BP:$BP,$DB13,$BU:$BU,DI$1)</f>
        <v>-0.75</v>
      </c>
      <c r="DJ13">
        <f>(COUNTIFS($BP:$BP,$DB13,$BU:$BU,DJ$1,$BV:$BV,"=2") - COUNTIFS($BP:$BP,$DB13,$BU:$BU,DJ$1,$BV:$BV,"=0")) / COUNTIFS($BP:$BP,$DB13,$BU:$BU,DJ$1)</f>
        <v>0.16666666666666666</v>
      </c>
      <c r="DK13">
        <f>(COUNTIFS($BP:$BP,$DB13,$BU:$BU,DK$1,$BV:$BV,"=2") - COUNTIFS($BP:$BP,$DB13,$BU:$BU,DK$1,$BV:$BV,"=0")) / COUNTIFS($BP:$BP,$DB13,$BU:$BU,DK$1)</f>
        <v>-0.6</v>
      </c>
      <c r="DL13">
        <f>(COUNTIFS($BP:$BP,$DB13,$BU:$BU,DL$1,$BV:$BV,"=2") - COUNTIFS($BP:$BP,$DB13,$BU:$BU,DL$1,$BV:$BV,"=0")) / COUNTIFS($BP:$BP,$DB13,$BU:$BU,DL$1)</f>
        <v>-0.14285714285714285</v>
      </c>
      <c r="DM13">
        <f>(COUNTIFS($BP:$BP,$DB13,$BU:$BU,DM$1,$BV:$BV,"=2") - COUNTIFS($BP:$BP,$DB13,$BU:$BU,DM$1,$BV:$BV,"=0")) / COUNTIFS($BP:$BP,$DB13,$BU:$BU,DM$1)</f>
        <v>-0.4</v>
      </c>
      <c r="DN13">
        <f>(COUNTIFS($BP:$BP,$DB13,$BU:$BU,DN$1,$BV:$BV,"=2") - COUNTIFS($BP:$BP,$DB13,$BU:$BU,DN$1,$BV:$BV,"=0")) / COUNTIFS($BP:$BP,$DB13,$BU:$BU,DN$1)</f>
        <v>-0.2857142857142857</v>
      </c>
    </row>
    <row r="14" spans="1:119" x14ac:dyDescent="0.25">
      <c r="A14" t="s">
        <v>27</v>
      </c>
      <c r="B14" t="s">
        <v>28</v>
      </c>
      <c r="C14" t="s">
        <v>16</v>
      </c>
      <c r="D14">
        <v>72257</v>
      </c>
      <c r="E14">
        <v>5</v>
      </c>
      <c r="P14" t="s">
        <v>27</v>
      </c>
      <c r="Q14" t="s">
        <v>28</v>
      </c>
      <c r="R14">
        <v>5</v>
      </c>
      <c r="AI14" t="s">
        <v>28</v>
      </c>
      <c r="AJ14">
        <v>72257</v>
      </c>
      <c r="AK14" t="s">
        <v>161</v>
      </c>
      <c r="AL14">
        <f>COUNTIF(AI:AI,AK14)</f>
        <v>8</v>
      </c>
      <c r="AM14">
        <f>SUMIF(AI:AI,AK14,AJ:AJ)</f>
        <v>557498</v>
      </c>
      <c r="AP14" t="s">
        <v>27</v>
      </c>
      <c r="AQ14" t="s">
        <v>28</v>
      </c>
      <c r="AS14" t="s">
        <v>28</v>
      </c>
      <c r="AT14">
        <v>72257</v>
      </c>
      <c r="AU14">
        <f t="shared" si="8"/>
        <v>5</v>
      </c>
      <c r="AW14" t="s">
        <v>297</v>
      </c>
      <c r="AX14">
        <v>15953</v>
      </c>
      <c r="AY14">
        <f t="shared" si="9"/>
        <v>1</v>
      </c>
      <c r="BP14" t="s">
        <v>12</v>
      </c>
      <c r="BQ14" t="s">
        <v>130</v>
      </c>
      <c r="BR14">
        <f t="shared" si="23"/>
        <v>10</v>
      </c>
      <c r="BS14">
        <f t="shared" si="24"/>
        <v>2023</v>
      </c>
      <c r="BT14">
        <v>5</v>
      </c>
      <c r="BU14" t="str">
        <f t="shared" si="25"/>
        <v>2023-10</v>
      </c>
      <c r="BV14">
        <f t="shared" si="26"/>
        <v>0</v>
      </c>
      <c r="BX14" t="s">
        <v>27</v>
      </c>
      <c r="BY14" t="s">
        <v>16</v>
      </c>
      <c r="BZ14">
        <v>72257</v>
      </c>
      <c r="CA14">
        <f t="shared" si="27"/>
        <v>9</v>
      </c>
      <c r="CB14">
        <f t="shared" si="28"/>
        <v>2023</v>
      </c>
      <c r="CC14" t="str">
        <f t="shared" si="29"/>
        <v>2023-9</v>
      </c>
    </row>
    <row r="15" spans="1:119" x14ac:dyDescent="0.25">
      <c r="A15" t="s">
        <v>10</v>
      </c>
      <c r="B15" t="s">
        <v>29</v>
      </c>
      <c r="C15" t="s">
        <v>16</v>
      </c>
      <c r="D15">
        <v>79493</v>
      </c>
      <c r="E15">
        <v>5</v>
      </c>
      <c r="P15" t="s">
        <v>10</v>
      </c>
      <c r="Q15" t="s">
        <v>29</v>
      </c>
      <c r="R15">
        <v>5</v>
      </c>
      <c r="AI15" t="s">
        <v>29</v>
      </c>
      <c r="AJ15">
        <v>79493</v>
      </c>
      <c r="AK15" t="s">
        <v>26</v>
      </c>
      <c r="AL15">
        <f>COUNTIF(AI:AI,AK15)</f>
        <v>9</v>
      </c>
      <c r="AM15">
        <f>SUMIF(AI:AI,AK15,AJ:AJ)</f>
        <v>554460</v>
      </c>
      <c r="AP15" t="s">
        <v>10</v>
      </c>
      <c r="AQ15" t="s">
        <v>29</v>
      </c>
      <c r="AS15" t="s">
        <v>29</v>
      </c>
      <c r="AT15">
        <v>79493</v>
      </c>
      <c r="AU15">
        <f t="shared" si="8"/>
        <v>4</v>
      </c>
      <c r="AW15" t="s">
        <v>445</v>
      </c>
      <c r="AX15">
        <v>42749</v>
      </c>
      <c r="AY15">
        <f t="shared" si="9"/>
        <v>1</v>
      </c>
      <c r="BP15" t="s">
        <v>12</v>
      </c>
      <c r="BQ15" t="s">
        <v>130</v>
      </c>
      <c r="BR15">
        <f t="shared" si="23"/>
        <v>10</v>
      </c>
      <c r="BS15">
        <f t="shared" si="24"/>
        <v>2023</v>
      </c>
      <c r="BT15">
        <v>5</v>
      </c>
      <c r="BU15" t="str">
        <f t="shared" si="25"/>
        <v>2023-10</v>
      </c>
      <c r="BV15">
        <f t="shared" si="26"/>
        <v>0</v>
      </c>
      <c r="BX15" t="s">
        <v>10</v>
      </c>
      <c r="BY15" t="s">
        <v>16</v>
      </c>
      <c r="BZ15">
        <v>79493</v>
      </c>
      <c r="CA15">
        <f t="shared" si="27"/>
        <v>9</v>
      </c>
      <c r="CB15">
        <f t="shared" si="28"/>
        <v>2023</v>
      </c>
      <c r="CC15" t="str">
        <f t="shared" si="29"/>
        <v>2023-9</v>
      </c>
    </row>
    <row r="16" spans="1:119" x14ac:dyDescent="0.25">
      <c r="A16" t="s">
        <v>23</v>
      </c>
      <c r="B16" t="s">
        <v>30</v>
      </c>
      <c r="C16" t="s">
        <v>31</v>
      </c>
      <c r="D16">
        <v>43060</v>
      </c>
      <c r="E16">
        <v>5</v>
      </c>
      <c r="P16" t="s">
        <v>23</v>
      </c>
      <c r="Q16" t="s">
        <v>30</v>
      </c>
      <c r="R16">
        <v>5</v>
      </c>
      <c r="AI16" t="s">
        <v>30</v>
      </c>
      <c r="AJ16">
        <v>43060</v>
      </c>
      <c r="AK16" t="s">
        <v>18</v>
      </c>
      <c r="AL16">
        <f>COUNTIF(AI:AI,AK16)</f>
        <v>11</v>
      </c>
      <c r="AM16">
        <f>SUMIF(AI:AI,AK16,AJ:AJ)</f>
        <v>554220</v>
      </c>
      <c r="AP16" t="s">
        <v>23</v>
      </c>
      <c r="AQ16" t="s">
        <v>30</v>
      </c>
      <c r="AS16" t="s">
        <v>30</v>
      </c>
      <c r="AT16">
        <v>43060</v>
      </c>
      <c r="AU16">
        <f t="shared" si="8"/>
        <v>7</v>
      </c>
      <c r="AW16" t="s">
        <v>154</v>
      </c>
      <c r="AX16">
        <v>90135</v>
      </c>
      <c r="AY16">
        <f t="shared" si="9"/>
        <v>1</v>
      </c>
      <c r="BP16" t="s">
        <v>12</v>
      </c>
      <c r="BQ16" t="s">
        <v>141</v>
      </c>
      <c r="BR16">
        <f t="shared" si="23"/>
        <v>10</v>
      </c>
      <c r="BS16">
        <f t="shared" si="24"/>
        <v>2023</v>
      </c>
      <c r="BT16">
        <v>5</v>
      </c>
      <c r="BU16" t="str">
        <f t="shared" si="25"/>
        <v>2023-10</v>
      </c>
      <c r="BV16">
        <f t="shared" si="26"/>
        <v>0</v>
      </c>
      <c r="BX16" t="s">
        <v>23</v>
      </c>
      <c r="BY16" t="s">
        <v>31</v>
      </c>
      <c r="BZ16">
        <v>43060</v>
      </c>
      <c r="CA16">
        <f t="shared" si="27"/>
        <v>9</v>
      </c>
      <c r="CB16">
        <f t="shared" si="28"/>
        <v>2023</v>
      </c>
      <c r="CC16" t="str">
        <f t="shared" si="29"/>
        <v>2023-9</v>
      </c>
    </row>
    <row r="17" spans="1:110" x14ac:dyDescent="0.25">
      <c r="A17" t="s">
        <v>32</v>
      </c>
      <c r="B17" t="s">
        <v>28</v>
      </c>
      <c r="C17" t="s">
        <v>31</v>
      </c>
      <c r="D17">
        <v>65995</v>
      </c>
      <c r="E17">
        <v>4</v>
      </c>
      <c r="P17" t="s">
        <v>32</v>
      </c>
      <c r="Q17" t="s">
        <v>28</v>
      </c>
      <c r="R17">
        <v>4</v>
      </c>
      <c r="AI17" t="s">
        <v>28</v>
      </c>
      <c r="AJ17">
        <v>65995</v>
      </c>
      <c r="AK17" t="s">
        <v>214</v>
      </c>
      <c r="AL17">
        <f>COUNTIF(AI:AI,AK17)</f>
        <v>7</v>
      </c>
      <c r="AM17">
        <f>SUMIF(AI:AI,AK17,AJ:AJ)</f>
        <v>551563</v>
      </c>
      <c r="AP17" t="s">
        <v>32</v>
      </c>
      <c r="AQ17" t="s">
        <v>28</v>
      </c>
      <c r="AS17" t="s">
        <v>34</v>
      </c>
      <c r="AT17">
        <v>86555</v>
      </c>
      <c r="AU17">
        <f t="shared" si="8"/>
        <v>4</v>
      </c>
      <c r="AW17" t="s">
        <v>434</v>
      </c>
      <c r="AX17">
        <v>62214</v>
      </c>
      <c r="AY17">
        <f t="shared" si="9"/>
        <v>1</v>
      </c>
      <c r="BP17" t="s">
        <v>12</v>
      </c>
      <c r="BQ17" t="s">
        <v>149</v>
      </c>
      <c r="BR17">
        <f t="shared" si="23"/>
        <v>10</v>
      </c>
      <c r="BS17">
        <f t="shared" si="24"/>
        <v>2023</v>
      </c>
      <c r="BT17">
        <v>4</v>
      </c>
      <c r="BU17" t="str">
        <f t="shared" si="25"/>
        <v>2023-10</v>
      </c>
      <c r="BV17">
        <f t="shared" si="26"/>
        <v>0</v>
      </c>
      <c r="BX17" t="s">
        <v>32</v>
      </c>
      <c r="BY17" t="s">
        <v>31</v>
      </c>
      <c r="BZ17">
        <v>65995</v>
      </c>
      <c r="CA17">
        <f t="shared" si="27"/>
        <v>9</v>
      </c>
      <c r="CB17">
        <f t="shared" si="28"/>
        <v>2023</v>
      </c>
      <c r="CC17" t="str">
        <f t="shared" si="29"/>
        <v>2023-9</v>
      </c>
    </row>
    <row r="18" spans="1:110" x14ac:dyDescent="0.25">
      <c r="A18" t="s">
        <v>33</v>
      </c>
      <c r="B18" t="s">
        <v>34</v>
      </c>
      <c r="C18" t="s">
        <v>31</v>
      </c>
      <c r="D18">
        <v>86555</v>
      </c>
      <c r="E18">
        <v>6</v>
      </c>
      <c r="P18" t="s">
        <v>33</v>
      </c>
      <c r="Q18" t="s">
        <v>34</v>
      </c>
      <c r="R18">
        <v>6</v>
      </c>
      <c r="AI18" t="s">
        <v>34</v>
      </c>
      <c r="AJ18">
        <v>86555</v>
      </c>
      <c r="AK18" t="s">
        <v>72</v>
      </c>
      <c r="AL18">
        <f>COUNTIF(AI:AI,AK18)</f>
        <v>10</v>
      </c>
      <c r="AM18">
        <f>SUMIF(AI:AI,AK18,AJ:AJ)</f>
        <v>551471</v>
      </c>
      <c r="AP18" t="s">
        <v>33</v>
      </c>
      <c r="AQ18" t="s">
        <v>34</v>
      </c>
      <c r="AS18" t="s">
        <v>35</v>
      </c>
      <c r="AT18">
        <v>30722</v>
      </c>
      <c r="AU18">
        <f t="shared" si="8"/>
        <v>6</v>
      </c>
      <c r="AW18" t="s">
        <v>361</v>
      </c>
      <c r="AX18">
        <v>51719</v>
      </c>
      <c r="AY18">
        <f t="shared" si="9"/>
        <v>1</v>
      </c>
      <c r="BP18" t="s">
        <v>12</v>
      </c>
      <c r="BQ18" t="s">
        <v>153</v>
      </c>
      <c r="BR18">
        <f t="shared" si="23"/>
        <v>10</v>
      </c>
      <c r="BS18">
        <f t="shared" si="24"/>
        <v>2023</v>
      </c>
      <c r="BT18">
        <v>6</v>
      </c>
      <c r="BU18" t="str">
        <f t="shared" si="25"/>
        <v>2023-10</v>
      </c>
      <c r="BV18">
        <f t="shared" si="26"/>
        <v>0</v>
      </c>
      <c r="BX18" t="s">
        <v>33</v>
      </c>
      <c r="BY18" t="s">
        <v>31</v>
      </c>
      <c r="BZ18">
        <v>86555</v>
      </c>
      <c r="CA18">
        <f t="shared" si="27"/>
        <v>9</v>
      </c>
      <c r="CB18">
        <f t="shared" si="28"/>
        <v>2023</v>
      </c>
      <c r="CC18" t="str">
        <f t="shared" si="29"/>
        <v>2023-9</v>
      </c>
    </row>
    <row r="19" spans="1:110" x14ac:dyDescent="0.25">
      <c r="A19" t="s">
        <v>17</v>
      </c>
      <c r="B19" t="s">
        <v>35</v>
      </c>
      <c r="C19" t="s">
        <v>31</v>
      </c>
      <c r="D19">
        <v>30722</v>
      </c>
      <c r="E19">
        <v>5</v>
      </c>
      <c r="P19" t="s">
        <v>17</v>
      </c>
      <c r="Q19" t="s">
        <v>35</v>
      </c>
      <c r="R19">
        <v>5</v>
      </c>
      <c r="AI19" t="s">
        <v>35</v>
      </c>
      <c r="AJ19">
        <v>30722</v>
      </c>
      <c r="AK19" t="s">
        <v>120</v>
      </c>
      <c r="AL19">
        <f>COUNTIF(AI:AI,AK19)</f>
        <v>8</v>
      </c>
      <c r="AM19">
        <f>SUMIF(AI:AI,AK19,AJ:AJ)</f>
        <v>545104</v>
      </c>
      <c r="AP19" t="s">
        <v>17</v>
      </c>
      <c r="AQ19" t="s">
        <v>35</v>
      </c>
      <c r="AS19" t="s">
        <v>37</v>
      </c>
      <c r="AT19">
        <v>13331</v>
      </c>
      <c r="AU19">
        <f t="shared" si="8"/>
        <v>5</v>
      </c>
      <c r="BP19" t="s">
        <v>12</v>
      </c>
      <c r="BQ19" t="s">
        <v>153</v>
      </c>
      <c r="BR19">
        <f t="shared" si="23"/>
        <v>10</v>
      </c>
      <c r="BS19">
        <f t="shared" si="24"/>
        <v>2023</v>
      </c>
      <c r="BT19">
        <v>5</v>
      </c>
      <c r="BU19" t="str">
        <f t="shared" si="25"/>
        <v>2023-10</v>
      </c>
      <c r="BV19">
        <f t="shared" si="26"/>
        <v>0</v>
      </c>
      <c r="BX19" t="s">
        <v>17</v>
      </c>
      <c r="BY19" t="s">
        <v>31</v>
      </c>
      <c r="BZ19">
        <v>30722</v>
      </c>
      <c r="CA19">
        <f t="shared" si="27"/>
        <v>9</v>
      </c>
      <c r="CB19">
        <f t="shared" si="28"/>
        <v>2023</v>
      </c>
      <c r="CC19" t="str">
        <f t="shared" si="29"/>
        <v>2023-9</v>
      </c>
    </row>
    <row r="20" spans="1:110" x14ac:dyDescent="0.25">
      <c r="A20" t="s">
        <v>36</v>
      </c>
      <c r="B20" t="s">
        <v>37</v>
      </c>
      <c r="C20" t="s">
        <v>38</v>
      </c>
      <c r="D20">
        <v>13331</v>
      </c>
      <c r="E20">
        <v>10</v>
      </c>
      <c r="P20" t="s">
        <v>36</v>
      </c>
      <c r="Q20" t="s">
        <v>37</v>
      </c>
      <c r="R20">
        <v>10</v>
      </c>
      <c r="AI20" t="s">
        <v>37</v>
      </c>
      <c r="AJ20">
        <v>13331</v>
      </c>
      <c r="AK20" t="s">
        <v>93</v>
      </c>
      <c r="AL20">
        <f>COUNTIF(AI:AI,AK20)</f>
        <v>8</v>
      </c>
      <c r="AM20">
        <f>SUMIF(AI:AI,AK20,AJ:AJ)</f>
        <v>527007</v>
      </c>
      <c r="AP20" t="s">
        <v>36</v>
      </c>
      <c r="AQ20" t="s">
        <v>37</v>
      </c>
      <c r="AS20" t="s">
        <v>39</v>
      </c>
      <c r="AT20">
        <v>82207</v>
      </c>
      <c r="AU20">
        <f t="shared" si="8"/>
        <v>4</v>
      </c>
      <c r="BP20" t="s">
        <v>12</v>
      </c>
      <c r="BQ20" t="s">
        <v>159</v>
      </c>
      <c r="BR20">
        <f t="shared" si="23"/>
        <v>10</v>
      </c>
      <c r="BS20">
        <f t="shared" si="24"/>
        <v>2023</v>
      </c>
      <c r="BT20">
        <v>10</v>
      </c>
      <c r="BU20" t="str">
        <f t="shared" si="25"/>
        <v>2023-10</v>
      </c>
      <c r="BV20">
        <f t="shared" si="26"/>
        <v>2</v>
      </c>
      <c r="BX20" t="s">
        <v>36</v>
      </c>
      <c r="BY20" t="s">
        <v>38</v>
      </c>
      <c r="BZ20">
        <v>13331</v>
      </c>
      <c r="CA20">
        <f t="shared" si="27"/>
        <v>9</v>
      </c>
      <c r="CB20">
        <f t="shared" si="28"/>
        <v>2023</v>
      </c>
      <c r="CC20" t="str">
        <f t="shared" si="29"/>
        <v>2023-9</v>
      </c>
    </row>
    <row r="21" spans="1:110" x14ac:dyDescent="0.25">
      <c r="A21" t="s">
        <v>5</v>
      </c>
      <c r="B21" t="s">
        <v>39</v>
      </c>
      <c r="C21" t="s">
        <v>38</v>
      </c>
      <c r="D21">
        <v>82207</v>
      </c>
      <c r="E21">
        <v>9</v>
      </c>
      <c r="P21" t="s">
        <v>5</v>
      </c>
      <c r="Q21" t="s">
        <v>39</v>
      </c>
      <c r="R21">
        <v>9</v>
      </c>
      <c r="AI21" t="s">
        <v>39</v>
      </c>
      <c r="AJ21">
        <v>82207</v>
      </c>
      <c r="AK21" t="s">
        <v>19</v>
      </c>
      <c r="AL21">
        <f>COUNTIF(AI:AI,AK21)</f>
        <v>10</v>
      </c>
      <c r="AM21">
        <f>SUMIF(AI:AI,AK21,AJ:AJ)</f>
        <v>523478</v>
      </c>
      <c r="AP21" t="s">
        <v>5</v>
      </c>
      <c r="AQ21" t="s">
        <v>39</v>
      </c>
      <c r="AS21" t="s">
        <v>41</v>
      </c>
      <c r="AT21">
        <v>20721</v>
      </c>
      <c r="AU21">
        <f t="shared" si="8"/>
        <v>7</v>
      </c>
      <c r="BP21" t="s">
        <v>12</v>
      </c>
      <c r="BQ21" t="s">
        <v>160</v>
      </c>
      <c r="BR21">
        <f t="shared" si="23"/>
        <v>11</v>
      </c>
      <c r="BS21">
        <f t="shared" si="24"/>
        <v>2023</v>
      </c>
      <c r="BT21">
        <v>9</v>
      </c>
      <c r="BU21" t="str">
        <f t="shared" si="25"/>
        <v>2023-11</v>
      </c>
      <c r="BV21">
        <f t="shared" si="26"/>
        <v>2</v>
      </c>
      <c r="BX21" t="s">
        <v>5</v>
      </c>
      <c r="BY21" t="s">
        <v>38</v>
      </c>
      <c r="BZ21">
        <v>82207</v>
      </c>
      <c r="CA21">
        <f t="shared" si="27"/>
        <v>9</v>
      </c>
      <c r="CB21">
        <f t="shared" si="28"/>
        <v>2023</v>
      </c>
      <c r="CC21" t="str">
        <f t="shared" si="29"/>
        <v>2023-9</v>
      </c>
    </row>
    <row r="22" spans="1:110" x14ac:dyDescent="0.25">
      <c r="A22" t="s">
        <v>10</v>
      </c>
      <c r="B22" t="s">
        <v>6</v>
      </c>
      <c r="C22" t="s">
        <v>38</v>
      </c>
      <c r="D22">
        <v>51891</v>
      </c>
      <c r="E22">
        <v>7</v>
      </c>
      <c r="P22" t="s">
        <v>10</v>
      </c>
      <c r="Q22" t="s">
        <v>6</v>
      </c>
      <c r="R22">
        <v>7</v>
      </c>
      <c r="AI22" t="s">
        <v>6</v>
      </c>
      <c r="AJ22">
        <v>51891</v>
      </c>
      <c r="AK22" t="s">
        <v>44</v>
      </c>
      <c r="AL22">
        <f>COUNTIF(AI:AI,AK22)</f>
        <v>8</v>
      </c>
      <c r="AM22">
        <f>SUMIF(AI:AI,AK22,AJ:AJ)</f>
        <v>489730</v>
      </c>
      <c r="AP22" t="s">
        <v>10</v>
      </c>
      <c r="AQ22" t="s">
        <v>6</v>
      </c>
      <c r="AS22" t="s">
        <v>42</v>
      </c>
      <c r="AT22">
        <v>14427</v>
      </c>
      <c r="AU22">
        <f t="shared" si="8"/>
        <v>7</v>
      </c>
      <c r="BP22" t="s">
        <v>12</v>
      </c>
      <c r="BQ22" t="s">
        <v>172</v>
      </c>
      <c r="BR22">
        <f>MONTH(BQ22)</f>
        <v>11</v>
      </c>
      <c r="BS22">
        <f t="shared" si="24"/>
        <v>2023</v>
      </c>
      <c r="BT22">
        <v>7</v>
      </c>
      <c r="BU22" t="str">
        <f t="shared" si="25"/>
        <v>2023-11</v>
      </c>
      <c r="BV22">
        <f t="shared" si="26"/>
        <v>1</v>
      </c>
      <c r="BX22" t="s">
        <v>10</v>
      </c>
      <c r="BY22" t="s">
        <v>38</v>
      </c>
      <c r="BZ22">
        <v>51891</v>
      </c>
      <c r="CA22">
        <f t="shared" si="27"/>
        <v>9</v>
      </c>
      <c r="CB22">
        <f t="shared" si="28"/>
        <v>2023</v>
      </c>
      <c r="CC22" t="str">
        <f t="shared" si="29"/>
        <v>2023-9</v>
      </c>
      <c r="DB22" t="s">
        <v>506</v>
      </c>
    </row>
    <row r="23" spans="1:110" x14ac:dyDescent="0.25">
      <c r="A23" t="s">
        <v>10</v>
      </c>
      <c r="B23" t="s">
        <v>28</v>
      </c>
      <c r="C23" t="s">
        <v>40</v>
      </c>
      <c r="D23">
        <v>41044</v>
      </c>
      <c r="E23">
        <v>4</v>
      </c>
      <c r="P23" t="s">
        <v>10</v>
      </c>
      <c r="Q23" t="s">
        <v>28</v>
      </c>
      <c r="R23">
        <v>4</v>
      </c>
      <c r="AI23" t="s">
        <v>28</v>
      </c>
      <c r="AJ23">
        <v>41044</v>
      </c>
      <c r="AK23" t="s">
        <v>269</v>
      </c>
      <c r="AL23">
        <f>COUNTIF(AI:AI,AK23)</f>
        <v>6</v>
      </c>
      <c r="AM23">
        <f>SUMIF(AI:AI,AK23,AJ:AJ)</f>
        <v>484845</v>
      </c>
      <c r="AP23" t="s">
        <v>10</v>
      </c>
      <c r="AQ23" t="s">
        <v>28</v>
      </c>
      <c r="AS23" t="s">
        <v>44</v>
      </c>
      <c r="AT23">
        <v>38155</v>
      </c>
      <c r="AU23">
        <f t="shared" si="8"/>
        <v>5</v>
      </c>
      <c r="BP23" t="s">
        <v>12</v>
      </c>
      <c r="BQ23" t="s">
        <v>194</v>
      </c>
      <c r="BR23">
        <f t="shared" ref="BR23:BR86" si="31">MONTH(BQ23)</f>
        <v>11</v>
      </c>
      <c r="BS23">
        <f t="shared" si="24"/>
        <v>2023</v>
      </c>
      <c r="BT23">
        <v>4</v>
      </c>
      <c r="BU23" t="str">
        <f t="shared" si="25"/>
        <v>2023-11</v>
      </c>
      <c r="BV23">
        <f t="shared" si="26"/>
        <v>0</v>
      </c>
      <c r="BX23" t="s">
        <v>10</v>
      </c>
      <c r="BY23" t="s">
        <v>40</v>
      </c>
      <c r="BZ23">
        <v>41044</v>
      </c>
      <c r="CA23">
        <f t="shared" si="27"/>
        <v>9</v>
      </c>
      <c r="CB23">
        <f t="shared" si="28"/>
        <v>2023</v>
      </c>
      <c r="CC23" t="str">
        <f t="shared" si="29"/>
        <v>2023-9</v>
      </c>
    </row>
    <row r="24" spans="1:110" x14ac:dyDescent="0.25">
      <c r="A24" t="s">
        <v>27</v>
      </c>
      <c r="B24" t="s">
        <v>34</v>
      </c>
      <c r="C24" t="s">
        <v>40</v>
      </c>
      <c r="D24">
        <v>26719</v>
      </c>
      <c r="E24">
        <v>7</v>
      </c>
      <c r="P24" t="s">
        <v>27</v>
      </c>
      <c r="Q24" t="s">
        <v>34</v>
      </c>
      <c r="R24">
        <v>7</v>
      </c>
      <c r="AI24" t="s">
        <v>34</v>
      </c>
      <c r="AJ24">
        <v>26719</v>
      </c>
      <c r="AK24" t="s">
        <v>266</v>
      </c>
      <c r="AL24">
        <f>COUNTIF(AI:AI,AK24)</f>
        <v>6</v>
      </c>
      <c r="AM24">
        <f>SUMIF(AI:AI,AK24,AJ:AJ)</f>
        <v>482059</v>
      </c>
      <c r="AP24" t="s">
        <v>27</v>
      </c>
      <c r="AQ24" t="s">
        <v>34</v>
      </c>
      <c r="AS24" t="s">
        <v>45</v>
      </c>
      <c r="AT24">
        <v>24177</v>
      </c>
      <c r="AU24">
        <f t="shared" si="8"/>
        <v>5</v>
      </c>
      <c r="BP24" t="s">
        <v>12</v>
      </c>
      <c r="BQ24" t="s">
        <v>194</v>
      </c>
      <c r="BR24">
        <f t="shared" si="31"/>
        <v>11</v>
      </c>
      <c r="BS24">
        <f t="shared" si="24"/>
        <v>2023</v>
      </c>
      <c r="BT24">
        <v>7</v>
      </c>
      <c r="BU24" t="str">
        <f t="shared" si="25"/>
        <v>2023-11</v>
      </c>
      <c r="BV24">
        <f t="shared" si="26"/>
        <v>1</v>
      </c>
      <c r="BX24" t="s">
        <v>27</v>
      </c>
      <c r="BY24" t="s">
        <v>40</v>
      </c>
      <c r="BZ24">
        <v>26719</v>
      </c>
      <c r="CA24">
        <f t="shared" si="27"/>
        <v>9</v>
      </c>
      <c r="CB24">
        <f t="shared" si="28"/>
        <v>2023</v>
      </c>
      <c r="CC24" t="str">
        <f t="shared" si="29"/>
        <v>2023-9</v>
      </c>
    </row>
    <row r="25" spans="1:110" x14ac:dyDescent="0.25">
      <c r="A25" t="s">
        <v>5</v>
      </c>
      <c r="B25" t="s">
        <v>41</v>
      </c>
      <c r="C25" t="s">
        <v>40</v>
      </c>
      <c r="D25">
        <v>20721</v>
      </c>
      <c r="E25">
        <v>8</v>
      </c>
      <c r="P25" t="s">
        <v>5</v>
      </c>
      <c r="Q25" t="s">
        <v>41</v>
      </c>
      <c r="R25">
        <v>8</v>
      </c>
      <c r="AI25" t="s">
        <v>41</v>
      </c>
      <c r="AJ25">
        <v>20721</v>
      </c>
      <c r="AK25" t="s">
        <v>132</v>
      </c>
      <c r="AL25">
        <f>COUNTIF(AI:AI,AK25)</f>
        <v>8</v>
      </c>
      <c r="AM25">
        <f>SUMIF(AI:AI,AK25,AJ:AJ)</f>
        <v>467448</v>
      </c>
      <c r="AP25" t="s">
        <v>5</v>
      </c>
      <c r="AQ25" t="s">
        <v>41</v>
      </c>
      <c r="AS25" t="s">
        <v>46</v>
      </c>
      <c r="AT25">
        <v>66960</v>
      </c>
      <c r="AU25">
        <f t="shared" si="8"/>
        <v>4</v>
      </c>
      <c r="BP25" t="s">
        <v>12</v>
      </c>
      <c r="BQ25" t="s">
        <v>200</v>
      </c>
      <c r="BR25">
        <f t="shared" si="31"/>
        <v>11</v>
      </c>
      <c r="BS25">
        <f t="shared" si="24"/>
        <v>2023</v>
      </c>
      <c r="BT25">
        <v>8</v>
      </c>
      <c r="BU25" t="str">
        <f t="shared" si="25"/>
        <v>2023-11</v>
      </c>
      <c r="BV25">
        <f t="shared" si="26"/>
        <v>1</v>
      </c>
      <c r="BX25" t="s">
        <v>5</v>
      </c>
      <c r="BY25" t="s">
        <v>40</v>
      </c>
      <c r="BZ25">
        <v>20721</v>
      </c>
      <c r="CA25">
        <f t="shared" si="27"/>
        <v>9</v>
      </c>
      <c r="CB25">
        <f t="shared" si="28"/>
        <v>2023</v>
      </c>
      <c r="CC25" t="str">
        <f t="shared" si="29"/>
        <v>2023-9</v>
      </c>
    </row>
    <row r="26" spans="1:110" x14ac:dyDescent="0.25">
      <c r="A26" t="s">
        <v>27</v>
      </c>
      <c r="B26" t="s">
        <v>42</v>
      </c>
      <c r="C26" t="s">
        <v>40</v>
      </c>
      <c r="D26">
        <v>14427</v>
      </c>
      <c r="E26">
        <v>5</v>
      </c>
      <c r="P26" t="s">
        <v>27</v>
      </c>
      <c r="Q26" t="s">
        <v>42</v>
      </c>
      <c r="R26">
        <v>5</v>
      </c>
      <c r="AI26" t="s">
        <v>42</v>
      </c>
      <c r="AJ26">
        <v>14427</v>
      </c>
      <c r="AK26" t="s">
        <v>180</v>
      </c>
      <c r="AL26">
        <f>COUNTIF(AI:AI,AK26)</f>
        <v>9</v>
      </c>
      <c r="AM26">
        <f>SUMIF(AI:AI,AK26,AJ:AJ)</f>
        <v>465428</v>
      </c>
      <c r="AP26" t="s">
        <v>27</v>
      </c>
      <c r="AQ26" t="s">
        <v>42</v>
      </c>
      <c r="AS26" t="s">
        <v>47</v>
      </c>
      <c r="AT26">
        <v>98421</v>
      </c>
      <c r="AU26">
        <f t="shared" si="8"/>
        <v>7</v>
      </c>
      <c r="BP26" t="s">
        <v>12</v>
      </c>
      <c r="BQ26" t="s">
        <v>201</v>
      </c>
      <c r="BR26">
        <f t="shared" si="31"/>
        <v>11</v>
      </c>
      <c r="BS26">
        <f t="shared" si="24"/>
        <v>2023</v>
      </c>
      <c r="BT26">
        <v>5</v>
      </c>
      <c r="BU26" t="str">
        <f t="shared" si="25"/>
        <v>2023-11</v>
      </c>
      <c r="BV26">
        <f t="shared" si="26"/>
        <v>0</v>
      </c>
      <c r="BX26" t="s">
        <v>27</v>
      </c>
      <c r="BY26" t="s">
        <v>40</v>
      </c>
      <c r="BZ26">
        <v>14427</v>
      </c>
      <c r="CA26">
        <f t="shared" si="27"/>
        <v>9</v>
      </c>
      <c r="CB26">
        <f t="shared" si="28"/>
        <v>2023</v>
      </c>
      <c r="CC26" t="str">
        <f t="shared" si="29"/>
        <v>2023-9</v>
      </c>
    </row>
    <row r="27" spans="1:110" x14ac:dyDescent="0.25">
      <c r="A27" t="s">
        <v>27</v>
      </c>
      <c r="B27" t="s">
        <v>11</v>
      </c>
      <c r="C27" t="s">
        <v>43</v>
      </c>
      <c r="D27">
        <v>78056</v>
      </c>
      <c r="E27">
        <v>6</v>
      </c>
      <c r="P27" t="s">
        <v>27</v>
      </c>
      <c r="Q27" t="s">
        <v>11</v>
      </c>
      <c r="R27">
        <v>6</v>
      </c>
      <c r="AI27" t="s">
        <v>11</v>
      </c>
      <c r="AJ27">
        <v>78056</v>
      </c>
      <c r="AK27" t="s">
        <v>89</v>
      </c>
      <c r="AL27">
        <f>COUNTIF(AI:AI,AK27)</f>
        <v>7</v>
      </c>
      <c r="AM27">
        <f>SUMIF(AI:AI,AK27,AJ:AJ)</f>
        <v>460442</v>
      </c>
      <c r="AP27" t="s">
        <v>27</v>
      </c>
      <c r="AQ27" t="s">
        <v>11</v>
      </c>
      <c r="AS27" t="s">
        <v>48</v>
      </c>
      <c r="AT27">
        <v>76797</v>
      </c>
      <c r="AU27">
        <f t="shared" si="8"/>
        <v>5</v>
      </c>
      <c r="BE27" t="s">
        <v>506</v>
      </c>
      <c r="BP27" t="s">
        <v>12</v>
      </c>
      <c r="BQ27" t="s">
        <v>211</v>
      </c>
      <c r="BR27">
        <f t="shared" si="31"/>
        <v>12</v>
      </c>
      <c r="BS27">
        <f t="shared" si="24"/>
        <v>2023</v>
      </c>
      <c r="BT27">
        <v>6</v>
      </c>
      <c r="BU27" t="str">
        <f t="shared" si="25"/>
        <v>2023-12</v>
      </c>
      <c r="BV27">
        <f t="shared" si="26"/>
        <v>0</v>
      </c>
      <c r="BX27" t="s">
        <v>27</v>
      </c>
      <c r="BY27" t="s">
        <v>43</v>
      </c>
      <c r="BZ27">
        <v>78056</v>
      </c>
      <c r="CA27">
        <f t="shared" si="27"/>
        <v>9</v>
      </c>
      <c r="CB27">
        <f t="shared" si="28"/>
        <v>2023</v>
      </c>
      <c r="CC27" t="str">
        <f t="shared" si="29"/>
        <v>2023-9</v>
      </c>
    </row>
    <row r="28" spans="1:110" x14ac:dyDescent="0.25">
      <c r="A28" t="s">
        <v>23</v>
      </c>
      <c r="B28" t="s">
        <v>44</v>
      </c>
      <c r="C28" t="s">
        <v>43</v>
      </c>
      <c r="D28">
        <v>38155</v>
      </c>
      <c r="E28">
        <v>6</v>
      </c>
      <c r="P28" t="s">
        <v>23</v>
      </c>
      <c r="Q28" t="s">
        <v>44</v>
      </c>
      <c r="R28">
        <v>6</v>
      </c>
      <c r="AI28" t="s">
        <v>44</v>
      </c>
      <c r="AJ28">
        <v>38155</v>
      </c>
      <c r="AK28" t="s">
        <v>69</v>
      </c>
      <c r="AL28">
        <f>COUNTIF(AI:AI,AK28)</f>
        <v>8</v>
      </c>
      <c r="AM28">
        <f>SUMIF(AI:AI,AK28,AJ:AJ)</f>
        <v>437533</v>
      </c>
      <c r="AP28" t="s">
        <v>23</v>
      </c>
      <c r="AQ28" t="s">
        <v>44</v>
      </c>
      <c r="AS28" t="s">
        <v>50</v>
      </c>
      <c r="AT28">
        <v>74012</v>
      </c>
      <c r="AU28">
        <f t="shared" si="8"/>
        <v>4</v>
      </c>
      <c r="BP28" t="s">
        <v>12</v>
      </c>
      <c r="BQ28" t="s">
        <v>211</v>
      </c>
      <c r="BR28">
        <f t="shared" si="31"/>
        <v>12</v>
      </c>
      <c r="BS28">
        <f t="shared" si="24"/>
        <v>2023</v>
      </c>
      <c r="BT28">
        <v>6</v>
      </c>
      <c r="BU28" t="str">
        <f t="shared" si="25"/>
        <v>2023-12</v>
      </c>
      <c r="BV28">
        <f t="shared" si="26"/>
        <v>0</v>
      </c>
      <c r="BX28" t="s">
        <v>23</v>
      </c>
      <c r="BY28" t="s">
        <v>43</v>
      </c>
      <c r="BZ28">
        <v>38155</v>
      </c>
      <c r="CA28">
        <f t="shared" si="27"/>
        <v>9</v>
      </c>
      <c r="CB28">
        <f t="shared" si="28"/>
        <v>2023</v>
      </c>
      <c r="CC28" t="str">
        <f t="shared" si="29"/>
        <v>2023-9</v>
      </c>
    </row>
    <row r="29" spans="1:110" x14ac:dyDescent="0.25">
      <c r="A29" t="s">
        <v>14</v>
      </c>
      <c r="B29" t="s">
        <v>45</v>
      </c>
      <c r="C29" t="s">
        <v>43</v>
      </c>
      <c r="D29">
        <v>24177</v>
      </c>
      <c r="E29">
        <v>6</v>
      </c>
      <c r="P29" t="s">
        <v>14</v>
      </c>
      <c r="Q29" t="s">
        <v>45</v>
      </c>
      <c r="R29">
        <v>6</v>
      </c>
      <c r="AI29" t="s">
        <v>45</v>
      </c>
      <c r="AJ29">
        <v>24177</v>
      </c>
      <c r="AK29" t="s">
        <v>52</v>
      </c>
      <c r="AL29">
        <f>COUNTIF(AI:AI,AK29)</f>
        <v>6</v>
      </c>
      <c r="AM29">
        <f>SUMIF(AI:AI,AK29,AJ:AJ)</f>
        <v>431258</v>
      </c>
      <c r="AP29" t="s">
        <v>14</v>
      </c>
      <c r="AQ29" t="s">
        <v>45</v>
      </c>
      <c r="AS29" t="s">
        <v>51</v>
      </c>
      <c r="AT29">
        <v>14308</v>
      </c>
      <c r="AU29">
        <f t="shared" si="8"/>
        <v>6</v>
      </c>
      <c r="BP29" t="s">
        <v>12</v>
      </c>
      <c r="BQ29" t="s">
        <v>219</v>
      </c>
      <c r="BR29">
        <f t="shared" si="31"/>
        <v>12</v>
      </c>
      <c r="BS29">
        <f t="shared" si="24"/>
        <v>2023</v>
      </c>
      <c r="BT29">
        <v>6</v>
      </c>
      <c r="BU29" t="str">
        <f t="shared" si="25"/>
        <v>2023-12</v>
      </c>
      <c r="BV29">
        <f t="shared" si="26"/>
        <v>0</v>
      </c>
      <c r="BX29" t="s">
        <v>14</v>
      </c>
      <c r="BY29" t="s">
        <v>43</v>
      </c>
      <c r="BZ29">
        <v>24177</v>
      </c>
      <c r="CA29">
        <f t="shared" si="27"/>
        <v>9</v>
      </c>
      <c r="CB29">
        <f t="shared" si="28"/>
        <v>2023</v>
      </c>
      <c r="CC29" t="str">
        <f t="shared" si="29"/>
        <v>2023-9</v>
      </c>
    </row>
    <row r="30" spans="1:110" x14ac:dyDescent="0.25">
      <c r="A30" t="s">
        <v>14</v>
      </c>
      <c r="B30" t="s">
        <v>46</v>
      </c>
      <c r="C30" t="s">
        <v>43</v>
      </c>
      <c r="D30">
        <v>66960</v>
      </c>
      <c r="E30">
        <v>4</v>
      </c>
      <c r="P30" t="s">
        <v>14</v>
      </c>
      <c r="Q30" t="s">
        <v>46</v>
      </c>
      <c r="R30">
        <v>4</v>
      </c>
      <c r="AI30" t="s">
        <v>46</v>
      </c>
      <c r="AJ30">
        <v>66960</v>
      </c>
      <c r="AK30" t="s">
        <v>256</v>
      </c>
      <c r="AL30">
        <f>COUNTIF(AI:AI,AK30)</f>
        <v>8</v>
      </c>
      <c r="AM30">
        <f>SUMIF(AI:AI,AK30,AJ:AJ)</f>
        <v>427332</v>
      </c>
      <c r="AP30" t="s">
        <v>14</v>
      </c>
      <c r="AQ30" t="s">
        <v>46</v>
      </c>
      <c r="AS30" t="s">
        <v>52</v>
      </c>
      <c r="AT30">
        <v>73719</v>
      </c>
      <c r="AU30">
        <f t="shared" si="8"/>
        <v>5</v>
      </c>
      <c r="BP30" t="s">
        <v>12</v>
      </c>
      <c r="BQ30" t="s">
        <v>224</v>
      </c>
      <c r="BR30">
        <f t="shared" si="31"/>
        <v>12</v>
      </c>
      <c r="BS30">
        <f t="shared" si="24"/>
        <v>2023</v>
      </c>
      <c r="BT30">
        <v>4</v>
      </c>
      <c r="BU30" t="str">
        <f t="shared" si="25"/>
        <v>2023-12</v>
      </c>
      <c r="BV30">
        <f t="shared" si="26"/>
        <v>0</v>
      </c>
      <c r="BX30" t="s">
        <v>14</v>
      </c>
      <c r="BY30" t="s">
        <v>43</v>
      </c>
      <c r="BZ30">
        <v>66960</v>
      </c>
      <c r="CA30">
        <f t="shared" si="27"/>
        <v>9</v>
      </c>
      <c r="CB30">
        <f t="shared" si="28"/>
        <v>2023</v>
      </c>
      <c r="CC30" t="str">
        <f t="shared" si="29"/>
        <v>2023-9</v>
      </c>
    </row>
    <row r="31" spans="1:110" x14ac:dyDescent="0.25">
      <c r="A31" t="s">
        <v>23</v>
      </c>
      <c r="B31" t="s">
        <v>47</v>
      </c>
      <c r="C31" t="s">
        <v>43</v>
      </c>
      <c r="D31">
        <v>98421</v>
      </c>
      <c r="E31">
        <v>6</v>
      </c>
      <c r="P31" t="s">
        <v>23</v>
      </c>
      <c r="Q31" t="s">
        <v>47</v>
      </c>
      <c r="R31">
        <v>6</v>
      </c>
      <c r="AI31" t="s">
        <v>47</v>
      </c>
      <c r="AJ31">
        <v>98421</v>
      </c>
      <c r="AK31" t="s">
        <v>247</v>
      </c>
      <c r="AL31">
        <f>COUNTIF(AI:AI,AK31)</f>
        <v>6</v>
      </c>
      <c r="AM31">
        <f>SUMIF(AI:AI,AK31,AJ:AJ)</f>
        <v>423843</v>
      </c>
      <c r="AP31" t="s">
        <v>23</v>
      </c>
      <c r="AQ31" t="s">
        <v>47</v>
      </c>
      <c r="AS31" t="s">
        <v>53</v>
      </c>
      <c r="AT31">
        <v>98033</v>
      </c>
      <c r="AU31">
        <f t="shared" si="8"/>
        <v>10</v>
      </c>
      <c r="BP31" t="s">
        <v>12</v>
      </c>
      <c r="BQ31" t="s">
        <v>227</v>
      </c>
      <c r="BR31">
        <f t="shared" si="31"/>
        <v>12</v>
      </c>
      <c r="BS31">
        <f t="shared" si="24"/>
        <v>2023</v>
      </c>
      <c r="BT31">
        <v>6</v>
      </c>
      <c r="BU31" t="str">
        <f t="shared" si="25"/>
        <v>2023-12</v>
      </c>
      <c r="BV31">
        <f t="shared" si="26"/>
        <v>0</v>
      </c>
      <c r="BX31" t="s">
        <v>23</v>
      </c>
      <c r="BY31" t="s">
        <v>43</v>
      </c>
      <c r="BZ31">
        <v>98421</v>
      </c>
      <c r="CA31">
        <f t="shared" si="27"/>
        <v>9</v>
      </c>
      <c r="CB31">
        <f t="shared" si="28"/>
        <v>2023</v>
      </c>
      <c r="CC31" t="str">
        <f t="shared" si="29"/>
        <v>2023-9</v>
      </c>
      <c r="DF31" t="s">
        <v>506</v>
      </c>
    </row>
    <row r="32" spans="1:110" x14ac:dyDescent="0.25">
      <c r="A32" t="s">
        <v>23</v>
      </c>
      <c r="B32" t="s">
        <v>48</v>
      </c>
      <c r="C32" t="s">
        <v>49</v>
      </c>
      <c r="D32">
        <v>76797</v>
      </c>
      <c r="E32">
        <v>5</v>
      </c>
      <c r="P32" t="s">
        <v>23</v>
      </c>
      <c r="Q32" t="s">
        <v>48</v>
      </c>
      <c r="R32">
        <v>5</v>
      </c>
      <c r="AI32" t="s">
        <v>48</v>
      </c>
      <c r="AJ32">
        <v>76797</v>
      </c>
      <c r="AK32" t="s">
        <v>116</v>
      </c>
      <c r="AL32">
        <f>COUNTIF(AI:AI,AK32)</f>
        <v>7</v>
      </c>
      <c r="AM32">
        <f>SUMIF(AI:AI,AK32,AJ:AJ)</f>
        <v>417649</v>
      </c>
      <c r="AP32" t="s">
        <v>23</v>
      </c>
      <c r="AQ32" t="s">
        <v>48</v>
      </c>
      <c r="AS32" t="s">
        <v>54</v>
      </c>
      <c r="AT32">
        <v>82090</v>
      </c>
      <c r="AU32">
        <f t="shared" si="8"/>
        <v>3</v>
      </c>
      <c r="BP32" t="s">
        <v>12</v>
      </c>
      <c r="BQ32" t="s">
        <v>232</v>
      </c>
      <c r="BR32">
        <f t="shared" si="31"/>
        <v>12</v>
      </c>
      <c r="BS32">
        <f t="shared" si="24"/>
        <v>2023</v>
      </c>
      <c r="BT32">
        <v>5</v>
      </c>
      <c r="BU32" t="str">
        <f t="shared" si="25"/>
        <v>2023-12</v>
      </c>
      <c r="BV32">
        <f t="shared" si="26"/>
        <v>0</v>
      </c>
      <c r="BX32" t="s">
        <v>23</v>
      </c>
      <c r="BY32" t="s">
        <v>49</v>
      </c>
      <c r="BZ32">
        <v>76797</v>
      </c>
      <c r="CA32">
        <f t="shared" si="27"/>
        <v>9</v>
      </c>
      <c r="CB32">
        <f t="shared" si="28"/>
        <v>2023</v>
      </c>
      <c r="CC32" t="str">
        <f t="shared" si="29"/>
        <v>2023-9</v>
      </c>
    </row>
    <row r="33" spans="1:81" x14ac:dyDescent="0.25">
      <c r="A33" t="s">
        <v>27</v>
      </c>
      <c r="B33" t="s">
        <v>50</v>
      </c>
      <c r="C33" t="s">
        <v>49</v>
      </c>
      <c r="D33">
        <v>74012</v>
      </c>
      <c r="E33">
        <v>7</v>
      </c>
      <c r="P33" t="s">
        <v>27</v>
      </c>
      <c r="Q33" t="s">
        <v>50</v>
      </c>
      <c r="R33">
        <v>7</v>
      </c>
      <c r="AI33" t="s">
        <v>50</v>
      </c>
      <c r="AJ33">
        <v>74012</v>
      </c>
      <c r="AK33" t="s">
        <v>28</v>
      </c>
      <c r="AL33">
        <f>COUNTIF(AI:AI,AK33)</f>
        <v>7</v>
      </c>
      <c r="AM33">
        <f>SUMIF(AI:AI,AK33,AJ:AJ)</f>
        <v>412949</v>
      </c>
      <c r="AP33" t="s">
        <v>27</v>
      </c>
      <c r="AQ33" t="s">
        <v>50</v>
      </c>
      <c r="AS33" t="s">
        <v>55</v>
      </c>
      <c r="AT33">
        <v>41519</v>
      </c>
      <c r="AU33">
        <f t="shared" si="8"/>
        <v>7</v>
      </c>
      <c r="BP33" t="s">
        <v>12</v>
      </c>
      <c r="BQ33" t="s">
        <v>232</v>
      </c>
      <c r="BR33">
        <f t="shared" si="31"/>
        <v>12</v>
      </c>
      <c r="BS33">
        <f t="shared" si="24"/>
        <v>2023</v>
      </c>
      <c r="BT33">
        <v>7</v>
      </c>
      <c r="BU33" t="str">
        <f t="shared" si="25"/>
        <v>2023-12</v>
      </c>
      <c r="BV33">
        <f t="shared" si="26"/>
        <v>1</v>
      </c>
      <c r="BX33" t="s">
        <v>27</v>
      </c>
      <c r="BY33" t="s">
        <v>49</v>
      </c>
      <c r="BZ33">
        <v>74012</v>
      </c>
      <c r="CA33">
        <f t="shared" si="27"/>
        <v>9</v>
      </c>
      <c r="CB33">
        <f t="shared" si="28"/>
        <v>2023</v>
      </c>
      <c r="CC33" t="str">
        <f t="shared" si="29"/>
        <v>2023-9</v>
      </c>
    </row>
    <row r="34" spans="1:81" x14ac:dyDescent="0.25">
      <c r="A34" t="s">
        <v>5</v>
      </c>
      <c r="B34" t="s">
        <v>35</v>
      </c>
      <c r="C34" t="s">
        <v>49</v>
      </c>
      <c r="D34">
        <v>50546</v>
      </c>
      <c r="E34">
        <v>6</v>
      </c>
      <c r="P34" t="s">
        <v>5</v>
      </c>
      <c r="Q34" t="s">
        <v>35</v>
      </c>
      <c r="R34">
        <v>6</v>
      </c>
      <c r="AI34" t="s">
        <v>35</v>
      </c>
      <c r="AJ34">
        <v>50546</v>
      </c>
      <c r="AK34" t="s">
        <v>87</v>
      </c>
      <c r="AL34">
        <f>COUNTIF(AI:AI,AK34)</f>
        <v>10</v>
      </c>
      <c r="AM34">
        <f>SUMIF(AI:AI,AK34,AJ:AJ)</f>
        <v>411562</v>
      </c>
      <c r="AP34" t="s">
        <v>5</v>
      </c>
      <c r="AQ34" t="s">
        <v>35</v>
      </c>
      <c r="AS34" t="s">
        <v>56</v>
      </c>
      <c r="AT34">
        <v>92162</v>
      </c>
      <c r="AU34">
        <f t="shared" si="8"/>
        <v>6</v>
      </c>
      <c r="BP34" t="s">
        <v>12</v>
      </c>
      <c r="BQ34" t="s">
        <v>235</v>
      </c>
      <c r="BR34">
        <f t="shared" si="31"/>
        <v>12</v>
      </c>
      <c r="BS34">
        <f t="shared" si="24"/>
        <v>2023</v>
      </c>
      <c r="BT34">
        <v>6</v>
      </c>
      <c r="BU34" t="str">
        <f t="shared" si="25"/>
        <v>2023-12</v>
      </c>
      <c r="BV34">
        <f t="shared" si="26"/>
        <v>0</v>
      </c>
      <c r="BX34" t="s">
        <v>5</v>
      </c>
      <c r="BY34" t="s">
        <v>49</v>
      </c>
      <c r="BZ34">
        <v>50546</v>
      </c>
      <c r="CA34">
        <f t="shared" si="27"/>
        <v>9</v>
      </c>
      <c r="CB34">
        <f t="shared" si="28"/>
        <v>2023</v>
      </c>
      <c r="CC34" t="str">
        <f t="shared" si="29"/>
        <v>2023-9</v>
      </c>
    </row>
    <row r="35" spans="1:81" x14ac:dyDescent="0.25">
      <c r="A35" t="s">
        <v>32</v>
      </c>
      <c r="B35" t="s">
        <v>51</v>
      </c>
      <c r="C35" t="s">
        <v>49</v>
      </c>
      <c r="D35">
        <v>14308</v>
      </c>
      <c r="E35">
        <v>7</v>
      </c>
      <c r="P35" t="s">
        <v>32</v>
      </c>
      <c r="Q35" t="s">
        <v>51</v>
      </c>
      <c r="R35">
        <v>7</v>
      </c>
      <c r="AI35" t="s">
        <v>51</v>
      </c>
      <c r="AJ35">
        <v>14308</v>
      </c>
      <c r="AK35" t="s">
        <v>174</v>
      </c>
      <c r="AL35">
        <f>COUNTIF(AI:AI,AK35)</f>
        <v>6</v>
      </c>
      <c r="AM35">
        <f>SUMIF(AI:AI,AK35,AJ:AJ)</f>
        <v>402169</v>
      </c>
      <c r="AP35" t="s">
        <v>32</v>
      </c>
      <c r="AQ35" t="s">
        <v>51</v>
      </c>
      <c r="AS35" t="s">
        <v>57</v>
      </c>
      <c r="AT35">
        <v>43583</v>
      </c>
      <c r="AU35">
        <f t="shared" si="8"/>
        <v>4</v>
      </c>
      <c r="BP35" t="s">
        <v>12</v>
      </c>
      <c r="BQ35" t="s">
        <v>246</v>
      </c>
      <c r="BR35">
        <f t="shared" si="31"/>
        <v>12</v>
      </c>
      <c r="BS35">
        <f t="shared" si="24"/>
        <v>2023</v>
      </c>
      <c r="BT35">
        <v>7</v>
      </c>
      <c r="BU35" t="str">
        <f t="shared" si="25"/>
        <v>2023-12</v>
      </c>
      <c r="BV35">
        <f t="shared" si="26"/>
        <v>1</v>
      </c>
      <c r="BX35" t="s">
        <v>32</v>
      </c>
      <c r="BY35" t="s">
        <v>49</v>
      </c>
      <c r="BZ35">
        <v>14308</v>
      </c>
      <c r="CA35">
        <f t="shared" si="27"/>
        <v>9</v>
      </c>
      <c r="CB35">
        <f t="shared" si="28"/>
        <v>2023</v>
      </c>
      <c r="CC35" t="str">
        <f t="shared" si="29"/>
        <v>2023-9</v>
      </c>
    </row>
    <row r="36" spans="1:81" x14ac:dyDescent="0.25">
      <c r="A36" t="s">
        <v>12</v>
      </c>
      <c r="B36" t="s">
        <v>52</v>
      </c>
      <c r="C36" t="s">
        <v>49</v>
      </c>
      <c r="D36">
        <v>73719</v>
      </c>
      <c r="E36">
        <v>9</v>
      </c>
      <c r="P36" t="s">
        <v>12</v>
      </c>
      <c r="Q36" t="s">
        <v>52</v>
      </c>
      <c r="R36">
        <v>9</v>
      </c>
      <c r="AI36" t="s">
        <v>52</v>
      </c>
      <c r="AJ36">
        <v>73719</v>
      </c>
      <c r="AK36" t="s">
        <v>11</v>
      </c>
      <c r="AL36">
        <f>COUNTIF(AI:AI,AK36)</f>
        <v>8</v>
      </c>
      <c r="AM36">
        <f>SUMIF(AI:AI,AK36,AJ:AJ)</f>
        <v>399193</v>
      </c>
      <c r="AP36" t="s">
        <v>12</v>
      </c>
      <c r="AQ36" t="s">
        <v>52</v>
      </c>
      <c r="AS36" t="s">
        <v>58</v>
      </c>
      <c r="AT36">
        <v>71216</v>
      </c>
      <c r="AU36">
        <f t="shared" si="8"/>
        <v>4</v>
      </c>
      <c r="BP36" t="s">
        <v>12</v>
      </c>
      <c r="BQ36" t="s">
        <v>250</v>
      </c>
      <c r="BR36">
        <f t="shared" si="31"/>
        <v>1</v>
      </c>
      <c r="BS36">
        <f t="shared" si="24"/>
        <v>2024</v>
      </c>
      <c r="BT36">
        <v>9</v>
      </c>
      <c r="BU36" t="str">
        <f t="shared" si="25"/>
        <v>2024-1</v>
      </c>
      <c r="BV36">
        <f t="shared" si="26"/>
        <v>2</v>
      </c>
      <c r="BX36" t="s">
        <v>12</v>
      </c>
      <c r="BY36" t="s">
        <v>49</v>
      </c>
      <c r="BZ36">
        <v>73719</v>
      </c>
      <c r="CA36">
        <f t="shared" si="27"/>
        <v>9</v>
      </c>
      <c r="CB36">
        <f t="shared" si="28"/>
        <v>2023</v>
      </c>
      <c r="CC36" t="str">
        <f t="shared" si="29"/>
        <v>2023-9</v>
      </c>
    </row>
    <row r="37" spans="1:81" x14ac:dyDescent="0.25">
      <c r="A37" t="s">
        <v>23</v>
      </c>
      <c r="B37" t="s">
        <v>53</v>
      </c>
      <c r="C37" t="s">
        <v>49</v>
      </c>
      <c r="D37">
        <v>98033</v>
      </c>
      <c r="E37">
        <v>7</v>
      </c>
      <c r="P37" t="s">
        <v>23</v>
      </c>
      <c r="Q37" t="s">
        <v>53</v>
      </c>
      <c r="R37">
        <v>7</v>
      </c>
      <c r="AI37" t="s">
        <v>53</v>
      </c>
      <c r="AJ37">
        <v>98033</v>
      </c>
      <c r="AK37" t="s">
        <v>60</v>
      </c>
      <c r="AL37">
        <f>COUNTIF(AI:AI,AK37)</f>
        <v>7</v>
      </c>
      <c r="AM37">
        <f>SUMIF(AI:AI,AK37,AJ:AJ)</f>
        <v>398219</v>
      </c>
      <c r="AP37" t="s">
        <v>23</v>
      </c>
      <c r="AQ37" t="s">
        <v>53</v>
      </c>
      <c r="AS37" t="s">
        <v>60</v>
      </c>
      <c r="AT37">
        <v>58509</v>
      </c>
      <c r="AU37">
        <f t="shared" si="8"/>
        <v>4</v>
      </c>
      <c r="BP37" t="s">
        <v>12</v>
      </c>
      <c r="BQ37" t="s">
        <v>252</v>
      </c>
      <c r="BR37">
        <f t="shared" si="31"/>
        <v>1</v>
      </c>
      <c r="BS37">
        <f t="shared" si="24"/>
        <v>2024</v>
      </c>
      <c r="BT37">
        <v>7</v>
      </c>
      <c r="BU37" t="str">
        <f t="shared" si="25"/>
        <v>2024-1</v>
      </c>
      <c r="BV37">
        <f t="shared" si="26"/>
        <v>1</v>
      </c>
      <c r="BX37" t="s">
        <v>23</v>
      </c>
      <c r="BY37" t="s">
        <v>49</v>
      </c>
      <c r="BZ37">
        <v>98033</v>
      </c>
      <c r="CA37">
        <f t="shared" si="27"/>
        <v>9</v>
      </c>
      <c r="CB37">
        <f t="shared" si="28"/>
        <v>2023</v>
      </c>
      <c r="CC37" t="str">
        <f t="shared" si="29"/>
        <v>2023-9</v>
      </c>
    </row>
    <row r="38" spans="1:81" x14ac:dyDescent="0.25">
      <c r="A38" t="s">
        <v>27</v>
      </c>
      <c r="B38" t="s">
        <v>54</v>
      </c>
      <c r="C38" t="s">
        <v>49</v>
      </c>
      <c r="D38">
        <v>82090</v>
      </c>
      <c r="E38">
        <v>2</v>
      </c>
      <c r="P38" t="s">
        <v>27</v>
      </c>
      <c r="Q38" t="s">
        <v>54</v>
      </c>
      <c r="R38">
        <v>2</v>
      </c>
      <c r="AI38" t="s">
        <v>54</v>
      </c>
      <c r="AJ38">
        <v>82090</v>
      </c>
      <c r="AK38" t="s">
        <v>56</v>
      </c>
      <c r="AL38">
        <f>COUNTIF(AI:AI,AK38)</f>
        <v>7</v>
      </c>
      <c r="AM38">
        <f>SUMIF(AI:AI,AK38,AJ:AJ)</f>
        <v>394622</v>
      </c>
      <c r="AP38" t="s">
        <v>27</v>
      </c>
      <c r="AQ38" t="s">
        <v>54</v>
      </c>
      <c r="AS38" t="s">
        <v>61</v>
      </c>
      <c r="AT38">
        <v>21518</v>
      </c>
      <c r="AU38">
        <f t="shared" si="8"/>
        <v>5</v>
      </c>
      <c r="BP38" t="s">
        <v>12</v>
      </c>
      <c r="BQ38" t="s">
        <v>271</v>
      </c>
      <c r="BR38">
        <f t="shared" si="31"/>
        <v>1</v>
      </c>
      <c r="BS38">
        <f t="shared" si="24"/>
        <v>2024</v>
      </c>
      <c r="BT38">
        <v>2</v>
      </c>
      <c r="BU38" t="str">
        <f t="shared" si="25"/>
        <v>2024-1</v>
      </c>
      <c r="BV38">
        <f t="shared" si="26"/>
        <v>0</v>
      </c>
      <c r="BX38" t="s">
        <v>27</v>
      </c>
      <c r="BY38" t="s">
        <v>49</v>
      </c>
      <c r="BZ38">
        <v>82090</v>
      </c>
      <c r="CA38">
        <f t="shared" si="27"/>
        <v>9</v>
      </c>
      <c r="CB38">
        <f t="shared" si="28"/>
        <v>2023</v>
      </c>
      <c r="CC38" t="str">
        <f t="shared" si="29"/>
        <v>2023-9</v>
      </c>
    </row>
    <row r="39" spans="1:81" x14ac:dyDescent="0.25">
      <c r="A39" t="s">
        <v>27</v>
      </c>
      <c r="B39" t="s">
        <v>55</v>
      </c>
      <c r="C39" t="s">
        <v>49</v>
      </c>
      <c r="D39">
        <v>41519</v>
      </c>
      <c r="E39">
        <v>4</v>
      </c>
      <c r="P39" t="s">
        <v>27</v>
      </c>
      <c r="Q39" t="s">
        <v>55</v>
      </c>
      <c r="R39">
        <v>4</v>
      </c>
      <c r="AI39" t="s">
        <v>55</v>
      </c>
      <c r="AJ39">
        <v>41519</v>
      </c>
      <c r="AK39" t="s">
        <v>13</v>
      </c>
      <c r="AL39">
        <f>COUNTIF(AI:AI,AK39)</f>
        <v>6</v>
      </c>
      <c r="AM39">
        <f>SUMIF(AI:AI,AK39,AJ:AJ)</f>
        <v>387706</v>
      </c>
      <c r="AP39" t="s">
        <v>27</v>
      </c>
      <c r="AQ39" t="s">
        <v>55</v>
      </c>
      <c r="AS39" t="s">
        <v>62</v>
      </c>
      <c r="AT39">
        <v>94451</v>
      </c>
      <c r="AU39">
        <f t="shared" si="8"/>
        <v>3</v>
      </c>
      <c r="BP39" t="s">
        <v>12</v>
      </c>
      <c r="BQ39" t="s">
        <v>271</v>
      </c>
      <c r="BR39">
        <f t="shared" si="31"/>
        <v>1</v>
      </c>
      <c r="BS39">
        <f t="shared" si="24"/>
        <v>2024</v>
      </c>
      <c r="BT39">
        <v>4</v>
      </c>
      <c r="BU39" t="str">
        <f t="shared" si="25"/>
        <v>2024-1</v>
      </c>
      <c r="BV39">
        <f t="shared" si="26"/>
        <v>0</v>
      </c>
      <c r="BX39" t="s">
        <v>27</v>
      </c>
      <c r="BY39" t="s">
        <v>49</v>
      </c>
      <c r="BZ39">
        <v>41519</v>
      </c>
      <c r="CA39">
        <f t="shared" si="27"/>
        <v>9</v>
      </c>
      <c r="CB39">
        <f t="shared" si="28"/>
        <v>2023</v>
      </c>
      <c r="CC39" t="str">
        <f t="shared" si="29"/>
        <v>2023-9</v>
      </c>
    </row>
    <row r="40" spans="1:81" x14ac:dyDescent="0.25">
      <c r="A40" t="s">
        <v>12</v>
      </c>
      <c r="B40" t="s">
        <v>56</v>
      </c>
      <c r="C40" t="s">
        <v>49</v>
      </c>
      <c r="D40">
        <v>92162</v>
      </c>
      <c r="E40">
        <v>8</v>
      </c>
      <c r="P40" t="s">
        <v>12</v>
      </c>
      <c r="Q40" t="s">
        <v>56</v>
      </c>
      <c r="R40">
        <v>8</v>
      </c>
      <c r="AI40" t="s">
        <v>56</v>
      </c>
      <c r="AJ40">
        <v>92162</v>
      </c>
      <c r="AK40" t="s">
        <v>101</v>
      </c>
      <c r="AL40">
        <f>COUNTIF(AI:AI,AK40)</f>
        <v>8</v>
      </c>
      <c r="AM40">
        <f>SUMIF(AI:AI,AK40,AJ:AJ)</f>
        <v>383513</v>
      </c>
      <c r="AP40" t="s">
        <v>12</v>
      </c>
      <c r="AQ40" t="s">
        <v>56</v>
      </c>
      <c r="AS40" t="s">
        <v>63</v>
      </c>
      <c r="AT40">
        <v>86606</v>
      </c>
      <c r="AU40">
        <f t="shared" si="8"/>
        <v>1</v>
      </c>
      <c r="BP40" t="s">
        <v>12</v>
      </c>
      <c r="BQ40" t="s">
        <v>272</v>
      </c>
      <c r="BR40">
        <f t="shared" si="31"/>
        <v>1</v>
      </c>
      <c r="BS40">
        <f t="shared" si="24"/>
        <v>2024</v>
      </c>
      <c r="BT40">
        <v>8</v>
      </c>
      <c r="BU40" t="str">
        <f t="shared" si="25"/>
        <v>2024-1</v>
      </c>
      <c r="BV40">
        <f t="shared" si="26"/>
        <v>1</v>
      </c>
      <c r="BX40" t="s">
        <v>12</v>
      </c>
      <c r="BY40" t="s">
        <v>49</v>
      </c>
      <c r="BZ40">
        <v>92162</v>
      </c>
      <c r="CA40">
        <f t="shared" si="27"/>
        <v>9</v>
      </c>
      <c r="CB40">
        <f t="shared" si="28"/>
        <v>2023</v>
      </c>
      <c r="CC40" t="str">
        <f t="shared" si="29"/>
        <v>2023-9</v>
      </c>
    </row>
    <row r="41" spans="1:81" x14ac:dyDescent="0.25">
      <c r="A41" t="s">
        <v>23</v>
      </c>
      <c r="B41" t="s">
        <v>57</v>
      </c>
      <c r="C41" t="s">
        <v>49</v>
      </c>
      <c r="D41">
        <v>43583</v>
      </c>
      <c r="E41">
        <v>5</v>
      </c>
      <c r="P41" t="s">
        <v>23</v>
      </c>
      <c r="Q41" t="s">
        <v>57</v>
      </c>
      <c r="R41">
        <v>5</v>
      </c>
      <c r="AI41" t="s">
        <v>57</v>
      </c>
      <c r="AJ41">
        <v>43583</v>
      </c>
      <c r="AK41" t="s">
        <v>131</v>
      </c>
      <c r="AL41">
        <f>COUNTIF(AI:AI,AK41)</f>
        <v>10</v>
      </c>
      <c r="AM41">
        <f>SUMIF(AI:AI,AK41,AJ:AJ)</f>
        <v>382446</v>
      </c>
      <c r="AP41" t="s">
        <v>23</v>
      </c>
      <c r="AQ41" t="s">
        <v>57</v>
      </c>
      <c r="AS41" t="s">
        <v>65</v>
      </c>
      <c r="AT41">
        <v>18681</v>
      </c>
      <c r="AU41">
        <f t="shared" si="8"/>
        <v>4</v>
      </c>
      <c r="BP41" t="s">
        <v>12</v>
      </c>
      <c r="BQ41" t="s">
        <v>280</v>
      </c>
      <c r="BR41">
        <f t="shared" si="31"/>
        <v>1</v>
      </c>
      <c r="BS41">
        <f t="shared" si="24"/>
        <v>2024</v>
      </c>
      <c r="BT41">
        <v>5</v>
      </c>
      <c r="BU41" t="str">
        <f t="shared" si="25"/>
        <v>2024-1</v>
      </c>
      <c r="BV41">
        <f t="shared" si="26"/>
        <v>0</v>
      </c>
      <c r="BX41" t="s">
        <v>23</v>
      </c>
      <c r="BY41" t="s">
        <v>49</v>
      </c>
      <c r="BZ41">
        <v>43583</v>
      </c>
      <c r="CA41">
        <f t="shared" si="27"/>
        <v>9</v>
      </c>
      <c r="CB41">
        <f t="shared" si="28"/>
        <v>2023</v>
      </c>
      <c r="CC41" t="str">
        <f t="shared" si="29"/>
        <v>2023-9</v>
      </c>
    </row>
    <row r="42" spans="1:81" x14ac:dyDescent="0.25">
      <c r="A42" t="s">
        <v>14</v>
      </c>
      <c r="B42" t="s">
        <v>58</v>
      </c>
      <c r="C42" t="s">
        <v>59</v>
      </c>
      <c r="D42">
        <v>71216</v>
      </c>
      <c r="E42">
        <v>9</v>
      </c>
      <c r="P42" t="s">
        <v>14</v>
      </c>
      <c r="Q42" t="s">
        <v>58</v>
      </c>
      <c r="R42">
        <v>9</v>
      </c>
      <c r="AI42" t="s">
        <v>58</v>
      </c>
      <c r="AJ42">
        <v>71216</v>
      </c>
      <c r="AK42" t="s">
        <v>184</v>
      </c>
      <c r="AL42">
        <f>COUNTIF(AI:AI,AK42)</f>
        <v>7</v>
      </c>
      <c r="AM42">
        <f>SUMIF(AI:AI,AK42,AJ:AJ)</f>
        <v>376379</v>
      </c>
      <c r="AP42" t="s">
        <v>14</v>
      </c>
      <c r="AQ42" t="s">
        <v>58</v>
      </c>
      <c r="AS42" t="s">
        <v>67</v>
      </c>
      <c r="AT42">
        <v>51077</v>
      </c>
      <c r="AU42">
        <f t="shared" si="8"/>
        <v>5</v>
      </c>
      <c r="BP42" t="s">
        <v>12</v>
      </c>
      <c r="BQ42" t="s">
        <v>280</v>
      </c>
      <c r="BR42">
        <f t="shared" si="31"/>
        <v>1</v>
      </c>
      <c r="BS42">
        <f t="shared" si="24"/>
        <v>2024</v>
      </c>
      <c r="BT42">
        <v>9</v>
      </c>
      <c r="BU42" t="str">
        <f t="shared" si="25"/>
        <v>2024-1</v>
      </c>
      <c r="BV42">
        <f t="shared" si="26"/>
        <v>2</v>
      </c>
      <c r="BX42" t="s">
        <v>14</v>
      </c>
      <c r="BY42" t="s">
        <v>59</v>
      </c>
      <c r="BZ42">
        <v>71216</v>
      </c>
      <c r="CA42">
        <f t="shared" si="27"/>
        <v>9</v>
      </c>
      <c r="CB42">
        <f t="shared" si="28"/>
        <v>2023</v>
      </c>
      <c r="CC42" t="str">
        <f t="shared" si="29"/>
        <v>2023-9</v>
      </c>
    </row>
    <row r="43" spans="1:81" x14ac:dyDescent="0.25">
      <c r="A43" t="s">
        <v>17</v>
      </c>
      <c r="B43" t="s">
        <v>50</v>
      </c>
      <c r="C43" t="s">
        <v>59</v>
      </c>
      <c r="D43">
        <v>75394</v>
      </c>
      <c r="E43">
        <v>7</v>
      </c>
      <c r="P43" t="s">
        <v>17</v>
      </c>
      <c r="Q43" t="s">
        <v>50</v>
      </c>
      <c r="R43">
        <v>7</v>
      </c>
      <c r="AI43" t="s">
        <v>50</v>
      </c>
      <c r="AJ43">
        <v>75394</v>
      </c>
      <c r="AK43" t="s">
        <v>45</v>
      </c>
      <c r="AL43">
        <f>COUNTIF(AI:AI,AK43)</f>
        <v>6</v>
      </c>
      <c r="AM43">
        <f>SUMIF(AI:AI,AK43,AJ:AJ)</f>
        <v>375309</v>
      </c>
      <c r="AP43" t="s">
        <v>17</v>
      </c>
      <c r="AQ43" t="s">
        <v>50</v>
      </c>
      <c r="AS43" t="s">
        <v>68</v>
      </c>
      <c r="AT43">
        <v>12642</v>
      </c>
      <c r="AU43">
        <f t="shared" si="8"/>
        <v>3</v>
      </c>
      <c r="BP43" t="s">
        <v>12</v>
      </c>
      <c r="BQ43" t="s">
        <v>288</v>
      </c>
      <c r="BR43">
        <f t="shared" si="31"/>
        <v>2</v>
      </c>
      <c r="BS43">
        <f t="shared" si="24"/>
        <v>2024</v>
      </c>
      <c r="BT43">
        <v>7</v>
      </c>
      <c r="BU43" t="str">
        <f t="shared" si="25"/>
        <v>2024-2</v>
      </c>
      <c r="BV43">
        <f t="shared" si="26"/>
        <v>1</v>
      </c>
      <c r="BX43" t="s">
        <v>17</v>
      </c>
      <c r="BY43" t="s">
        <v>59</v>
      </c>
      <c r="BZ43">
        <v>75394</v>
      </c>
      <c r="CA43">
        <f t="shared" si="27"/>
        <v>9</v>
      </c>
      <c r="CB43">
        <f t="shared" si="28"/>
        <v>2023</v>
      </c>
      <c r="CC43" t="str">
        <f t="shared" si="29"/>
        <v>2023-9</v>
      </c>
    </row>
    <row r="44" spans="1:81" x14ac:dyDescent="0.25">
      <c r="A44" t="s">
        <v>8</v>
      </c>
      <c r="B44" t="s">
        <v>60</v>
      </c>
      <c r="C44" t="s">
        <v>59</v>
      </c>
      <c r="D44">
        <v>58509</v>
      </c>
      <c r="E44">
        <v>7</v>
      </c>
      <c r="P44" t="s">
        <v>8</v>
      </c>
      <c r="Q44" t="s">
        <v>60</v>
      </c>
      <c r="R44">
        <v>7</v>
      </c>
      <c r="AI44" t="s">
        <v>60</v>
      </c>
      <c r="AJ44">
        <v>58509</v>
      </c>
      <c r="AK44" t="s">
        <v>296</v>
      </c>
      <c r="AL44">
        <f>COUNTIF(AI:AI,AK44)</f>
        <v>7</v>
      </c>
      <c r="AM44">
        <f>SUMIF(AI:AI,AK44,AJ:AJ)</f>
        <v>373653</v>
      </c>
      <c r="AP44" t="s">
        <v>8</v>
      </c>
      <c r="AQ44" t="s">
        <v>60</v>
      </c>
      <c r="AS44" t="s">
        <v>69</v>
      </c>
      <c r="AT44">
        <v>27921</v>
      </c>
      <c r="AU44">
        <f t="shared" si="8"/>
        <v>7</v>
      </c>
      <c r="BP44" t="s">
        <v>12</v>
      </c>
      <c r="BQ44" t="s">
        <v>289</v>
      </c>
      <c r="BR44">
        <f t="shared" si="31"/>
        <v>2</v>
      </c>
      <c r="BS44">
        <f t="shared" si="24"/>
        <v>2024</v>
      </c>
      <c r="BT44">
        <v>7</v>
      </c>
      <c r="BU44" t="str">
        <f t="shared" si="25"/>
        <v>2024-2</v>
      </c>
      <c r="BV44">
        <f t="shared" si="26"/>
        <v>1</v>
      </c>
      <c r="BX44" t="s">
        <v>8</v>
      </c>
      <c r="BY44" t="s">
        <v>59</v>
      </c>
      <c r="BZ44">
        <v>58509</v>
      </c>
      <c r="CA44">
        <f t="shared" si="27"/>
        <v>9</v>
      </c>
      <c r="CB44">
        <f t="shared" si="28"/>
        <v>2023</v>
      </c>
      <c r="CC44" t="str">
        <f t="shared" si="29"/>
        <v>2023-9</v>
      </c>
    </row>
    <row r="45" spans="1:81" x14ac:dyDescent="0.25">
      <c r="A45" t="s">
        <v>23</v>
      </c>
      <c r="B45" t="s">
        <v>61</v>
      </c>
      <c r="C45" t="s">
        <v>59</v>
      </c>
      <c r="D45">
        <v>21518</v>
      </c>
      <c r="E45">
        <v>2</v>
      </c>
      <c r="P45" t="s">
        <v>23</v>
      </c>
      <c r="Q45" t="s">
        <v>61</v>
      </c>
      <c r="R45">
        <v>2</v>
      </c>
      <c r="AI45" t="s">
        <v>61</v>
      </c>
      <c r="AJ45">
        <v>21518</v>
      </c>
      <c r="AK45" t="s">
        <v>85</v>
      </c>
      <c r="AL45">
        <f>COUNTIF(AI:AI,AK45)</f>
        <v>8</v>
      </c>
      <c r="AM45">
        <f>SUMIF(AI:AI,AK45,AJ:AJ)</f>
        <v>368103</v>
      </c>
      <c r="AP45" t="s">
        <v>23</v>
      </c>
      <c r="AQ45" t="s">
        <v>61</v>
      </c>
      <c r="AS45" t="s">
        <v>70</v>
      </c>
      <c r="AT45">
        <v>57831</v>
      </c>
      <c r="AU45">
        <f t="shared" si="8"/>
        <v>2</v>
      </c>
      <c r="BP45" t="s">
        <v>12</v>
      </c>
      <c r="BQ45" t="s">
        <v>302</v>
      </c>
      <c r="BR45">
        <f t="shared" si="31"/>
        <v>2</v>
      </c>
      <c r="BS45">
        <f t="shared" si="24"/>
        <v>2024</v>
      </c>
      <c r="BT45">
        <v>2</v>
      </c>
      <c r="BU45" t="str">
        <f t="shared" si="25"/>
        <v>2024-2</v>
      </c>
      <c r="BV45">
        <f t="shared" si="26"/>
        <v>0</v>
      </c>
      <c r="BX45" t="s">
        <v>23</v>
      </c>
      <c r="BY45" t="s">
        <v>59</v>
      </c>
      <c r="BZ45">
        <v>21518</v>
      </c>
      <c r="CA45">
        <f t="shared" si="27"/>
        <v>9</v>
      </c>
      <c r="CB45">
        <f t="shared" si="28"/>
        <v>2023</v>
      </c>
      <c r="CC45" t="str">
        <f t="shared" si="29"/>
        <v>2023-9</v>
      </c>
    </row>
    <row r="46" spans="1:81" x14ac:dyDescent="0.25">
      <c r="A46" t="s">
        <v>10</v>
      </c>
      <c r="B46" t="s">
        <v>62</v>
      </c>
      <c r="C46" t="s">
        <v>59</v>
      </c>
      <c r="D46">
        <v>94451</v>
      </c>
      <c r="E46">
        <v>7</v>
      </c>
      <c r="P46" t="s">
        <v>10</v>
      </c>
      <c r="Q46" t="s">
        <v>62</v>
      </c>
      <c r="R46">
        <v>7</v>
      </c>
      <c r="AI46" t="s">
        <v>62</v>
      </c>
      <c r="AJ46">
        <v>94451</v>
      </c>
      <c r="AK46" t="s">
        <v>195</v>
      </c>
      <c r="AL46">
        <f>COUNTIF(AI:AI,AK46)</f>
        <v>6</v>
      </c>
      <c r="AM46">
        <f>SUMIF(AI:AI,AK46,AJ:AJ)</f>
        <v>364834</v>
      </c>
      <c r="AP46" t="s">
        <v>10</v>
      </c>
      <c r="AQ46" t="s">
        <v>62</v>
      </c>
      <c r="AS46" t="s">
        <v>72</v>
      </c>
      <c r="AT46">
        <v>91703</v>
      </c>
      <c r="AU46">
        <f t="shared" si="8"/>
        <v>8</v>
      </c>
      <c r="BP46" t="s">
        <v>12</v>
      </c>
      <c r="BQ46" t="s">
        <v>310</v>
      </c>
      <c r="BR46">
        <f t="shared" si="31"/>
        <v>2</v>
      </c>
      <c r="BS46">
        <f t="shared" si="24"/>
        <v>2024</v>
      </c>
      <c r="BT46">
        <v>7</v>
      </c>
      <c r="BU46" t="str">
        <f t="shared" si="25"/>
        <v>2024-2</v>
      </c>
      <c r="BV46">
        <f t="shared" si="26"/>
        <v>1</v>
      </c>
      <c r="BX46" t="s">
        <v>10</v>
      </c>
      <c r="BY46" t="s">
        <v>59</v>
      </c>
      <c r="BZ46">
        <v>94451</v>
      </c>
      <c r="CA46">
        <f t="shared" si="27"/>
        <v>9</v>
      </c>
      <c r="CB46">
        <f t="shared" si="28"/>
        <v>2023</v>
      </c>
      <c r="CC46" t="str">
        <f t="shared" si="29"/>
        <v>2023-9</v>
      </c>
    </row>
    <row r="47" spans="1:81" x14ac:dyDescent="0.25">
      <c r="A47" t="s">
        <v>10</v>
      </c>
      <c r="B47" t="s">
        <v>63</v>
      </c>
      <c r="C47" t="s">
        <v>64</v>
      </c>
      <c r="D47">
        <v>86606</v>
      </c>
      <c r="E47">
        <v>5</v>
      </c>
      <c r="P47" t="s">
        <v>10</v>
      </c>
      <c r="Q47" t="s">
        <v>63</v>
      </c>
      <c r="R47">
        <v>5</v>
      </c>
      <c r="AI47" t="s">
        <v>63</v>
      </c>
      <c r="AJ47">
        <v>86606</v>
      </c>
      <c r="AK47" t="s">
        <v>79</v>
      </c>
      <c r="AL47">
        <f>COUNTIF(AI:AI,AK47)</f>
        <v>5</v>
      </c>
      <c r="AM47">
        <f>SUMIF(AI:AI,AK47,AJ:AJ)</f>
        <v>352488</v>
      </c>
      <c r="AP47" t="s">
        <v>10</v>
      </c>
      <c r="AQ47" t="s">
        <v>63</v>
      </c>
      <c r="AS47" t="s">
        <v>74</v>
      </c>
      <c r="AT47">
        <v>71018</v>
      </c>
      <c r="AU47">
        <f t="shared" si="8"/>
        <v>4</v>
      </c>
      <c r="BP47" t="s">
        <v>12</v>
      </c>
      <c r="BQ47" t="s">
        <v>333</v>
      </c>
      <c r="BR47">
        <f t="shared" si="31"/>
        <v>3</v>
      </c>
      <c r="BS47">
        <f t="shared" si="24"/>
        <v>2024</v>
      </c>
      <c r="BT47">
        <v>5</v>
      </c>
      <c r="BU47" t="str">
        <f t="shared" si="25"/>
        <v>2024-3</v>
      </c>
      <c r="BV47">
        <f t="shared" si="26"/>
        <v>0</v>
      </c>
      <c r="BX47" t="s">
        <v>10</v>
      </c>
      <c r="BY47" t="s">
        <v>64</v>
      </c>
      <c r="BZ47">
        <v>86606</v>
      </c>
      <c r="CA47">
        <f t="shared" si="27"/>
        <v>9</v>
      </c>
      <c r="CB47">
        <f t="shared" si="28"/>
        <v>2023</v>
      </c>
      <c r="CC47" t="str">
        <f t="shared" si="29"/>
        <v>2023-9</v>
      </c>
    </row>
    <row r="48" spans="1:81" x14ac:dyDescent="0.25">
      <c r="A48" t="s">
        <v>8</v>
      </c>
      <c r="B48" t="s">
        <v>56</v>
      </c>
      <c r="C48" t="s">
        <v>64</v>
      </c>
      <c r="D48">
        <v>47082</v>
      </c>
      <c r="E48">
        <v>9</v>
      </c>
      <c r="P48" t="s">
        <v>8</v>
      </c>
      <c r="Q48" t="s">
        <v>56</v>
      </c>
      <c r="R48">
        <v>9</v>
      </c>
      <c r="AI48" t="s">
        <v>56</v>
      </c>
      <c r="AJ48">
        <v>47082</v>
      </c>
      <c r="AK48" t="s">
        <v>231</v>
      </c>
      <c r="AL48">
        <f>COUNTIF(AI:AI,AK48)</f>
        <v>6</v>
      </c>
      <c r="AM48">
        <f>SUMIF(AI:AI,AK48,AJ:AJ)</f>
        <v>350911</v>
      </c>
      <c r="AP48" t="s">
        <v>8</v>
      </c>
      <c r="AQ48" t="s">
        <v>56</v>
      </c>
      <c r="AS48" t="s">
        <v>75</v>
      </c>
      <c r="AT48">
        <v>29443</v>
      </c>
      <c r="AU48">
        <f t="shared" si="8"/>
        <v>3</v>
      </c>
      <c r="BP48" t="s">
        <v>12</v>
      </c>
      <c r="BQ48" t="s">
        <v>346</v>
      </c>
      <c r="BR48">
        <f t="shared" si="31"/>
        <v>4</v>
      </c>
      <c r="BS48">
        <f t="shared" si="24"/>
        <v>2024</v>
      </c>
      <c r="BT48">
        <v>9</v>
      </c>
      <c r="BU48" t="str">
        <f t="shared" si="25"/>
        <v>2024-4</v>
      </c>
      <c r="BV48">
        <f t="shared" si="26"/>
        <v>2</v>
      </c>
      <c r="BX48" t="s">
        <v>8</v>
      </c>
      <c r="BY48" t="s">
        <v>64</v>
      </c>
      <c r="BZ48">
        <v>47082</v>
      </c>
      <c r="CA48">
        <f t="shared" si="27"/>
        <v>9</v>
      </c>
      <c r="CB48">
        <f t="shared" si="28"/>
        <v>2023</v>
      </c>
      <c r="CC48" t="str">
        <f t="shared" si="29"/>
        <v>2023-9</v>
      </c>
    </row>
    <row r="49" spans="1:81" x14ac:dyDescent="0.25">
      <c r="A49" t="s">
        <v>23</v>
      </c>
      <c r="B49" t="s">
        <v>41</v>
      </c>
      <c r="C49" t="s">
        <v>64</v>
      </c>
      <c r="D49">
        <v>80674</v>
      </c>
      <c r="E49">
        <v>7</v>
      </c>
      <c r="P49" t="s">
        <v>23</v>
      </c>
      <c r="Q49" t="s">
        <v>41</v>
      </c>
      <c r="R49">
        <v>7</v>
      </c>
      <c r="AI49" t="s">
        <v>41</v>
      </c>
      <c r="AJ49">
        <v>80674</v>
      </c>
      <c r="AK49" t="s">
        <v>15</v>
      </c>
      <c r="AL49">
        <f>COUNTIF(AI:AI,AK49)</f>
        <v>6</v>
      </c>
      <c r="AM49">
        <f>SUMIF(AI:AI,AK49,AJ:AJ)</f>
        <v>348295</v>
      </c>
      <c r="AP49" t="s">
        <v>23</v>
      </c>
      <c r="AQ49" t="s">
        <v>41</v>
      </c>
      <c r="AS49" t="s">
        <v>76</v>
      </c>
      <c r="AT49">
        <v>48963</v>
      </c>
      <c r="AU49">
        <f t="shared" si="8"/>
        <v>3</v>
      </c>
      <c r="BP49" t="s">
        <v>12</v>
      </c>
      <c r="BQ49" t="s">
        <v>346</v>
      </c>
      <c r="BR49">
        <f t="shared" si="31"/>
        <v>4</v>
      </c>
      <c r="BS49">
        <f t="shared" si="24"/>
        <v>2024</v>
      </c>
      <c r="BT49">
        <v>7</v>
      </c>
      <c r="BU49" t="str">
        <f t="shared" si="25"/>
        <v>2024-4</v>
      </c>
      <c r="BV49">
        <f t="shared" si="26"/>
        <v>1</v>
      </c>
      <c r="BX49" t="s">
        <v>23</v>
      </c>
      <c r="BY49" t="s">
        <v>64</v>
      </c>
      <c r="BZ49">
        <v>80674</v>
      </c>
      <c r="CA49">
        <f t="shared" si="27"/>
        <v>9</v>
      </c>
      <c r="CB49">
        <f t="shared" si="28"/>
        <v>2023</v>
      </c>
      <c r="CC49" t="str">
        <f t="shared" si="29"/>
        <v>2023-9</v>
      </c>
    </row>
    <row r="50" spans="1:81" x14ac:dyDescent="0.25">
      <c r="A50" t="s">
        <v>23</v>
      </c>
      <c r="B50" t="s">
        <v>65</v>
      </c>
      <c r="C50" t="s">
        <v>66</v>
      </c>
      <c r="D50">
        <v>18681</v>
      </c>
      <c r="E50">
        <v>6</v>
      </c>
      <c r="P50" t="s">
        <v>23</v>
      </c>
      <c r="Q50" t="s">
        <v>65</v>
      </c>
      <c r="R50">
        <v>6</v>
      </c>
      <c r="AI50" t="s">
        <v>65</v>
      </c>
      <c r="AJ50">
        <v>18681</v>
      </c>
      <c r="AK50" t="s">
        <v>263</v>
      </c>
      <c r="AL50">
        <f>COUNTIF(AI:AI,AK50)</f>
        <v>6</v>
      </c>
      <c r="AM50">
        <f>SUMIF(AI:AI,AK50,AJ:AJ)</f>
        <v>340101</v>
      </c>
      <c r="AP50" t="s">
        <v>23</v>
      </c>
      <c r="AQ50" t="s">
        <v>65</v>
      </c>
      <c r="AS50" t="s">
        <v>77</v>
      </c>
      <c r="AT50">
        <v>53543</v>
      </c>
      <c r="AU50">
        <f t="shared" si="8"/>
        <v>4</v>
      </c>
      <c r="BP50" t="s">
        <v>12</v>
      </c>
      <c r="BQ50" t="s">
        <v>349</v>
      </c>
      <c r="BR50">
        <f t="shared" si="31"/>
        <v>4</v>
      </c>
      <c r="BS50">
        <f t="shared" si="24"/>
        <v>2024</v>
      </c>
      <c r="BT50">
        <v>6</v>
      </c>
      <c r="BU50" t="str">
        <f t="shared" si="25"/>
        <v>2024-4</v>
      </c>
      <c r="BV50">
        <f t="shared" si="26"/>
        <v>0</v>
      </c>
      <c r="BX50" t="s">
        <v>23</v>
      </c>
      <c r="BY50" t="s">
        <v>66</v>
      </c>
      <c r="BZ50">
        <v>18681</v>
      </c>
      <c r="CA50">
        <f t="shared" si="27"/>
        <v>9</v>
      </c>
      <c r="CB50">
        <f t="shared" si="28"/>
        <v>2023</v>
      </c>
      <c r="CC50" t="str">
        <f t="shared" si="29"/>
        <v>2023-9</v>
      </c>
    </row>
    <row r="51" spans="1:81" x14ac:dyDescent="0.25">
      <c r="A51" t="s">
        <v>32</v>
      </c>
      <c r="B51" t="s">
        <v>57</v>
      </c>
      <c r="C51" t="s">
        <v>66</v>
      </c>
      <c r="D51">
        <v>85570</v>
      </c>
      <c r="E51">
        <v>8</v>
      </c>
      <c r="P51" t="s">
        <v>32</v>
      </c>
      <c r="Q51" t="s">
        <v>57</v>
      </c>
      <c r="R51">
        <v>8</v>
      </c>
      <c r="AI51" t="s">
        <v>57</v>
      </c>
      <c r="AJ51">
        <v>85570</v>
      </c>
      <c r="AK51" t="s">
        <v>188</v>
      </c>
      <c r="AL51">
        <f>COUNTIF(AI:AI,AK51)</f>
        <v>5</v>
      </c>
      <c r="AM51">
        <f>SUMIF(AI:AI,AK51,AJ:AJ)</f>
        <v>339007</v>
      </c>
      <c r="AP51" t="s">
        <v>32</v>
      </c>
      <c r="AQ51" t="s">
        <v>57</v>
      </c>
      <c r="AS51" t="s">
        <v>79</v>
      </c>
      <c r="AT51">
        <v>95434</v>
      </c>
      <c r="AU51">
        <f t="shared" si="8"/>
        <v>4</v>
      </c>
      <c r="BP51" t="s">
        <v>12</v>
      </c>
      <c r="BQ51" t="s">
        <v>351</v>
      </c>
      <c r="BR51">
        <f t="shared" si="31"/>
        <v>4</v>
      </c>
      <c r="BS51">
        <f t="shared" si="24"/>
        <v>2024</v>
      </c>
      <c r="BT51">
        <v>8</v>
      </c>
      <c r="BU51" t="str">
        <f t="shared" si="25"/>
        <v>2024-4</v>
      </c>
      <c r="BV51">
        <f t="shared" si="26"/>
        <v>1</v>
      </c>
      <c r="BX51" t="s">
        <v>32</v>
      </c>
      <c r="BY51" t="s">
        <v>66</v>
      </c>
      <c r="BZ51">
        <v>85570</v>
      </c>
      <c r="CA51">
        <f t="shared" si="27"/>
        <v>9</v>
      </c>
      <c r="CB51">
        <f t="shared" si="28"/>
        <v>2023</v>
      </c>
      <c r="CC51" t="str">
        <f t="shared" si="29"/>
        <v>2023-9</v>
      </c>
    </row>
    <row r="52" spans="1:81" x14ac:dyDescent="0.25">
      <c r="A52" t="s">
        <v>12</v>
      </c>
      <c r="B52" t="s">
        <v>67</v>
      </c>
      <c r="C52" t="s">
        <v>66</v>
      </c>
      <c r="D52">
        <v>51077</v>
      </c>
      <c r="E52">
        <v>8</v>
      </c>
      <c r="P52" t="s">
        <v>12</v>
      </c>
      <c r="Q52" t="s">
        <v>67</v>
      </c>
      <c r="R52">
        <v>8</v>
      </c>
      <c r="AI52" t="s">
        <v>67</v>
      </c>
      <c r="AJ52">
        <v>51077</v>
      </c>
      <c r="AK52" t="s">
        <v>112</v>
      </c>
      <c r="AL52">
        <f>COUNTIF(AI:AI,AK52)</f>
        <v>6</v>
      </c>
      <c r="AM52">
        <f>SUMIF(AI:AI,AK52,AJ:AJ)</f>
        <v>338339</v>
      </c>
      <c r="AP52" t="s">
        <v>12</v>
      </c>
      <c r="AQ52" t="s">
        <v>67</v>
      </c>
      <c r="AS52" t="s">
        <v>81</v>
      </c>
      <c r="AT52">
        <v>13954</v>
      </c>
      <c r="AU52">
        <f t="shared" si="8"/>
        <v>6</v>
      </c>
      <c r="BP52" t="s">
        <v>12</v>
      </c>
      <c r="BQ52" t="s">
        <v>353</v>
      </c>
      <c r="BR52">
        <f t="shared" si="31"/>
        <v>4</v>
      </c>
      <c r="BS52">
        <f t="shared" si="24"/>
        <v>2024</v>
      </c>
      <c r="BT52">
        <v>8</v>
      </c>
      <c r="BU52" t="str">
        <f t="shared" si="25"/>
        <v>2024-4</v>
      </c>
      <c r="BV52">
        <f t="shared" si="26"/>
        <v>1</v>
      </c>
      <c r="BX52" t="s">
        <v>12</v>
      </c>
      <c r="BY52" t="s">
        <v>66</v>
      </c>
      <c r="BZ52">
        <v>51077</v>
      </c>
      <c r="CA52">
        <f t="shared" si="27"/>
        <v>9</v>
      </c>
      <c r="CB52">
        <f t="shared" si="28"/>
        <v>2023</v>
      </c>
      <c r="CC52" t="str">
        <f t="shared" si="29"/>
        <v>2023-9</v>
      </c>
    </row>
    <row r="53" spans="1:81" x14ac:dyDescent="0.25">
      <c r="A53" t="s">
        <v>33</v>
      </c>
      <c r="B53" t="s">
        <v>53</v>
      </c>
      <c r="C53" t="s">
        <v>66</v>
      </c>
      <c r="D53">
        <v>53934</v>
      </c>
      <c r="E53">
        <v>4</v>
      </c>
      <c r="P53" t="s">
        <v>33</v>
      </c>
      <c r="Q53" t="s">
        <v>53</v>
      </c>
      <c r="R53">
        <v>4</v>
      </c>
      <c r="AI53" t="s">
        <v>53</v>
      </c>
      <c r="AJ53">
        <v>53934</v>
      </c>
      <c r="AK53" t="s">
        <v>197</v>
      </c>
      <c r="AL53">
        <f>COUNTIF(AI:AI,AK53)</f>
        <v>5</v>
      </c>
      <c r="AM53">
        <f>SUMIF(AI:AI,AK53,AJ:AJ)</f>
        <v>336238</v>
      </c>
      <c r="AP53" t="s">
        <v>33</v>
      </c>
      <c r="AQ53" t="s">
        <v>53</v>
      </c>
      <c r="AS53" t="s">
        <v>82</v>
      </c>
      <c r="AT53">
        <v>74053</v>
      </c>
      <c r="AU53">
        <f t="shared" si="8"/>
        <v>4</v>
      </c>
      <c r="BP53" t="s">
        <v>12</v>
      </c>
      <c r="BQ53" t="s">
        <v>360</v>
      </c>
      <c r="BR53">
        <f t="shared" si="31"/>
        <v>4</v>
      </c>
      <c r="BS53">
        <f t="shared" si="24"/>
        <v>2024</v>
      </c>
      <c r="BT53">
        <v>4</v>
      </c>
      <c r="BU53" t="str">
        <f t="shared" si="25"/>
        <v>2024-4</v>
      </c>
      <c r="BV53">
        <f t="shared" si="26"/>
        <v>0</v>
      </c>
      <c r="BX53" t="s">
        <v>33</v>
      </c>
      <c r="BY53" t="s">
        <v>66</v>
      </c>
      <c r="BZ53">
        <v>53934</v>
      </c>
      <c r="CA53">
        <f t="shared" si="27"/>
        <v>9</v>
      </c>
      <c r="CB53">
        <f t="shared" si="28"/>
        <v>2023</v>
      </c>
      <c r="CC53" t="str">
        <f t="shared" si="29"/>
        <v>2023-9</v>
      </c>
    </row>
    <row r="54" spans="1:81" x14ac:dyDescent="0.25">
      <c r="A54" t="s">
        <v>27</v>
      </c>
      <c r="B54" t="s">
        <v>68</v>
      </c>
      <c r="C54" t="s">
        <v>66</v>
      </c>
      <c r="D54">
        <v>12642</v>
      </c>
      <c r="E54">
        <v>3</v>
      </c>
      <c r="P54" t="s">
        <v>27</v>
      </c>
      <c r="Q54" t="s">
        <v>68</v>
      </c>
      <c r="R54">
        <v>3</v>
      </c>
      <c r="AI54" t="s">
        <v>68</v>
      </c>
      <c r="AJ54">
        <v>12642</v>
      </c>
      <c r="AK54" t="s">
        <v>88</v>
      </c>
      <c r="AL54">
        <f>COUNTIF(AI:AI,AK54)</f>
        <v>6</v>
      </c>
      <c r="AM54">
        <f>SUMIF(AI:AI,AK54,AJ:AJ)</f>
        <v>330926</v>
      </c>
      <c r="AP54" t="s">
        <v>27</v>
      </c>
      <c r="AQ54" t="s">
        <v>68</v>
      </c>
      <c r="AS54" t="s">
        <v>84</v>
      </c>
      <c r="AT54">
        <v>31254</v>
      </c>
      <c r="AU54">
        <f t="shared" si="8"/>
        <v>3</v>
      </c>
      <c r="BP54" t="s">
        <v>12</v>
      </c>
      <c r="BQ54" t="s">
        <v>360</v>
      </c>
      <c r="BR54">
        <f t="shared" si="31"/>
        <v>4</v>
      </c>
      <c r="BS54">
        <f t="shared" si="24"/>
        <v>2024</v>
      </c>
      <c r="BT54">
        <v>3</v>
      </c>
      <c r="BU54" t="str">
        <f t="shared" si="25"/>
        <v>2024-4</v>
      </c>
      <c r="BV54">
        <f t="shared" si="26"/>
        <v>0</v>
      </c>
      <c r="BX54" t="s">
        <v>27</v>
      </c>
      <c r="BY54" t="s">
        <v>66</v>
      </c>
      <c r="BZ54">
        <v>12642</v>
      </c>
      <c r="CA54">
        <f t="shared" si="27"/>
        <v>9</v>
      </c>
      <c r="CB54">
        <f t="shared" si="28"/>
        <v>2023</v>
      </c>
      <c r="CC54" t="str">
        <f t="shared" si="29"/>
        <v>2023-9</v>
      </c>
    </row>
    <row r="55" spans="1:81" x14ac:dyDescent="0.25">
      <c r="A55" t="s">
        <v>36</v>
      </c>
      <c r="B55" t="s">
        <v>69</v>
      </c>
      <c r="C55" t="s">
        <v>66</v>
      </c>
      <c r="D55">
        <v>27921</v>
      </c>
      <c r="E55">
        <v>6</v>
      </c>
      <c r="P55" t="s">
        <v>36</v>
      </c>
      <c r="Q55" t="s">
        <v>69</v>
      </c>
      <c r="R55">
        <v>6</v>
      </c>
      <c r="AI55" t="s">
        <v>69</v>
      </c>
      <c r="AJ55">
        <v>27921</v>
      </c>
      <c r="AK55" t="s">
        <v>42</v>
      </c>
      <c r="AL55">
        <f>COUNTIF(AI:AI,AK55)</f>
        <v>8</v>
      </c>
      <c r="AM55">
        <f>SUMIF(AI:AI,AK55,AJ:AJ)</f>
        <v>330400</v>
      </c>
      <c r="AP55" t="s">
        <v>36</v>
      </c>
      <c r="AQ55" t="s">
        <v>69</v>
      </c>
      <c r="AS55" t="s">
        <v>85</v>
      </c>
      <c r="AT55">
        <v>30900</v>
      </c>
      <c r="AU55">
        <f t="shared" si="8"/>
        <v>7</v>
      </c>
      <c r="BP55" t="s">
        <v>12</v>
      </c>
      <c r="BQ55" t="s">
        <v>365</v>
      </c>
      <c r="BR55">
        <f t="shared" si="31"/>
        <v>5</v>
      </c>
      <c r="BS55">
        <f t="shared" si="24"/>
        <v>2024</v>
      </c>
      <c r="BT55">
        <v>6</v>
      </c>
      <c r="BU55" t="str">
        <f t="shared" si="25"/>
        <v>2024-5</v>
      </c>
      <c r="BV55">
        <f t="shared" si="26"/>
        <v>0</v>
      </c>
      <c r="BX55" t="s">
        <v>36</v>
      </c>
      <c r="BY55" t="s">
        <v>66</v>
      </c>
      <c r="BZ55">
        <v>27921</v>
      </c>
      <c r="CA55">
        <f t="shared" si="27"/>
        <v>9</v>
      </c>
      <c r="CB55">
        <f t="shared" si="28"/>
        <v>2023</v>
      </c>
      <c r="CC55" t="str">
        <f t="shared" si="29"/>
        <v>2023-9</v>
      </c>
    </row>
    <row r="56" spans="1:81" x14ac:dyDescent="0.25">
      <c r="A56" t="s">
        <v>32</v>
      </c>
      <c r="B56" t="s">
        <v>70</v>
      </c>
      <c r="C56" t="s">
        <v>71</v>
      </c>
      <c r="D56">
        <v>57831</v>
      </c>
      <c r="E56">
        <v>3</v>
      </c>
      <c r="P56" t="s">
        <v>32</v>
      </c>
      <c r="Q56" t="s">
        <v>70</v>
      </c>
      <c r="R56">
        <v>3</v>
      </c>
      <c r="AI56" t="s">
        <v>70</v>
      </c>
      <c r="AJ56">
        <v>57831</v>
      </c>
      <c r="AK56" t="s">
        <v>55</v>
      </c>
      <c r="AL56">
        <f>COUNTIF(AI:AI,AK56)</f>
        <v>7</v>
      </c>
      <c r="AM56">
        <f>SUMIF(AI:AI,AK56,AJ:AJ)</f>
        <v>329890</v>
      </c>
      <c r="AP56" t="s">
        <v>32</v>
      </c>
      <c r="AQ56" t="s">
        <v>70</v>
      </c>
      <c r="AS56" t="s">
        <v>87</v>
      </c>
      <c r="AT56">
        <v>13036</v>
      </c>
      <c r="AU56">
        <f t="shared" si="8"/>
        <v>7</v>
      </c>
      <c r="BP56" t="s">
        <v>12</v>
      </c>
      <c r="BQ56" t="s">
        <v>371</v>
      </c>
      <c r="BR56">
        <f t="shared" si="31"/>
        <v>5</v>
      </c>
      <c r="BS56">
        <f t="shared" si="24"/>
        <v>2024</v>
      </c>
      <c r="BT56">
        <v>3</v>
      </c>
      <c r="BU56" t="str">
        <f t="shared" si="25"/>
        <v>2024-5</v>
      </c>
      <c r="BV56">
        <f t="shared" si="26"/>
        <v>0</v>
      </c>
      <c r="BX56" t="s">
        <v>32</v>
      </c>
      <c r="BY56" t="s">
        <v>71</v>
      </c>
      <c r="BZ56">
        <v>57831</v>
      </c>
      <c r="CA56">
        <f t="shared" si="27"/>
        <v>9</v>
      </c>
      <c r="CB56">
        <f t="shared" si="28"/>
        <v>2023</v>
      </c>
      <c r="CC56" t="str">
        <f t="shared" si="29"/>
        <v>2023-9</v>
      </c>
    </row>
    <row r="57" spans="1:81" x14ac:dyDescent="0.25">
      <c r="A57" t="s">
        <v>32</v>
      </c>
      <c r="B57" t="s">
        <v>47</v>
      </c>
      <c r="C57" t="s">
        <v>71</v>
      </c>
      <c r="D57">
        <v>77304</v>
      </c>
      <c r="E57">
        <v>9</v>
      </c>
      <c r="P57" t="s">
        <v>32</v>
      </c>
      <c r="Q57" t="s">
        <v>47</v>
      </c>
      <c r="R57">
        <v>9</v>
      </c>
      <c r="AI57" t="s">
        <v>47</v>
      </c>
      <c r="AJ57">
        <v>77304</v>
      </c>
      <c r="AK57" t="s">
        <v>25</v>
      </c>
      <c r="AL57">
        <f>COUNTIF(AI:AI,AK57)</f>
        <v>6</v>
      </c>
      <c r="AM57">
        <f>SUMIF(AI:AI,AK57,AJ:AJ)</f>
        <v>327594</v>
      </c>
      <c r="AP57" t="s">
        <v>32</v>
      </c>
      <c r="AQ57" t="s">
        <v>47</v>
      </c>
      <c r="AS57" t="s">
        <v>88</v>
      </c>
      <c r="AT57">
        <v>51776</v>
      </c>
      <c r="AU57">
        <f t="shared" si="8"/>
        <v>5</v>
      </c>
      <c r="BP57" t="s">
        <v>12</v>
      </c>
      <c r="BQ57" t="s">
        <v>372</v>
      </c>
      <c r="BR57">
        <f t="shared" si="31"/>
        <v>5</v>
      </c>
      <c r="BS57">
        <f t="shared" si="24"/>
        <v>2024</v>
      </c>
      <c r="BT57">
        <v>9</v>
      </c>
      <c r="BU57" t="str">
        <f t="shared" si="25"/>
        <v>2024-5</v>
      </c>
      <c r="BV57">
        <f t="shared" si="26"/>
        <v>2</v>
      </c>
      <c r="BX57" t="s">
        <v>32</v>
      </c>
      <c r="BY57" t="s">
        <v>71</v>
      </c>
      <c r="BZ57">
        <v>77304</v>
      </c>
      <c r="CA57">
        <f t="shared" si="27"/>
        <v>9</v>
      </c>
      <c r="CB57">
        <f t="shared" si="28"/>
        <v>2023</v>
      </c>
      <c r="CC57" t="str">
        <f t="shared" si="29"/>
        <v>2023-9</v>
      </c>
    </row>
    <row r="58" spans="1:81" x14ac:dyDescent="0.25">
      <c r="A58" t="s">
        <v>14</v>
      </c>
      <c r="B58" t="s">
        <v>72</v>
      </c>
      <c r="C58" t="s">
        <v>73</v>
      </c>
      <c r="D58">
        <v>91703</v>
      </c>
      <c r="E58">
        <v>2</v>
      </c>
      <c r="P58" t="s">
        <v>14</v>
      </c>
      <c r="Q58" t="s">
        <v>72</v>
      </c>
      <c r="R58">
        <v>2</v>
      </c>
      <c r="AI58" t="s">
        <v>72</v>
      </c>
      <c r="AJ58">
        <v>91703</v>
      </c>
      <c r="AK58" t="s">
        <v>9</v>
      </c>
      <c r="AL58">
        <f>COUNTIF(AI:AI,AK58)</f>
        <v>6</v>
      </c>
      <c r="AM58">
        <f>SUMIF(AI:AI,AK58,AJ:AJ)</f>
        <v>327373</v>
      </c>
      <c r="AP58" t="s">
        <v>14</v>
      </c>
      <c r="AQ58" t="s">
        <v>72</v>
      </c>
      <c r="AS58" t="s">
        <v>89</v>
      </c>
      <c r="AT58">
        <v>21510</v>
      </c>
      <c r="AU58">
        <f t="shared" si="8"/>
        <v>7</v>
      </c>
      <c r="BP58" t="s">
        <v>12</v>
      </c>
      <c r="BQ58" t="s">
        <v>372</v>
      </c>
      <c r="BR58">
        <f t="shared" si="31"/>
        <v>5</v>
      </c>
      <c r="BS58">
        <f t="shared" si="24"/>
        <v>2024</v>
      </c>
      <c r="BT58">
        <v>2</v>
      </c>
      <c r="BU58" t="str">
        <f t="shared" si="25"/>
        <v>2024-5</v>
      </c>
      <c r="BV58">
        <f t="shared" si="26"/>
        <v>0</v>
      </c>
      <c r="BX58" t="s">
        <v>14</v>
      </c>
      <c r="BY58" t="s">
        <v>73</v>
      </c>
      <c r="BZ58">
        <v>91703</v>
      </c>
      <c r="CA58">
        <f t="shared" si="27"/>
        <v>9</v>
      </c>
      <c r="CB58">
        <f t="shared" si="28"/>
        <v>2023</v>
      </c>
      <c r="CC58" t="str">
        <f t="shared" si="29"/>
        <v>2023-9</v>
      </c>
    </row>
    <row r="59" spans="1:81" x14ac:dyDescent="0.25">
      <c r="A59" t="s">
        <v>33</v>
      </c>
      <c r="B59" t="s">
        <v>74</v>
      </c>
      <c r="C59" t="s">
        <v>73</v>
      </c>
      <c r="D59">
        <v>71018</v>
      </c>
      <c r="E59">
        <v>2</v>
      </c>
      <c r="P59" t="s">
        <v>33</v>
      </c>
      <c r="Q59" t="s">
        <v>74</v>
      </c>
      <c r="R59">
        <v>2</v>
      </c>
      <c r="AI59" t="s">
        <v>74</v>
      </c>
      <c r="AJ59">
        <v>71018</v>
      </c>
      <c r="AK59" t="s">
        <v>22</v>
      </c>
      <c r="AL59">
        <f>COUNTIF(AI:AI,AK59)</f>
        <v>7</v>
      </c>
      <c r="AM59">
        <f>SUMIF(AI:AI,AK59,AJ:AJ)</f>
        <v>326990</v>
      </c>
      <c r="AP59" t="s">
        <v>33</v>
      </c>
      <c r="AQ59" t="s">
        <v>74</v>
      </c>
      <c r="AS59" t="s">
        <v>90</v>
      </c>
      <c r="AT59">
        <v>23967</v>
      </c>
      <c r="AU59">
        <f t="shared" si="8"/>
        <v>7</v>
      </c>
      <c r="BP59" t="s">
        <v>12</v>
      </c>
      <c r="BQ59" t="s">
        <v>383</v>
      </c>
      <c r="BR59">
        <f t="shared" si="31"/>
        <v>5</v>
      </c>
      <c r="BS59">
        <f t="shared" si="24"/>
        <v>2024</v>
      </c>
      <c r="BT59">
        <v>2</v>
      </c>
      <c r="BU59" t="str">
        <f t="shared" si="25"/>
        <v>2024-5</v>
      </c>
      <c r="BV59">
        <f t="shared" si="26"/>
        <v>0</v>
      </c>
      <c r="BX59" t="s">
        <v>33</v>
      </c>
      <c r="BY59" t="s">
        <v>73</v>
      </c>
      <c r="BZ59">
        <v>71018</v>
      </c>
      <c r="CA59">
        <f t="shared" si="27"/>
        <v>9</v>
      </c>
      <c r="CB59">
        <f t="shared" si="28"/>
        <v>2023</v>
      </c>
      <c r="CC59" t="str">
        <f t="shared" si="29"/>
        <v>2023-9</v>
      </c>
    </row>
    <row r="60" spans="1:81" x14ac:dyDescent="0.25">
      <c r="A60" t="s">
        <v>8</v>
      </c>
      <c r="B60" t="s">
        <v>28</v>
      </c>
      <c r="C60" t="s">
        <v>73</v>
      </c>
      <c r="D60">
        <v>57949</v>
      </c>
      <c r="E60">
        <v>7</v>
      </c>
      <c r="P60" t="s">
        <v>8</v>
      </c>
      <c r="Q60" t="s">
        <v>28</v>
      </c>
      <c r="R60">
        <v>7</v>
      </c>
      <c r="AI60" t="s">
        <v>28</v>
      </c>
      <c r="AJ60">
        <v>57949</v>
      </c>
      <c r="AK60" t="s">
        <v>39</v>
      </c>
      <c r="AL60">
        <f>COUNTIF(AI:AI,AK60)</f>
        <v>5</v>
      </c>
      <c r="AM60">
        <f>SUMIF(AI:AI,AK60,AJ:AJ)</f>
        <v>324242</v>
      </c>
      <c r="AP60" t="s">
        <v>8</v>
      </c>
      <c r="AQ60" t="s">
        <v>28</v>
      </c>
      <c r="AS60" t="s">
        <v>91</v>
      </c>
      <c r="AT60">
        <v>16470</v>
      </c>
      <c r="AU60">
        <f t="shared" si="8"/>
        <v>4</v>
      </c>
      <c r="BP60" t="s">
        <v>12</v>
      </c>
      <c r="BQ60" t="s">
        <v>387</v>
      </c>
      <c r="BR60">
        <f t="shared" si="31"/>
        <v>5</v>
      </c>
      <c r="BS60">
        <f t="shared" si="24"/>
        <v>2024</v>
      </c>
      <c r="BT60">
        <v>7</v>
      </c>
      <c r="BU60" t="str">
        <f t="shared" si="25"/>
        <v>2024-5</v>
      </c>
      <c r="BV60">
        <f t="shared" si="26"/>
        <v>1</v>
      </c>
      <c r="BX60" t="s">
        <v>8</v>
      </c>
      <c r="BY60" t="s">
        <v>73</v>
      </c>
      <c r="BZ60">
        <v>57949</v>
      </c>
      <c r="CA60">
        <f t="shared" si="27"/>
        <v>9</v>
      </c>
      <c r="CB60">
        <f t="shared" si="28"/>
        <v>2023</v>
      </c>
      <c r="CC60" t="str">
        <f t="shared" si="29"/>
        <v>2023-9</v>
      </c>
    </row>
    <row r="61" spans="1:81" x14ac:dyDescent="0.25">
      <c r="A61" t="s">
        <v>33</v>
      </c>
      <c r="B61" t="s">
        <v>75</v>
      </c>
      <c r="C61" t="s">
        <v>73</v>
      </c>
      <c r="D61">
        <v>29443</v>
      </c>
      <c r="E61">
        <v>7</v>
      </c>
      <c r="P61" t="s">
        <v>33</v>
      </c>
      <c r="Q61" t="s">
        <v>75</v>
      </c>
      <c r="R61">
        <v>7</v>
      </c>
      <c r="AI61" t="s">
        <v>75</v>
      </c>
      <c r="AJ61">
        <v>29443</v>
      </c>
      <c r="AK61" t="s">
        <v>34</v>
      </c>
      <c r="AL61">
        <f>COUNTIF(AI:AI,AK61)</f>
        <v>5</v>
      </c>
      <c r="AM61">
        <f>SUMIF(AI:AI,AK61,AJ:AJ)</f>
        <v>321890</v>
      </c>
      <c r="AP61" t="s">
        <v>33</v>
      </c>
      <c r="AQ61" t="s">
        <v>75</v>
      </c>
      <c r="AS61" t="s">
        <v>92</v>
      </c>
      <c r="AT61">
        <v>63968</v>
      </c>
      <c r="AU61">
        <f t="shared" si="8"/>
        <v>5</v>
      </c>
      <c r="BP61" t="s">
        <v>12</v>
      </c>
      <c r="BQ61" t="s">
        <v>389</v>
      </c>
      <c r="BR61">
        <f t="shared" si="31"/>
        <v>6</v>
      </c>
      <c r="BS61">
        <f t="shared" si="24"/>
        <v>2024</v>
      </c>
      <c r="BT61">
        <v>7</v>
      </c>
      <c r="BU61" t="str">
        <f t="shared" si="25"/>
        <v>2024-6</v>
      </c>
      <c r="BV61">
        <f t="shared" si="26"/>
        <v>1</v>
      </c>
      <c r="BX61" t="s">
        <v>33</v>
      </c>
      <c r="BY61" t="s">
        <v>73</v>
      </c>
      <c r="BZ61">
        <v>29443</v>
      </c>
      <c r="CA61">
        <f t="shared" si="27"/>
        <v>9</v>
      </c>
      <c r="CB61">
        <f t="shared" si="28"/>
        <v>2023</v>
      </c>
      <c r="CC61" t="str">
        <f t="shared" si="29"/>
        <v>2023-9</v>
      </c>
    </row>
    <row r="62" spans="1:81" x14ac:dyDescent="0.25">
      <c r="A62" t="s">
        <v>27</v>
      </c>
      <c r="B62" t="s">
        <v>76</v>
      </c>
      <c r="C62" t="s">
        <v>73</v>
      </c>
      <c r="D62">
        <v>48963</v>
      </c>
      <c r="E62">
        <v>8</v>
      </c>
      <c r="P62" t="s">
        <v>27</v>
      </c>
      <c r="Q62" t="s">
        <v>76</v>
      </c>
      <c r="R62">
        <v>8</v>
      </c>
      <c r="AI62" t="s">
        <v>76</v>
      </c>
      <c r="AJ62">
        <v>48963</v>
      </c>
      <c r="AK62" t="s">
        <v>396</v>
      </c>
      <c r="AL62">
        <f>COUNTIF(AI:AI,AK62)</f>
        <v>6</v>
      </c>
      <c r="AM62">
        <f>SUMIF(AI:AI,AK62,AJ:AJ)</f>
        <v>320318</v>
      </c>
      <c r="AP62" t="s">
        <v>27</v>
      </c>
      <c r="AQ62" t="s">
        <v>76</v>
      </c>
      <c r="AS62" t="s">
        <v>93</v>
      </c>
      <c r="AT62">
        <v>85174</v>
      </c>
      <c r="AU62">
        <f t="shared" si="8"/>
        <v>6</v>
      </c>
      <c r="BP62" t="s">
        <v>12</v>
      </c>
      <c r="BQ62" t="s">
        <v>389</v>
      </c>
      <c r="BR62">
        <f t="shared" si="31"/>
        <v>6</v>
      </c>
      <c r="BS62">
        <f t="shared" si="24"/>
        <v>2024</v>
      </c>
      <c r="BT62">
        <v>8</v>
      </c>
      <c r="BU62" t="str">
        <f t="shared" si="25"/>
        <v>2024-6</v>
      </c>
      <c r="BV62">
        <f t="shared" si="26"/>
        <v>1</v>
      </c>
      <c r="BX62" t="s">
        <v>27</v>
      </c>
      <c r="BY62" t="s">
        <v>73</v>
      </c>
      <c r="BZ62">
        <v>48963</v>
      </c>
      <c r="CA62">
        <f t="shared" si="27"/>
        <v>9</v>
      </c>
      <c r="CB62">
        <f t="shared" si="28"/>
        <v>2023</v>
      </c>
      <c r="CC62" t="str">
        <f t="shared" si="29"/>
        <v>2023-9</v>
      </c>
    </row>
    <row r="63" spans="1:81" x14ac:dyDescent="0.25">
      <c r="A63" t="s">
        <v>32</v>
      </c>
      <c r="B63" t="s">
        <v>77</v>
      </c>
      <c r="C63" t="s">
        <v>73</v>
      </c>
      <c r="D63">
        <v>53543</v>
      </c>
      <c r="E63">
        <v>8</v>
      </c>
      <c r="P63" t="s">
        <v>32</v>
      </c>
      <c r="Q63" t="s">
        <v>77</v>
      </c>
      <c r="R63">
        <v>8</v>
      </c>
      <c r="AI63" t="s">
        <v>77</v>
      </c>
      <c r="AJ63">
        <v>53543</v>
      </c>
      <c r="AK63" t="s">
        <v>274</v>
      </c>
      <c r="AL63">
        <f>COUNTIF(AI:AI,AK63)</f>
        <v>8</v>
      </c>
      <c r="AM63">
        <f>SUMIF(AI:AI,AK63,AJ:AJ)</f>
        <v>319974</v>
      </c>
      <c r="AP63" t="s">
        <v>32</v>
      </c>
      <c r="AQ63" t="s">
        <v>77</v>
      </c>
      <c r="AS63" t="s">
        <v>95</v>
      </c>
      <c r="AT63">
        <v>40487</v>
      </c>
      <c r="AU63">
        <f t="shared" si="8"/>
        <v>4</v>
      </c>
      <c r="BP63" t="s">
        <v>12</v>
      </c>
      <c r="BQ63" t="s">
        <v>395</v>
      </c>
      <c r="BR63">
        <f t="shared" si="31"/>
        <v>6</v>
      </c>
      <c r="BS63">
        <f t="shared" si="24"/>
        <v>2024</v>
      </c>
      <c r="BT63">
        <v>8</v>
      </c>
      <c r="BU63" t="str">
        <f t="shared" si="25"/>
        <v>2024-6</v>
      </c>
      <c r="BV63">
        <f t="shared" si="26"/>
        <v>1</v>
      </c>
      <c r="BX63" t="s">
        <v>32</v>
      </c>
      <c r="BY63" t="s">
        <v>73</v>
      </c>
      <c r="BZ63">
        <v>53543</v>
      </c>
      <c r="CA63">
        <f t="shared" si="27"/>
        <v>9</v>
      </c>
      <c r="CB63">
        <f t="shared" si="28"/>
        <v>2023</v>
      </c>
      <c r="CC63" t="str">
        <f t="shared" si="29"/>
        <v>2023-9</v>
      </c>
    </row>
    <row r="64" spans="1:81" x14ac:dyDescent="0.25">
      <c r="A64" t="s">
        <v>33</v>
      </c>
      <c r="B64" t="s">
        <v>6</v>
      </c>
      <c r="C64" t="s">
        <v>78</v>
      </c>
      <c r="D64">
        <v>81222</v>
      </c>
      <c r="E64">
        <v>6</v>
      </c>
      <c r="P64" t="s">
        <v>33</v>
      </c>
      <c r="Q64" t="s">
        <v>6</v>
      </c>
      <c r="R64">
        <v>6</v>
      </c>
      <c r="AI64" t="s">
        <v>6</v>
      </c>
      <c r="AJ64">
        <v>81222</v>
      </c>
      <c r="AK64" t="s">
        <v>238</v>
      </c>
      <c r="AL64">
        <f>COUNTIF(AI:AI,AK64)</f>
        <v>5</v>
      </c>
      <c r="AM64">
        <f>SUMIF(AI:AI,AK64,AJ:AJ)</f>
        <v>316024</v>
      </c>
      <c r="AP64" t="s">
        <v>33</v>
      </c>
      <c r="AQ64" t="s">
        <v>6</v>
      </c>
      <c r="AS64" t="s">
        <v>97</v>
      </c>
      <c r="AT64">
        <v>95253</v>
      </c>
      <c r="AU64">
        <f t="shared" si="8"/>
        <v>2</v>
      </c>
      <c r="BP64" t="s">
        <v>12</v>
      </c>
      <c r="BQ64" t="s">
        <v>400</v>
      </c>
      <c r="BR64">
        <f t="shared" si="31"/>
        <v>6</v>
      </c>
      <c r="BS64">
        <f t="shared" si="24"/>
        <v>2024</v>
      </c>
      <c r="BT64">
        <v>6</v>
      </c>
      <c r="BU64" t="str">
        <f t="shared" si="25"/>
        <v>2024-6</v>
      </c>
      <c r="BV64">
        <f t="shared" si="26"/>
        <v>0</v>
      </c>
      <c r="BX64" t="s">
        <v>33</v>
      </c>
      <c r="BY64" t="s">
        <v>78</v>
      </c>
      <c r="BZ64">
        <v>81222</v>
      </c>
      <c r="CA64">
        <f t="shared" si="27"/>
        <v>9</v>
      </c>
      <c r="CB64">
        <f t="shared" si="28"/>
        <v>2023</v>
      </c>
      <c r="CC64" t="str">
        <f t="shared" si="29"/>
        <v>2023-9</v>
      </c>
    </row>
    <row r="65" spans="1:81" x14ac:dyDescent="0.25">
      <c r="A65" t="s">
        <v>14</v>
      </c>
      <c r="B65" t="s">
        <v>79</v>
      </c>
      <c r="C65" t="s">
        <v>80</v>
      </c>
      <c r="D65">
        <v>95434</v>
      </c>
      <c r="E65">
        <v>2</v>
      </c>
      <c r="P65" t="s">
        <v>14</v>
      </c>
      <c r="Q65" t="s">
        <v>79</v>
      </c>
      <c r="R65">
        <v>2</v>
      </c>
      <c r="AI65" t="s">
        <v>79</v>
      </c>
      <c r="AJ65">
        <v>95434</v>
      </c>
      <c r="AK65" t="s">
        <v>6</v>
      </c>
      <c r="AL65">
        <f>COUNTIF(AI:AI,AK65)</f>
        <v>4</v>
      </c>
      <c r="AM65">
        <f>SUMIF(AI:AI,AK65,AJ:AJ)</f>
        <v>315786</v>
      </c>
      <c r="AP65" t="s">
        <v>14</v>
      </c>
      <c r="AQ65" t="s">
        <v>79</v>
      </c>
      <c r="AS65" t="s">
        <v>98</v>
      </c>
      <c r="AT65">
        <v>70262</v>
      </c>
      <c r="AU65">
        <f t="shared" si="8"/>
        <v>5</v>
      </c>
      <c r="BP65" t="s">
        <v>12</v>
      </c>
      <c r="BQ65" t="s">
        <v>402</v>
      </c>
      <c r="BR65">
        <f t="shared" si="31"/>
        <v>6</v>
      </c>
      <c r="BS65">
        <f t="shared" si="24"/>
        <v>2024</v>
      </c>
      <c r="BT65">
        <v>2</v>
      </c>
      <c r="BU65" t="str">
        <f t="shared" si="25"/>
        <v>2024-6</v>
      </c>
      <c r="BV65">
        <f t="shared" si="26"/>
        <v>0</v>
      </c>
      <c r="BX65" t="s">
        <v>14</v>
      </c>
      <c r="BY65" t="s">
        <v>80</v>
      </c>
      <c r="BZ65">
        <v>95434</v>
      </c>
      <c r="CA65">
        <f t="shared" si="27"/>
        <v>9</v>
      </c>
      <c r="CB65">
        <f t="shared" si="28"/>
        <v>2023</v>
      </c>
      <c r="CC65" t="str">
        <f t="shared" si="29"/>
        <v>2023-9</v>
      </c>
    </row>
    <row r="66" spans="1:81" x14ac:dyDescent="0.25">
      <c r="A66" t="s">
        <v>17</v>
      </c>
      <c r="B66" t="s">
        <v>81</v>
      </c>
      <c r="C66" t="s">
        <v>80</v>
      </c>
      <c r="D66">
        <v>13954</v>
      </c>
      <c r="E66">
        <v>7</v>
      </c>
      <c r="P66" t="s">
        <v>17</v>
      </c>
      <c r="Q66" t="s">
        <v>81</v>
      </c>
      <c r="R66">
        <v>7</v>
      </c>
      <c r="AI66" t="s">
        <v>81</v>
      </c>
      <c r="AJ66">
        <v>13954</v>
      </c>
      <c r="AK66" t="s">
        <v>177</v>
      </c>
      <c r="AL66">
        <f>COUNTIF(AI:AI,AK66)</f>
        <v>7</v>
      </c>
      <c r="AM66">
        <f>SUMIF(AI:AI,AK66,AJ:AJ)</f>
        <v>314848</v>
      </c>
      <c r="AP66" t="s">
        <v>17</v>
      </c>
      <c r="AQ66" t="s">
        <v>81</v>
      </c>
      <c r="AS66" t="s">
        <v>100</v>
      </c>
      <c r="AT66">
        <v>41208</v>
      </c>
      <c r="AU66">
        <f t="shared" si="8"/>
        <v>3</v>
      </c>
      <c r="BP66" t="s">
        <v>12</v>
      </c>
      <c r="BQ66" t="s">
        <v>404</v>
      </c>
      <c r="BR66">
        <f t="shared" si="31"/>
        <v>6</v>
      </c>
      <c r="BS66">
        <f t="shared" si="24"/>
        <v>2024</v>
      </c>
      <c r="BT66">
        <v>7</v>
      </c>
      <c r="BU66" t="str">
        <f t="shared" si="25"/>
        <v>2024-6</v>
      </c>
      <c r="BV66">
        <f t="shared" si="26"/>
        <v>1</v>
      </c>
      <c r="BX66" t="s">
        <v>17</v>
      </c>
      <c r="BY66" t="s">
        <v>80</v>
      </c>
      <c r="BZ66">
        <v>13954</v>
      </c>
      <c r="CA66">
        <f t="shared" si="27"/>
        <v>9</v>
      </c>
      <c r="CB66">
        <f t="shared" si="28"/>
        <v>2023</v>
      </c>
      <c r="CC66" t="str">
        <f t="shared" si="29"/>
        <v>2023-9</v>
      </c>
    </row>
    <row r="67" spans="1:81" x14ac:dyDescent="0.25">
      <c r="A67" t="s">
        <v>12</v>
      </c>
      <c r="B67" t="s">
        <v>82</v>
      </c>
      <c r="C67" t="s">
        <v>83</v>
      </c>
      <c r="D67">
        <v>74053</v>
      </c>
      <c r="E67">
        <v>9</v>
      </c>
      <c r="P67" t="s">
        <v>12</v>
      </c>
      <c r="Q67" t="s">
        <v>82</v>
      </c>
      <c r="R67">
        <v>9</v>
      </c>
      <c r="AI67" t="s">
        <v>82</v>
      </c>
      <c r="AJ67">
        <v>74053</v>
      </c>
      <c r="AK67" t="s">
        <v>352</v>
      </c>
      <c r="AL67">
        <f>COUNTIF(AI:AI,AK67)</f>
        <v>5</v>
      </c>
      <c r="AM67">
        <f>SUMIF(AI:AI,AK67,AJ:AJ)</f>
        <v>314159</v>
      </c>
      <c r="AP67" t="s">
        <v>12</v>
      </c>
      <c r="AQ67" t="s">
        <v>82</v>
      </c>
      <c r="AS67" t="s">
        <v>101</v>
      </c>
      <c r="AT67">
        <v>54772</v>
      </c>
      <c r="AU67">
        <f t="shared" ref="AU67:AU130" si="32">COUNTIF(AQ:AQ,AS67)</f>
        <v>8</v>
      </c>
      <c r="BP67" t="s">
        <v>12</v>
      </c>
      <c r="BQ67" t="s">
        <v>410</v>
      </c>
      <c r="BR67">
        <f t="shared" si="31"/>
        <v>7</v>
      </c>
      <c r="BS67">
        <f t="shared" ref="BS67:BS130" si="33">YEAR(BQ67)</f>
        <v>2024</v>
      </c>
      <c r="BT67">
        <v>9</v>
      </c>
      <c r="BU67" t="str">
        <f t="shared" ref="BU67:BU130" si="34">BS67&amp;"-"&amp;BR67</f>
        <v>2024-7</v>
      </c>
      <c r="BV67">
        <f t="shared" ref="BV67:BV130" si="35">IF(BT67&lt;7,0,IF(BT67&lt;9,1,2))</f>
        <v>2</v>
      </c>
      <c r="BX67" t="s">
        <v>12</v>
      </c>
      <c r="BY67" t="s">
        <v>83</v>
      </c>
      <c r="BZ67">
        <v>74053</v>
      </c>
      <c r="CA67">
        <f t="shared" ref="CA67:CA130" si="36">MONTH(BY67)</f>
        <v>9</v>
      </c>
      <c r="CB67">
        <f t="shared" ref="CB67:CB130" si="37">YEAR(BY67)</f>
        <v>2023</v>
      </c>
      <c r="CC67" t="str">
        <f t="shared" ref="CC67:CC130" si="38">CB67&amp;"-"&amp;CA67</f>
        <v>2023-9</v>
      </c>
    </row>
    <row r="68" spans="1:81" x14ac:dyDescent="0.25">
      <c r="A68" t="s">
        <v>36</v>
      </c>
      <c r="B68" t="s">
        <v>84</v>
      </c>
      <c r="C68" t="s">
        <v>83</v>
      </c>
      <c r="D68">
        <v>31254</v>
      </c>
      <c r="E68">
        <v>2</v>
      </c>
      <c r="P68" t="s">
        <v>36</v>
      </c>
      <c r="Q68" t="s">
        <v>84</v>
      </c>
      <c r="R68">
        <v>2</v>
      </c>
      <c r="AI68" t="s">
        <v>84</v>
      </c>
      <c r="AJ68">
        <v>31254</v>
      </c>
      <c r="AK68" t="s">
        <v>147</v>
      </c>
      <c r="AL68">
        <f>COUNTIF(AI:AI,AK68)</f>
        <v>5</v>
      </c>
      <c r="AM68">
        <f>SUMIF(AI:AI,AK68,AJ:AJ)</f>
        <v>313998</v>
      </c>
      <c r="AP68" t="s">
        <v>36</v>
      </c>
      <c r="AQ68" t="s">
        <v>84</v>
      </c>
      <c r="AS68" t="s">
        <v>103</v>
      </c>
      <c r="AT68">
        <v>56736</v>
      </c>
      <c r="AU68">
        <f t="shared" si="32"/>
        <v>2</v>
      </c>
      <c r="BP68" t="s">
        <v>12</v>
      </c>
      <c r="BQ68" t="s">
        <v>418</v>
      </c>
      <c r="BR68">
        <f t="shared" si="31"/>
        <v>7</v>
      </c>
      <c r="BS68">
        <f t="shared" si="33"/>
        <v>2024</v>
      </c>
      <c r="BT68">
        <v>2</v>
      </c>
      <c r="BU68" t="str">
        <f t="shared" si="34"/>
        <v>2024-7</v>
      </c>
      <c r="BV68">
        <f t="shared" si="35"/>
        <v>0</v>
      </c>
      <c r="BX68" t="s">
        <v>36</v>
      </c>
      <c r="BY68" t="s">
        <v>83</v>
      </c>
      <c r="BZ68">
        <v>31254</v>
      </c>
      <c r="CA68">
        <f t="shared" si="36"/>
        <v>9</v>
      </c>
      <c r="CB68">
        <f t="shared" si="37"/>
        <v>2023</v>
      </c>
      <c r="CC68" t="str">
        <f t="shared" si="38"/>
        <v>2023-9</v>
      </c>
    </row>
    <row r="69" spans="1:81" x14ac:dyDescent="0.25">
      <c r="A69" t="s">
        <v>12</v>
      </c>
      <c r="B69" t="s">
        <v>85</v>
      </c>
      <c r="C69" t="s">
        <v>86</v>
      </c>
      <c r="D69">
        <v>30900</v>
      </c>
      <c r="E69">
        <v>2</v>
      </c>
      <c r="P69" t="s">
        <v>12</v>
      </c>
      <c r="Q69" t="s">
        <v>85</v>
      </c>
      <c r="R69">
        <v>2</v>
      </c>
      <c r="AI69" t="s">
        <v>85</v>
      </c>
      <c r="AJ69">
        <v>30900</v>
      </c>
      <c r="AK69" t="s">
        <v>110</v>
      </c>
      <c r="AL69">
        <f>COUNTIF(AI:AI,AK69)</f>
        <v>5</v>
      </c>
      <c r="AM69">
        <f>SUMIF(AI:AI,AK69,AJ:AJ)</f>
        <v>310281</v>
      </c>
      <c r="AP69" t="s">
        <v>12</v>
      </c>
      <c r="AQ69" t="s">
        <v>85</v>
      </c>
      <c r="AS69" t="s">
        <v>104</v>
      </c>
      <c r="AT69">
        <v>12327</v>
      </c>
      <c r="AU69">
        <f t="shared" si="32"/>
        <v>6</v>
      </c>
      <c r="BP69" t="s">
        <v>12</v>
      </c>
      <c r="BQ69" t="s">
        <v>421</v>
      </c>
      <c r="BR69">
        <f t="shared" si="31"/>
        <v>7</v>
      </c>
      <c r="BS69">
        <f t="shared" si="33"/>
        <v>2024</v>
      </c>
      <c r="BT69">
        <v>2</v>
      </c>
      <c r="BU69" t="str">
        <f t="shared" si="34"/>
        <v>2024-7</v>
      </c>
      <c r="BV69">
        <f t="shared" si="35"/>
        <v>0</v>
      </c>
      <c r="BX69" t="s">
        <v>12</v>
      </c>
      <c r="BY69" t="s">
        <v>86</v>
      </c>
      <c r="BZ69">
        <v>30900</v>
      </c>
      <c r="CA69">
        <f t="shared" si="36"/>
        <v>9</v>
      </c>
      <c r="CB69">
        <f t="shared" si="37"/>
        <v>2023</v>
      </c>
      <c r="CC69" t="str">
        <f t="shared" si="38"/>
        <v>2023-9</v>
      </c>
    </row>
    <row r="70" spans="1:81" x14ac:dyDescent="0.25">
      <c r="A70" t="s">
        <v>10</v>
      </c>
      <c r="B70" t="s">
        <v>87</v>
      </c>
      <c r="C70" t="s">
        <v>86</v>
      </c>
      <c r="D70">
        <v>13036</v>
      </c>
      <c r="E70">
        <v>6</v>
      </c>
      <c r="P70" t="s">
        <v>10</v>
      </c>
      <c r="Q70" t="s">
        <v>87</v>
      </c>
      <c r="R70">
        <v>6</v>
      </c>
      <c r="AI70" t="s">
        <v>87</v>
      </c>
      <c r="AJ70">
        <v>13036</v>
      </c>
      <c r="AK70" t="s">
        <v>51</v>
      </c>
      <c r="AL70">
        <f>COUNTIF(AI:AI,AK70)</f>
        <v>7</v>
      </c>
      <c r="AM70">
        <f>SUMIF(AI:AI,AK70,AJ:AJ)</f>
        <v>309600</v>
      </c>
      <c r="AP70" t="s">
        <v>10</v>
      </c>
      <c r="AQ70" t="s">
        <v>87</v>
      </c>
      <c r="AS70" t="s">
        <v>106</v>
      </c>
      <c r="AT70">
        <v>20248</v>
      </c>
      <c r="AU70">
        <f t="shared" si="32"/>
        <v>3</v>
      </c>
      <c r="BP70" t="s">
        <v>12</v>
      </c>
      <c r="BQ70" t="s">
        <v>431</v>
      </c>
      <c r="BR70">
        <f t="shared" si="31"/>
        <v>8</v>
      </c>
      <c r="BS70">
        <f t="shared" si="33"/>
        <v>2024</v>
      </c>
      <c r="BT70">
        <v>6</v>
      </c>
      <c r="BU70" t="str">
        <f t="shared" si="34"/>
        <v>2024-8</v>
      </c>
      <c r="BV70">
        <f t="shared" si="35"/>
        <v>0</v>
      </c>
      <c r="BX70" t="s">
        <v>10</v>
      </c>
      <c r="BY70" t="s">
        <v>86</v>
      </c>
      <c r="BZ70">
        <v>13036</v>
      </c>
      <c r="CA70">
        <f t="shared" si="36"/>
        <v>9</v>
      </c>
      <c r="CB70">
        <f t="shared" si="37"/>
        <v>2023</v>
      </c>
      <c r="CC70" t="str">
        <f t="shared" si="38"/>
        <v>2023-9</v>
      </c>
    </row>
    <row r="71" spans="1:81" x14ac:dyDescent="0.25">
      <c r="A71" t="s">
        <v>14</v>
      </c>
      <c r="B71" t="s">
        <v>88</v>
      </c>
      <c r="C71" t="s">
        <v>86</v>
      </c>
      <c r="D71">
        <v>51776</v>
      </c>
      <c r="E71">
        <v>7</v>
      </c>
      <c r="P71" t="s">
        <v>14</v>
      </c>
      <c r="Q71" t="s">
        <v>88</v>
      </c>
      <c r="R71">
        <v>7</v>
      </c>
      <c r="AI71" t="s">
        <v>88</v>
      </c>
      <c r="AJ71">
        <v>51776</v>
      </c>
      <c r="AK71" t="s">
        <v>215</v>
      </c>
      <c r="AL71">
        <f>COUNTIF(AI:AI,AK71)</f>
        <v>6</v>
      </c>
      <c r="AM71">
        <f>SUMIF(AI:AI,AK71,AJ:AJ)</f>
        <v>308948</v>
      </c>
      <c r="AP71" t="s">
        <v>14</v>
      </c>
      <c r="AQ71" t="s">
        <v>88</v>
      </c>
      <c r="AS71" t="s">
        <v>107</v>
      </c>
      <c r="AT71">
        <v>61586</v>
      </c>
      <c r="AU71">
        <f t="shared" si="32"/>
        <v>3</v>
      </c>
      <c r="BP71" t="s">
        <v>12</v>
      </c>
      <c r="BQ71" t="s">
        <v>432</v>
      </c>
      <c r="BR71">
        <f t="shared" si="31"/>
        <v>8</v>
      </c>
      <c r="BS71">
        <f t="shared" si="33"/>
        <v>2024</v>
      </c>
      <c r="BT71">
        <v>7</v>
      </c>
      <c r="BU71" t="str">
        <f t="shared" si="34"/>
        <v>2024-8</v>
      </c>
      <c r="BV71">
        <f t="shared" si="35"/>
        <v>1</v>
      </c>
      <c r="BX71" t="s">
        <v>14</v>
      </c>
      <c r="BY71" t="s">
        <v>86</v>
      </c>
      <c r="BZ71">
        <v>51776</v>
      </c>
      <c r="CA71">
        <f t="shared" si="36"/>
        <v>9</v>
      </c>
      <c r="CB71">
        <f t="shared" si="37"/>
        <v>2023</v>
      </c>
      <c r="CC71" t="str">
        <f t="shared" si="38"/>
        <v>2023-9</v>
      </c>
    </row>
    <row r="72" spans="1:81" x14ac:dyDescent="0.25">
      <c r="A72" t="s">
        <v>14</v>
      </c>
      <c r="B72" t="s">
        <v>89</v>
      </c>
      <c r="C72" t="s">
        <v>86</v>
      </c>
      <c r="D72">
        <v>21510</v>
      </c>
      <c r="E72">
        <v>7</v>
      </c>
      <c r="P72" t="s">
        <v>14</v>
      </c>
      <c r="Q72" t="s">
        <v>89</v>
      </c>
      <c r="R72">
        <v>7</v>
      </c>
      <c r="AI72" t="s">
        <v>89</v>
      </c>
      <c r="AJ72">
        <v>21510</v>
      </c>
      <c r="AK72" t="s">
        <v>129</v>
      </c>
      <c r="AL72">
        <f>COUNTIF(AI:AI,AK72)</f>
        <v>5</v>
      </c>
      <c r="AM72">
        <f>SUMIF(AI:AI,AK72,AJ:AJ)</f>
        <v>308461</v>
      </c>
      <c r="AP72" t="s">
        <v>14</v>
      </c>
      <c r="AQ72" t="s">
        <v>89</v>
      </c>
      <c r="AS72" t="s">
        <v>109</v>
      </c>
      <c r="AT72">
        <v>15831</v>
      </c>
      <c r="AU72">
        <f t="shared" si="32"/>
        <v>2</v>
      </c>
      <c r="BP72" t="s">
        <v>12</v>
      </c>
      <c r="BQ72" t="s">
        <v>432</v>
      </c>
      <c r="BR72">
        <f t="shared" si="31"/>
        <v>8</v>
      </c>
      <c r="BS72">
        <f t="shared" si="33"/>
        <v>2024</v>
      </c>
      <c r="BT72">
        <v>7</v>
      </c>
      <c r="BU72" t="str">
        <f t="shared" si="34"/>
        <v>2024-8</v>
      </c>
      <c r="BV72">
        <f t="shared" si="35"/>
        <v>1</v>
      </c>
      <c r="BX72" t="s">
        <v>14</v>
      </c>
      <c r="BY72" t="s">
        <v>86</v>
      </c>
      <c r="BZ72">
        <v>21510</v>
      </c>
      <c r="CA72">
        <f t="shared" si="36"/>
        <v>9</v>
      </c>
      <c r="CB72">
        <f t="shared" si="37"/>
        <v>2023</v>
      </c>
      <c r="CC72" t="str">
        <f t="shared" si="38"/>
        <v>2023-9</v>
      </c>
    </row>
    <row r="73" spans="1:81" x14ac:dyDescent="0.25">
      <c r="A73" t="s">
        <v>5</v>
      </c>
      <c r="B73" t="s">
        <v>90</v>
      </c>
      <c r="C73" t="s">
        <v>86</v>
      </c>
      <c r="D73">
        <v>23967</v>
      </c>
      <c r="E73">
        <v>8</v>
      </c>
      <c r="P73" t="s">
        <v>5</v>
      </c>
      <c r="Q73" t="s">
        <v>90</v>
      </c>
      <c r="R73">
        <v>8</v>
      </c>
      <c r="AI73" t="s">
        <v>90</v>
      </c>
      <c r="AJ73">
        <v>23967</v>
      </c>
      <c r="AK73" t="s">
        <v>67</v>
      </c>
      <c r="AL73">
        <f>COUNTIF(AI:AI,AK73)</f>
        <v>6</v>
      </c>
      <c r="AM73">
        <f>SUMIF(AI:AI,AK73,AJ:AJ)</f>
        <v>301407</v>
      </c>
      <c r="AP73" t="s">
        <v>5</v>
      </c>
      <c r="AQ73" t="s">
        <v>90</v>
      </c>
      <c r="AS73" t="s">
        <v>110</v>
      </c>
      <c r="AT73">
        <v>67283</v>
      </c>
      <c r="AU73">
        <f t="shared" si="32"/>
        <v>5</v>
      </c>
      <c r="BP73" t="s">
        <v>12</v>
      </c>
      <c r="BQ73" t="s">
        <v>436</v>
      </c>
      <c r="BR73">
        <f t="shared" si="31"/>
        <v>8</v>
      </c>
      <c r="BS73">
        <f t="shared" si="33"/>
        <v>2024</v>
      </c>
      <c r="BT73">
        <v>8</v>
      </c>
      <c r="BU73" t="str">
        <f t="shared" si="34"/>
        <v>2024-8</v>
      </c>
      <c r="BV73">
        <f t="shared" si="35"/>
        <v>1</v>
      </c>
      <c r="BX73" t="s">
        <v>5</v>
      </c>
      <c r="BY73" t="s">
        <v>86</v>
      </c>
      <c r="BZ73">
        <v>23967</v>
      </c>
      <c r="CA73">
        <f t="shared" si="36"/>
        <v>9</v>
      </c>
      <c r="CB73">
        <f t="shared" si="37"/>
        <v>2023</v>
      </c>
      <c r="CC73" t="str">
        <f t="shared" si="38"/>
        <v>2023-9</v>
      </c>
    </row>
    <row r="74" spans="1:81" x14ac:dyDescent="0.25">
      <c r="A74" t="s">
        <v>32</v>
      </c>
      <c r="B74" t="s">
        <v>15</v>
      </c>
      <c r="C74" t="s">
        <v>86</v>
      </c>
      <c r="D74">
        <v>54463</v>
      </c>
      <c r="E74">
        <v>7</v>
      </c>
      <c r="P74" t="s">
        <v>32</v>
      </c>
      <c r="Q74" t="s">
        <v>15</v>
      </c>
      <c r="R74">
        <v>7</v>
      </c>
      <c r="AI74" t="s">
        <v>15</v>
      </c>
      <c r="AJ74">
        <v>54463</v>
      </c>
      <c r="AK74" t="s">
        <v>58</v>
      </c>
      <c r="AL74">
        <f>COUNTIF(AI:AI,AK74)</f>
        <v>4</v>
      </c>
      <c r="AM74">
        <f>SUMIF(AI:AI,AK74,AJ:AJ)</f>
        <v>300739</v>
      </c>
      <c r="AP74" t="s">
        <v>32</v>
      </c>
      <c r="AQ74" t="s">
        <v>15</v>
      </c>
      <c r="AS74" t="s">
        <v>111</v>
      </c>
      <c r="AT74">
        <v>17174</v>
      </c>
      <c r="AU74">
        <f t="shared" si="32"/>
        <v>3</v>
      </c>
      <c r="BP74" t="s">
        <v>12</v>
      </c>
      <c r="BQ74" t="s">
        <v>438</v>
      </c>
      <c r="BR74">
        <f t="shared" si="31"/>
        <v>8</v>
      </c>
      <c r="BS74">
        <f t="shared" si="33"/>
        <v>2024</v>
      </c>
      <c r="BT74">
        <v>7</v>
      </c>
      <c r="BU74" t="str">
        <f t="shared" si="34"/>
        <v>2024-8</v>
      </c>
      <c r="BV74">
        <f t="shared" si="35"/>
        <v>1</v>
      </c>
      <c r="BX74" t="s">
        <v>32</v>
      </c>
      <c r="BY74" t="s">
        <v>86</v>
      </c>
      <c r="BZ74">
        <v>54463</v>
      </c>
      <c r="CA74">
        <f t="shared" si="36"/>
        <v>9</v>
      </c>
      <c r="CB74">
        <f t="shared" si="37"/>
        <v>2023</v>
      </c>
      <c r="CC74" t="str">
        <f t="shared" si="38"/>
        <v>2023-9</v>
      </c>
    </row>
    <row r="75" spans="1:81" x14ac:dyDescent="0.25">
      <c r="A75" t="s">
        <v>10</v>
      </c>
      <c r="B75" t="s">
        <v>91</v>
      </c>
      <c r="C75" t="s">
        <v>86</v>
      </c>
      <c r="D75">
        <v>16470</v>
      </c>
      <c r="E75">
        <v>1</v>
      </c>
      <c r="P75" t="s">
        <v>10</v>
      </c>
      <c r="Q75" t="s">
        <v>91</v>
      </c>
      <c r="R75">
        <v>1</v>
      </c>
      <c r="AI75" t="s">
        <v>91</v>
      </c>
      <c r="AJ75">
        <v>16470</v>
      </c>
      <c r="AK75" t="s">
        <v>81</v>
      </c>
      <c r="AL75">
        <f>COUNTIF(AI:AI,AK75)</f>
        <v>9</v>
      </c>
      <c r="AM75">
        <f>SUMIF(AI:AI,AK75,AJ:AJ)</f>
        <v>299153</v>
      </c>
      <c r="AP75" t="s">
        <v>10</v>
      </c>
      <c r="AQ75" t="s">
        <v>91</v>
      </c>
      <c r="AS75" t="s">
        <v>112</v>
      </c>
      <c r="AT75">
        <v>93197</v>
      </c>
      <c r="AU75">
        <f t="shared" si="32"/>
        <v>5</v>
      </c>
      <c r="BP75" t="s">
        <v>12</v>
      </c>
      <c r="BQ75" t="s">
        <v>438</v>
      </c>
      <c r="BR75">
        <f t="shared" si="31"/>
        <v>8</v>
      </c>
      <c r="BS75">
        <f t="shared" si="33"/>
        <v>2024</v>
      </c>
      <c r="BT75">
        <v>1</v>
      </c>
      <c r="BU75" t="str">
        <f t="shared" si="34"/>
        <v>2024-8</v>
      </c>
      <c r="BV75">
        <f t="shared" si="35"/>
        <v>0</v>
      </c>
      <c r="BX75" t="s">
        <v>10</v>
      </c>
      <c r="BY75" t="s">
        <v>86</v>
      </c>
      <c r="BZ75">
        <v>16470</v>
      </c>
      <c r="CA75">
        <f t="shared" si="36"/>
        <v>9</v>
      </c>
      <c r="CB75">
        <f t="shared" si="37"/>
        <v>2023</v>
      </c>
      <c r="CC75" t="str">
        <f t="shared" si="38"/>
        <v>2023-9</v>
      </c>
    </row>
    <row r="76" spans="1:81" x14ac:dyDescent="0.25">
      <c r="A76" t="s">
        <v>33</v>
      </c>
      <c r="B76" t="s">
        <v>92</v>
      </c>
      <c r="C76" t="s">
        <v>86</v>
      </c>
      <c r="D76">
        <v>63968</v>
      </c>
      <c r="E76">
        <v>7</v>
      </c>
      <c r="P76" t="s">
        <v>33</v>
      </c>
      <c r="Q76" t="s">
        <v>92</v>
      </c>
      <c r="R76">
        <v>7</v>
      </c>
      <c r="AI76" t="s">
        <v>92</v>
      </c>
      <c r="AJ76">
        <v>63968</v>
      </c>
      <c r="AK76" t="s">
        <v>121</v>
      </c>
      <c r="AL76">
        <f>COUNTIF(AI:AI,AK76)</f>
        <v>5</v>
      </c>
      <c r="AM76">
        <f>SUMIF(AI:AI,AK76,AJ:AJ)</f>
        <v>298863</v>
      </c>
      <c r="AP76" t="s">
        <v>33</v>
      </c>
      <c r="AQ76" t="s">
        <v>92</v>
      </c>
      <c r="AS76" t="s">
        <v>114</v>
      </c>
      <c r="AT76">
        <v>19652</v>
      </c>
      <c r="AU76">
        <f t="shared" si="32"/>
        <v>3</v>
      </c>
      <c r="BP76" t="s">
        <v>12</v>
      </c>
      <c r="BQ76" t="s">
        <v>438</v>
      </c>
      <c r="BR76">
        <f t="shared" si="31"/>
        <v>8</v>
      </c>
      <c r="BS76">
        <f t="shared" si="33"/>
        <v>2024</v>
      </c>
      <c r="BT76">
        <v>7</v>
      </c>
      <c r="BU76" t="str">
        <f t="shared" si="34"/>
        <v>2024-8</v>
      </c>
      <c r="BV76">
        <f t="shared" si="35"/>
        <v>1</v>
      </c>
      <c r="BX76" t="s">
        <v>33</v>
      </c>
      <c r="BY76" t="s">
        <v>86</v>
      </c>
      <c r="BZ76">
        <v>63968</v>
      </c>
      <c r="CA76">
        <f t="shared" si="36"/>
        <v>9</v>
      </c>
      <c r="CB76">
        <f t="shared" si="37"/>
        <v>2023</v>
      </c>
      <c r="CC76" t="str">
        <f t="shared" si="38"/>
        <v>2023-9</v>
      </c>
    </row>
    <row r="77" spans="1:81" x14ac:dyDescent="0.25">
      <c r="A77" t="s">
        <v>10</v>
      </c>
      <c r="B77" t="s">
        <v>93</v>
      </c>
      <c r="C77" t="s">
        <v>86</v>
      </c>
      <c r="D77">
        <v>85174</v>
      </c>
      <c r="E77">
        <v>7</v>
      </c>
      <c r="P77" t="s">
        <v>10</v>
      </c>
      <c r="Q77" t="s">
        <v>93</v>
      </c>
      <c r="R77">
        <v>7</v>
      </c>
      <c r="AI77" t="s">
        <v>93</v>
      </c>
      <c r="AJ77">
        <v>85174</v>
      </c>
      <c r="AK77" t="s">
        <v>222</v>
      </c>
      <c r="AL77">
        <f>COUNTIF(AI:AI,AK77)</f>
        <v>5</v>
      </c>
      <c r="AM77">
        <f>SUMIF(AI:AI,AK77,AJ:AJ)</f>
        <v>297373</v>
      </c>
      <c r="AP77" t="s">
        <v>10</v>
      </c>
      <c r="AQ77" t="s">
        <v>93</v>
      </c>
      <c r="AS77" t="s">
        <v>116</v>
      </c>
      <c r="AT77">
        <v>54276</v>
      </c>
      <c r="AU77">
        <f t="shared" si="32"/>
        <v>5</v>
      </c>
      <c r="BP77" t="s">
        <v>12</v>
      </c>
      <c r="BQ77" t="s">
        <v>448</v>
      </c>
      <c r="BR77">
        <f t="shared" si="31"/>
        <v>8</v>
      </c>
      <c r="BS77">
        <f t="shared" si="33"/>
        <v>2024</v>
      </c>
      <c r="BT77">
        <v>7</v>
      </c>
      <c r="BU77" t="str">
        <f t="shared" si="34"/>
        <v>2024-8</v>
      </c>
      <c r="BV77">
        <f t="shared" si="35"/>
        <v>1</v>
      </c>
      <c r="BX77" t="s">
        <v>10</v>
      </c>
      <c r="BY77" t="s">
        <v>86</v>
      </c>
      <c r="BZ77">
        <v>85174</v>
      </c>
      <c r="CA77">
        <f t="shared" si="36"/>
        <v>9</v>
      </c>
      <c r="CB77">
        <f t="shared" si="37"/>
        <v>2023</v>
      </c>
      <c r="CC77" t="str">
        <f t="shared" si="38"/>
        <v>2023-9</v>
      </c>
    </row>
    <row r="78" spans="1:81" x14ac:dyDescent="0.25">
      <c r="A78" t="s">
        <v>32</v>
      </c>
      <c r="B78" t="s">
        <v>76</v>
      </c>
      <c r="C78" t="s">
        <v>94</v>
      </c>
      <c r="D78">
        <v>97273</v>
      </c>
      <c r="E78">
        <v>8</v>
      </c>
      <c r="P78" t="s">
        <v>32</v>
      </c>
      <c r="Q78" t="s">
        <v>76</v>
      </c>
      <c r="R78">
        <v>8</v>
      </c>
      <c r="AI78" t="s">
        <v>76</v>
      </c>
      <c r="AJ78">
        <v>97273</v>
      </c>
      <c r="AK78" t="s">
        <v>50</v>
      </c>
      <c r="AL78">
        <f>COUNTIF(AI:AI,AK78)</f>
        <v>5</v>
      </c>
      <c r="AM78">
        <f>SUMIF(AI:AI,AK78,AJ:AJ)</f>
        <v>295186</v>
      </c>
      <c r="AP78" t="s">
        <v>32</v>
      </c>
      <c r="AQ78" t="s">
        <v>76</v>
      </c>
      <c r="AS78" t="s">
        <v>118</v>
      </c>
      <c r="AT78">
        <v>69272</v>
      </c>
      <c r="AU78">
        <f t="shared" si="32"/>
        <v>4</v>
      </c>
      <c r="BP78" t="s">
        <v>12</v>
      </c>
      <c r="BQ78" t="s">
        <v>449</v>
      </c>
      <c r="BR78">
        <f t="shared" si="31"/>
        <v>8</v>
      </c>
      <c r="BS78">
        <f t="shared" si="33"/>
        <v>2024</v>
      </c>
      <c r="BT78">
        <v>8</v>
      </c>
      <c r="BU78" t="str">
        <f t="shared" si="34"/>
        <v>2024-8</v>
      </c>
      <c r="BV78">
        <f t="shared" si="35"/>
        <v>1</v>
      </c>
      <c r="BX78" t="s">
        <v>32</v>
      </c>
      <c r="BY78" t="s">
        <v>94</v>
      </c>
      <c r="BZ78">
        <v>97273</v>
      </c>
      <c r="CA78">
        <f t="shared" si="36"/>
        <v>9</v>
      </c>
      <c r="CB78">
        <f t="shared" si="37"/>
        <v>2023</v>
      </c>
      <c r="CC78" t="str">
        <f t="shared" si="38"/>
        <v>2023-9</v>
      </c>
    </row>
    <row r="79" spans="1:81" x14ac:dyDescent="0.25">
      <c r="A79" t="s">
        <v>5</v>
      </c>
      <c r="B79" t="s">
        <v>95</v>
      </c>
      <c r="C79" t="s">
        <v>94</v>
      </c>
      <c r="D79">
        <v>40487</v>
      </c>
      <c r="E79">
        <v>5</v>
      </c>
      <c r="P79" t="s">
        <v>5</v>
      </c>
      <c r="Q79" t="s">
        <v>95</v>
      </c>
      <c r="R79">
        <v>5</v>
      </c>
      <c r="AI79" t="s">
        <v>95</v>
      </c>
      <c r="AJ79">
        <v>40487</v>
      </c>
      <c r="AK79" t="s">
        <v>127</v>
      </c>
      <c r="AL79">
        <f>COUNTIF(AI:AI,AK79)</f>
        <v>7</v>
      </c>
      <c r="AM79">
        <f>SUMIF(AI:AI,AK79,AJ:AJ)</f>
        <v>292277</v>
      </c>
      <c r="AP79" t="s">
        <v>5</v>
      </c>
      <c r="AQ79" t="s">
        <v>95</v>
      </c>
      <c r="AS79" t="s">
        <v>119</v>
      </c>
      <c r="AT79">
        <v>76055</v>
      </c>
      <c r="AU79">
        <f t="shared" si="32"/>
        <v>5</v>
      </c>
      <c r="BP79" t="s">
        <v>12</v>
      </c>
      <c r="BQ79" t="s">
        <v>455</v>
      </c>
      <c r="BR79">
        <f t="shared" si="31"/>
        <v>9</v>
      </c>
      <c r="BS79">
        <f t="shared" si="33"/>
        <v>2024</v>
      </c>
      <c r="BT79">
        <v>5</v>
      </c>
      <c r="BU79" t="str">
        <f t="shared" si="34"/>
        <v>2024-9</v>
      </c>
      <c r="BV79">
        <f t="shared" si="35"/>
        <v>0</v>
      </c>
      <c r="BX79" t="s">
        <v>5</v>
      </c>
      <c r="BY79" t="s">
        <v>94</v>
      </c>
      <c r="BZ79">
        <v>40487</v>
      </c>
      <c r="CA79">
        <f t="shared" si="36"/>
        <v>9</v>
      </c>
      <c r="CB79">
        <f t="shared" si="37"/>
        <v>2023</v>
      </c>
      <c r="CC79" t="str">
        <f t="shared" si="38"/>
        <v>2023-9</v>
      </c>
    </row>
    <row r="80" spans="1:81" x14ac:dyDescent="0.25">
      <c r="A80" t="s">
        <v>14</v>
      </c>
      <c r="B80" t="s">
        <v>60</v>
      </c>
      <c r="C80" t="s">
        <v>94</v>
      </c>
      <c r="D80">
        <v>19214</v>
      </c>
      <c r="E80">
        <v>6</v>
      </c>
      <c r="P80" t="s">
        <v>14</v>
      </c>
      <c r="Q80" t="s">
        <v>60</v>
      </c>
      <c r="R80">
        <v>6</v>
      </c>
      <c r="AI80" t="s">
        <v>60</v>
      </c>
      <c r="AJ80">
        <v>19214</v>
      </c>
      <c r="AK80" t="s">
        <v>119</v>
      </c>
      <c r="AL80">
        <f>COUNTIF(AI:AI,AK80)</f>
        <v>5</v>
      </c>
      <c r="AM80">
        <f>SUMIF(AI:AI,AK80,AJ:AJ)</f>
        <v>291082</v>
      </c>
      <c r="AP80" t="s">
        <v>14</v>
      </c>
      <c r="AQ80" t="s">
        <v>60</v>
      </c>
      <c r="AS80" t="s">
        <v>120</v>
      </c>
      <c r="AT80">
        <v>38844</v>
      </c>
      <c r="AU80">
        <f t="shared" si="32"/>
        <v>4</v>
      </c>
      <c r="BP80" t="s">
        <v>10</v>
      </c>
      <c r="BQ80" t="s">
        <v>7</v>
      </c>
      <c r="BR80">
        <f t="shared" si="31"/>
        <v>9</v>
      </c>
      <c r="BS80">
        <f t="shared" si="33"/>
        <v>2023</v>
      </c>
      <c r="BT80">
        <v>6</v>
      </c>
      <c r="BU80" t="str">
        <f t="shared" si="34"/>
        <v>2023-9</v>
      </c>
      <c r="BV80">
        <f t="shared" si="35"/>
        <v>0</v>
      </c>
      <c r="BX80" t="s">
        <v>14</v>
      </c>
      <c r="BY80" t="s">
        <v>94</v>
      </c>
      <c r="BZ80">
        <v>19214</v>
      </c>
      <c r="CA80">
        <f t="shared" si="36"/>
        <v>9</v>
      </c>
      <c r="CB80">
        <f t="shared" si="37"/>
        <v>2023</v>
      </c>
      <c r="CC80" t="str">
        <f t="shared" si="38"/>
        <v>2023-9</v>
      </c>
    </row>
    <row r="81" spans="1:81" x14ac:dyDescent="0.25">
      <c r="A81" t="s">
        <v>5</v>
      </c>
      <c r="B81" t="s">
        <v>69</v>
      </c>
      <c r="C81" t="s">
        <v>96</v>
      </c>
      <c r="D81">
        <v>31410</v>
      </c>
      <c r="E81">
        <v>7</v>
      </c>
      <c r="P81" t="s">
        <v>5</v>
      </c>
      <c r="Q81" t="s">
        <v>69</v>
      </c>
      <c r="R81">
        <v>7</v>
      </c>
      <c r="AI81" t="s">
        <v>69</v>
      </c>
      <c r="AJ81">
        <v>31410</v>
      </c>
      <c r="AK81" t="s">
        <v>253</v>
      </c>
      <c r="AL81">
        <f>COUNTIF(AI:AI,AK81)</f>
        <v>6</v>
      </c>
      <c r="AM81">
        <f>SUMIF(AI:AI,AK81,AJ:AJ)</f>
        <v>288094</v>
      </c>
      <c r="AP81" t="s">
        <v>5</v>
      </c>
      <c r="AQ81" t="s">
        <v>69</v>
      </c>
      <c r="AS81" t="s">
        <v>121</v>
      </c>
      <c r="AT81">
        <v>16119</v>
      </c>
      <c r="AU81">
        <f t="shared" si="32"/>
        <v>5</v>
      </c>
      <c r="BP81" t="s">
        <v>10</v>
      </c>
      <c r="BQ81" t="s">
        <v>16</v>
      </c>
      <c r="BR81">
        <f t="shared" si="31"/>
        <v>9</v>
      </c>
      <c r="BS81">
        <f t="shared" si="33"/>
        <v>2023</v>
      </c>
      <c r="BT81">
        <v>7</v>
      </c>
      <c r="BU81" t="str">
        <f t="shared" si="34"/>
        <v>2023-9</v>
      </c>
      <c r="BV81">
        <f t="shared" si="35"/>
        <v>1</v>
      </c>
      <c r="BX81" t="s">
        <v>5</v>
      </c>
      <c r="BY81" t="s">
        <v>96</v>
      </c>
      <c r="BZ81">
        <v>31410</v>
      </c>
      <c r="CA81">
        <f t="shared" si="36"/>
        <v>9</v>
      </c>
      <c r="CB81">
        <f t="shared" si="37"/>
        <v>2023</v>
      </c>
      <c r="CC81" t="str">
        <f t="shared" si="38"/>
        <v>2023-9</v>
      </c>
    </row>
    <row r="82" spans="1:81" x14ac:dyDescent="0.25">
      <c r="A82" t="s">
        <v>12</v>
      </c>
      <c r="B82" t="s">
        <v>97</v>
      </c>
      <c r="C82" t="s">
        <v>96</v>
      </c>
      <c r="D82">
        <v>95253</v>
      </c>
      <c r="E82">
        <v>3</v>
      </c>
      <c r="P82" t="s">
        <v>12</v>
      </c>
      <c r="Q82" t="s">
        <v>97</v>
      </c>
      <c r="R82">
        <v>3</v>
      </c>
      <c r="AI82" t="s">
        <v>97</v>
      </c>
      <c r="AJ82">
        <v>95253</v>
      </c>
      <c r="AK82" t="s">
        <v>276</v>
      </c>
      <c r="AL82">
        <f>COUNTIF(AI:AI,AK82)</f>
        <v>6</v>
      </c>
      <c r="AM82">
        <f>SUMIF(AI:AI,AK82,AJ:AJ)</f>
        <v>286448</v>
      </c>
      <c r="AP82" t="s">
        <v>12</v>
      </c>
      <c r="AQ82" t="s">
        <v>97</v>
      </c>
      <c r="AS82" t="s">
        <v>124</v>
      </c>
      <c r="AT82">
        <v>43653</v>
      </c>
      <c r="AU82">
        <f t="shared" si="32"/>
        <v>3</v>
      </c>
      <c r="BP82" t="s">
        <v>10</v>
      </c>
      <c r="BQ82" t="s">
        <v>16</v>
      </c>
      <c r="BR82">
        <f t="shared" si="31"/>
        <v>9</v>
      </c>
      <c r="BS82">
        <f t="shared" si="33"/>
        <v>2023</v>
      </c>
      <c r="BT82">
        <v>3</v>
      </c>
      <c r="BU82" t="str">
        <f t="shared" si="34"/>
        <v>2023-9</v>
      </c>
      <c r="BV82">
        <f t="shared" si="35"/>
        <v>0</v>
      </c>
      <c r="BX82" t="s">
        <v>12</v>
      </c>
      <c r="BY82" t="s">
        <v>96</v>
      </c>
      <c r="BZ82">
        <v>95253</v>
      </c>
      <c r="CA82">
        <f t="shared" si="36"/>
        <v>9</v>
      </c>
      <c r="CB82">
        <f t="shared" si="37"/>
        <v>2023</v>
      </c>
      <c r="CC82" t="str">
        <f t="shared" si="38"/>
        <v>2023-9</v>
      </c>
    </row>
    <row r="83" spans="1:81" x14ac:dyDescent="0.25">
      <c r="A83" t="s">
        <v>14</v>
      </c>
      <c r="B83" t="s">
        <v>98</v>
      </c>
      <c r="C83" t="s">
        <v>99</v>
      </c>
      <c r="D83">
        <v>70262</v>
      </c>
      <c r="E83">
        <v>8</v>
      </c>
      <c r="P83" t="s">
        <v>14</v>
      </c>
      <c r="Q83" t="s">
        <v>98</v>
      </c>
      <c r="R83">
        <v>8</v>
      </c>
      <c r="AI83" t="s">
        <v>98</v>
      </c>
      <c r="AJ83">
        <v>70262</v>
      </c>
      <c r="AK83" t="s">
        <v>166</v>
      </c>
      <c r="AL83">
        <f>COUNTIF(AI:AI,AK83)</f>
        <v>5</v>
      </c>
      <c r="AM83">
        <f>SUMIF(AI:AI,AK83,AJ:AJ)</f>
        <v>284876</v>
      </c>
      <c r="AP83" t="s">
        <v>14</v>
      </c>
      <c r="AQ83" t="s">
        <v>98</v>
      </c>
      <c r="AS83" t="s">
        <v>125</v>
      </c>
      <c r="AT83">
        <v>42835</v>
      </c>
      <c r="AU83">
        <f t="shared" si="32"/>
        <v>4</v>
      </c>
      <c r="BP83" t="s">
        <v>10</v>
      </c>
      <c r="BQ83" t="s">
        <v>38</v>
      </c>
      <c r="BR83">
        <f t="shared" si="31"/>
        <v>9</v>
      </c>
      <c r="BS83">
        <f t="shared" si="33"/>
        <v>2023</v>
      </c>
      <c r="BT83">
        <v>8</v>
      </c>
      <c r="BU83" t="str">
        <f t="shared" si="34"/>
        <v>2023-9</v>
      </c>
      <c r="BV83">
        <f t="shared" si="35"/>
        <v>1</v>
      </c>
      <c r="BX83" t="s">
        <v>14</v>
      </c>
      <c r="BY83" t="s">
        <v>99</v>
      </c>
      <c r="BZ83">
        <v>70262</v>
      </c>
      <c r="CA83">
        <f t="shared" si="36"/>
        <v>9</v>
      </c>
      <c r="CB83">
        <f t="shared" si="37"/>
        <v>2023</v>
      </c>
      <c r="CC83" t="str">
        <f t="shared" si="38"/>
        <v>2023-9</v>
      </c>
    </row>
    <row r="84" spans="1:81" x14ac:dyDescent="0.25">
      <c r="A84" t="s">
        <v>17</v>
      </c>
      <c r="B84" t="s">
        <v>51</v>
      </c>
      <c r="C84" t="s">
        <v>99</v>
      </c>
      <c r="D84">
        <v>23876</v>
      </c>
      <c r="E84">
        <v>9</v>
      </c>
      <c r="P84" t="s">
        <v>17</v>
      </c>
      <c r="Q84" t="s">
        <v>51</v>
      </c>
      <c r="R84">
        <v>9</v>
      </c>
      <c r="AI84" t="s">
        <v>51</v>
      </c>
      <c r="AJ84">
        <v>23876</v>
      </c>
      <c r="AK84" t="s">
        <v>199</v>
      </c>
      <c r="AL84">
        <f>COUNTIF(AI:AI,AK84)</f>
        <v>6</v>
      </c>
      <c r="AM84">
        <f>SUMIF(AI:AI,AK84,AJ:AJ)</f>
        <v>282991</v>
      </c>
      <c r="AP84" t="s">
        <v>17</v>
      </c>
      <c r="AQ84" t="s">
        <v>51</v>
      </c>
      <c r="AS84" t="s">
        <v>127</v>
      </c>
      <c r="AT84">
        <v>18623</v>
      </c>
      <c r="AU84">
        <f t="shared" si="32"/>
        <v>6</v>
      </c>
      <c r="BP84" t="s">
        <v>10</v>
      </c>
      <c r="BQ84" t="s">
        <v>40</v>
      </c>
      <c r="BR84">
        <f t="shared" si="31"/>
        <v>9</v>
      </c>
      <c r="BS84">
        <f t="shared" si="33"/>
        <v>2023</v>
      </c>
      <c r="BT84">
        <v>9</v>
      </c>
      <c r="BU84" t="str">
        <f t="shared" si="34"/>
        <v>2023-9</v>
      </c>
      <c r="BV84">
        <f t="shared" si="35"/>
        <v>2</v>
      </c>
      <c r="BX84" t="s">
        <v>17</v>
      </c>
      <c r="BY84" t="s">
        <v>99</v>
      </c>
      <c r="BZ84">
        <v>23876</v>
      </c>
      <c r="CA84">
        <f t="shared" si="36"/>
        <v>9</v>
      </c>
      <c r="CB84">
        <f t="shared" si="37"/>
        <v>2023</v>
      </c>
      <c r="CC84" t="str">
        <f t="shared" si="38"/>
        <v>2023-9</v>
      </c>
    </row>
    <row r="85" spans="1:81" x14ac:dyDescent="0.25">
      <c r="A85" t="s">
        <v>32</v>
      </c>
      <c r="B85" t="s">
        <v>100</v>
      </c>
      <c r="C85" t="s">
        <v>99</v>
      </c>
      <c r="D85">
        <v>41208</v>
      </c>
      <c r="E85">
        <v>8</v>
      </c>
      <c r="P85" t="s">
        <v>32</v>
      </c>
      <c r="Q85" t="s">
        <v>100</v>
      </c>
      <c r="R85">
        <v>8</v>
      </c>
      <c r="AI85" t="s">
        <v>100</v>
      </c>
      <c r="AJ85">
        <v>41208</v>
      </c>
      <c r="AK85" t="s">
        <v>118</v>
      </c>
      <c r="AL85">
        <f>COUNTIF(AI:AI,AK85)</f>
        <v>4</v>
      </c>
      <c r="AM85">
        <f>SUMIF(AI:AI,AK85,AJ:AJ)</f>
        <v>280848</v>
      </c>
      <c r="AP85" t="s">
        <v>32</v>
      </c>
      <c r="AQ85" t="s">
        <v>100</v>
      </c>
      <c r="AS85" t="s">
        <v>129</v>
      </c>
      <c r="AT85">
        <v>34110</v>
      </c>
      <c r="AU85">
        <f t="shared" si="32"/>
        <v>4</v>
      </c>
      <c r="BP85" t="s">
        <v>10</v>
      </c>
      <c r="BQ85" t="s">
        <v>59</v>
      </c>
      <c r="BR85">
        <f t="shared" si="31"/>
        <v>9</v>
      </c>
      <c r="BS85">
        <f t="shared" si="33"/>
        <v>2023</v>
      </c>
      <c r="BT85">
        <v>8</v>
      </c>
      <c r="BU85" t="str">
        <f t="shared" si="34"/>
        <v>2023-9</v>
      </c>
      <c r="BV85">
        <f t="shared" si="35"/>
        <v>1</v>
      </c>
      <c r="BX85" t="s">
        <v>32</v>
      </c>
      <c r="BY85" t="s">
        <v>99</v>
      </c>
      <c r="BZ85">
        <v>41208</v>
      </c>
      <c r="CA85">
        <f t="shared" si="36"/>
        <v>9</v>
      </c>
      <c r="CB85">
        <f t="shared" si="37"/>
        <v>2023</v>
      </c>
      <c r="CC85" t="str">
        <f t="shared" si="38"/>
        <v>2023-9</v>
      </c>
    </row>
    <row r="86" spans="1:81" x14ac:dyDescent="0.25">
      <c r="A86" t="s">
        <v>23</v>
      </c>
      <c r="B86" t="s">
        <v>101</v>
      </c>
      <c r="C86" t="s">
        <v>102</v>
      </c>
      <c r="D86">
        <v>54772</v>
      </c>
      <c r="E86">
        <v>5</v>
      </c>
      <c r="P86" t="s">
        <v>23</v>
      </c>
      <c r="Q86" t="s">
        <v>101</v>
      </c>
      <c r="R86">
        <v>5</v>
      </c>
      <c r="AI86" t="s">
        <v>101</v>
      </c>
      <c r="AJ86">
        <v>54772</v>
      </c>
      <c r="AK86" t="s">
        <v>82</v>
      </c>
      <c r="AL86">
        <f>COUNTIF(AI:AI,AK86)</f>
        <v>6</v>
      </c>
      <c r="AM86">
        <f>SUMIF(AI:AI,AK86,AJ:AJ)</f>
        <v>278917</v>
      </c>
      <c r="AP86" t="s">
        <v>23</v>
      </c>
      <c r="AQ86" t="s">
        <v>101</v>
      </c>
      <c r="AS86" t="s">
        <v>131</v>
      </c>
      <c r="AT86">
        <v>28614</v>
      </c>
      <c r="AU86">
        <f t="shared" si="32"/>
        <v>7</v>
      </c>
      <c r="BP86" t="s">
        <v>10</v>
      </c>
      <c r="BQ86" t="s">
        <v>64</v>
      </c>
      <c r="BR86">
        <f t="shared" si="31"/>
        <v>9</v>
      </c>
      <c r="BS86">
        <f t="shared" si="33"/>
        <v>2023</v>
      </c>
      <c r="BT86">
        <v>5</v>
      </c>
      <c r="BU86" t="str">
        <f t="shared" si="34"/>
        <v>2023-9</v>
      </c>
      <c r="BV86">
        <f t="shared" si="35"/>
        <v>0</v>
      </c>
      <c r="BX86" t="s">
        <v>23</v>
      </c>
      <c r="BY86" t="s">
        <v>102</v>
      </c>
      <c r="BZ86">
        <v>54772</v>
      </c>
      <c r="CA86">
        <f t="shared" si="36"/>
        <v>10</v>
      </c>
      <c r="CB86">
        <f t="shared" si="37"/>
        <v>2023</v>
      </c>
      <c r="CC86" t="str">
        <f t="shared" si="38"/>
        <v>2023-10</v>
      </c>
    </row>
    <row r="87" spans="1:81" x14ac:dyDescent="0.25">
      <c r="A87" t="s">
        <v>12</v>
      </c>
      <c r="B87" t="s">
        <v>103</v>
      </c>
      <c r="C87" t="s">
        <v>102</v>
      </c>
      <c r="D87">
        <v>56736</v>
      </c>
      <c r="E87">
        <v>8</v>
      </c>
      <c r="P87" t="s">
        <v>12</v>
      </c>
      <c r="Q87" t="s">
        <v>103</v>
      </c>
      <c r="R87">
        <v>8</v>
      </c>
      <c r="AI87" t="s">
        <v>103</v>
      </c>
      <c r="AJ87">
        <v>56736</v>
      </c>
      <c r="AK87" t="s">
        <v>133</v>
      </c>
      <c r="AL87">
        <f>COUNTIF(AI:AI,AK87)</f>
        <v>6</v>
      </c>
      <c r="AM87">
        <f>SUMIF(AI:AI,AK87,AJ:AJ)</f>
        <v>277005</v>
      </c>
      <c r="AP87" t="s">
        <v>12</v>
      </c>
      <c r="AQ87" t="s">
        <v>103</v>
      </c>
      <c r="AS87" t="s">
        <v>132</v>
      </c>
      <c r="AT87">
        <v>86872</v>
      </c>
      <c r="AU87">
        <f t="shared" si="32"/>
        <v>5</v>
      </c>
      <c r="BP87" t="s">
        <v>10</v>
      </c>
      <c r="BQ87" t="s">
        <v>86</v>
      </c>
      <c r="BR87">
        <f t="shared" ref="BR87:BR150" si="39">MONTH(BQ87)</f>
        <v>9</v>
      </c>
      <c r="BS87">
        <f t="shared" si="33"/>
        <v>2023</v>
      </c>
      <c r="BT87">
        <v>8</v>
      </c>
      <c r="BU87" t="str">
        <f t="shared" si="34"/>
        <v>2023-9</v>
      </c>
      <c r="BV87">
        <f t="shared" si="35"/>
        <v>1</v>
      </c>
      <c r="BX87" t="s">
        <v>12</v>
      </c>
      <c r="BY87" t="s">
        <v>102</v>
      </c>
      <c r="BZ87">
        <v>56736</v>
      </c>
      <c r="CA87">
        <f t="shared" si="36"/>
        <v>10</v>
      </c>
      <c r="CB87">
        <f t="shared" si="37"/>
        <v>2023</v>
      </c>
      <c r="CC87" t="str">
        <f t="shared" si="38"/>
        <v>2023-10</v>
      </c>
    </row>
    <row r="88" spans="1:81" x14ac:dyDescent="0.25">
      <c r="A88" t="s">
        <v>23</v>
      </c>
      <c r="B88" t="s">
        <v>104</v>
      </c>
      <c r="C88" t="s">
        <v>102</v>
      </c>
      <c r="D88">
        <v>12327</v>
      </c>
      <c r="E88">
        <v>8</v>
      </c>
      <c r="P88" t="s">
        <v>23</v>
      </c>
      <c r="Q88" t="s">
        <v>104</v>
      </c>
      <c r="R88">
        <v>8</v>
      </c>
      <c r="AI88" t="s">
        <v>104</v>
      </c>
      <c r="AJ88">
        <v>12327</v>
      </c>
      <c r="AK88" t="s">
        <v>104</v>
      </c>
      <c r="AL88">
        <f>COUNTIF(AI:AI,AK88)</f>
        <v>6</v>
      </c>
      <c r="AM88">
        <f>SUMIF(AI:AI,AK88,AJ:AJ)</f>
        <v>273898</v>
      </c>
      <c r="AP88" t="s">
        <v>23</v>
      </c>
      <c r="AQ88" t="s">
        <v>104</v>
      </c>
      <c r="AS88" t="s">
        <v>133</v>
      </c>
      <c r="AT88">
        <v>16779</v>
      </c>
      <c r="AU88">
        <f t="shared" si="32"/>
        <v>5</v>
      </c>
      <c r="BP88" t="s">
        <v>10</v>
      </c>
      <c r="BQ88" t="s">
        <v>86</v>
      </c>
      <c r="BR88">
        <f t="shared" si="39"/>
        <v>9</v>
      </c>
      <c r="BS88">
        <f t="shared" si="33"/>
        <v>2023</v>
      </c>
      <c r="BT88">
        <v>8</v>
      </c>
      <c r="BU88" t="str">
        <f t="shared" si="34"/>
        <v>2023-9</v>
      </c>
      <c r="BV88">
        <f t="shared" si="35"/>
        <v>1</v>
      </c>
      <c r="BX88" t="s">
        <v>23</v>
      </c>
      <c r="BY88" t="s">
        <v>102</v>
      </c>
      <c r="BZ88">
        <v>12327</v>
      </c>
      <c r="CA88">
        <f t="shared" si="36"/>
        <v>10</v>
      </c>
      <c r="CB88">
        <f t="shared" si="37"/>
        <v>2023</v>
      </c>
      <c r="CC88" t="str">
        <f t="shared" si="38"/>
        <v>2023-10</v>
      </c>
    </row>
    <row r="89" spans="1:81" x14ac:dyDescent="0.25">
      <c r="A89" t="s">
        <v>8</v>
      </c>
      <c r="B89" t="s">
        <v>35</v>
      </c>
      <c r="C89" t="s">
        <v>102</v>
      </c>
      <c r="D89">
        <v>91649</v>
      </c>
      <c r="E89">
        <v>8</v>
      </c>
      <c r="P89" t="s">
        <v>8</v>
      </c>
      <c r="Q89" t="s">
        <v>35</v>
      </c>
      <c r="R89">
        <v>8</v>
      </c>
      <c r="AI89" t="s">
        <v>35</v>
      </c>
      <c r="AJ89">
        <v>91649</v>
      </c>
      <c r="AK89" t="s">
        <v>229</v>
      </c>
      <c r="AL89">
        <f>COUNTIF(AI:AI,AK89)</f>
        <v>5</v>
      </c>
      <c r="AM89">
        <f>SUMIF(AI:AI,AK89,AJ:AJ)</f>
        <v>272060</v>
      </c>
      <c r="AP89" t="s">
        <v>8</v>
      </c>
      <c r="AQ89" t="s">
        <v>35</v>
      </c>
      <c r="AS89" t="s">
        <v>135</v>
      </c>
      <c r="AT89">
        <v>40887</v>
      </c>
      <c r="AU89">
        <f t="shared" si="32"/>
        <v>5</v>
      </c>
      <c r="BP89" t="s">
        <v>10</v>
      </c>
      <c r="BQ89" t="s">
        <v>86</v>
      </c>
      <c r="BR89">
        <f t="shared" si="39"/>
        <v>9</v>
      </c>
      <c r="BS89">
        <f t="shared" si="33"/>
        <v>2023</v>
      </c>
      <c r="BT89">
        <v>8</v>
      </c>
      <c r="BU89" t="str">
        <f t="shared" si="34"/>
        <v>2023-9</v>
      </c>
      <c r="BV89">
        <f t="shared" si="35"/>
        <v>1</v>
      </c>
      <c r="BX89" t="s">
        <v>8</v>
      </c>
      <c r="BY89" t="s">
        <v>102</v>
      </c>
      <c r="BZ89">
        <v>91649</v>
      </c>
      <c r="CA89">
        <f t="shared" si="36"/>
        <v>10</v>
      </c>
      <c r="CB89">
        <f t="shared" si="37"/>
        <v>2023</v>
      </c>
      <c r="CC89" t="str">
        <f t="shared" si="38"/>
        <v>2023-10</v>
      </c>
    </row>
    <row r="90" spans="1:81" x14ac:dyDescent="0.25">
      <c r="A90" t="s">
        <v>10</v>
      </c>
      <c r="B90" t="s">
        <v>82</v>
      </c>
      <c r="C90" t="s">
        <v>105</v>
      </c>
      <c r="D90">
        <v>12540</v>
      </c>
      <c r="E90">
        <v>9</v>
      </c>
      <c r="P90" t="s">
        <v>10</v>
      </c>
      <c r="Q90" t="s">
        <v>82</v>
      </c>
      <c r="R90">
        <v>9</v>
      </c>
      <c r="AI90" t="s">
        <v>82</v>
      </c>
      <c r="AJ90">
        <v>12540</v>
      </c>
      <c r="AK90" t="s">
        <v>327</v>
      </c>
      <c r="AL90">
        <f>COUNTIF(AI:AI,AK90)</f>
        <v>5</v>
      </c>
      <c r="AM90">
        <f>SUMIF(AI:AI,AK90,AJ:AJ)</f>
        <v>271384</v>
      </c>
      <c r="AP90" t="s">
        <v>10</v>
      </c>
      <c r="AQ90" t="s">
        <v>82</v>
      </c>
      <c r="AS90" t="s">
        <v>136</v>
      </c>
      <c r="AT90">
        <v>56621</v>
      </c>
      <c r="AU90">
        <f t="shared" si="32"/>
        <v>4</v>
      </c>
      <c r="BP90" t="s">
        <v>10</v>
      </c>
      <c r="BQ90" t="s">
        <v>105</v>
      </c>
      <c r="BR90">
        <f t="shared" si="39"/>
        <v>10</v>
      </c>
      <c r="BS90">
        <f t="shared" si="33"/>
        <v>2023</v>
      </c>
      <c r="BT90">
        <v>9</v>
      </c>
      <c r="BU90" t="str">
        <f t="shared" si="34"/>
        <v>2023-10</v>
      </c>
      <c r="BV90">
        <f t="shared" si="35"/>
        <v>2</v>
      </c>
      <c r="BX90" t="s">
        <v>10</v>
      </c>
      <c r="BY90" t="s">
        <v>105</v>
      </c>
      <c r="BZ90">
        <v>12540</v>
      </c>
      <c r="CA90">
        <f t="shared" si="36"/>
        <v>10</v>
      </c>
      <c r="CB90">
        <f t="shared" si="37"/>
        <v>2023</v>
      </c>
      <c r="CC90" t="str">
        <f t="shared" si="38"/>
        <v>2023-10</v>
      </c>
    </row>
    <row r="91" spans="1:81" x14ac:dyDescent="0.25">
      <c r="A91" t="s">
        <v>17</v>
      </c>
      <c r="B91" t="s">
        <v>106</v>
      </c>
      <c r="C91" t="s">
        <v>105</v>
      </c>
      <c r="D91">
        <v>20248</v>
      </c>
      <c r="E91">
        <v>7</v>
      </c>
      <c r="P91" t="s">
        <v>17</v>
      </c>
      <c r="Q91" t="s">
        <v>106</v>
      </c>
      <c r="R91">
        <v>7</v>
      </c>
      <c r="AI91" t="s">
        <v>106</v>
      </c>
      <c r="AJ91">
        <v>20248</v>
      </c>
      <c r="AK91" t="s">
        <v>181</v>
      </c>
      <c r="AL91">
        <f>COUNTIF(AI:AI,AK91)</f>
        <v>4</v>
      </c>
      <c r="AM91">
        <f>SUMIF(AI:AI,AK91,AJ:AJ)</f>
        <v>270312</v>
      </c>
      <c r="AP91" t="s">
        <v>17</v>
      </c>
      <c r="AQ91" t="s">
        <v>106</v>
      </c>
      <c r="AS91" t="s">
        <v>138</v>
      </c>
      <c r="AT91">
        <v>71980</v>
      </c>
      <c r="AU91">
        <f t="shared" si="32"/>
        <v>2</v>
      </c>
      <c r="BP91" t="s">
        <v>10</v>
      </c>
      <c r="BQ91" t="s">
        <v>108</v>
      </c>
      <c r="BR91">
        <f t="shared" si="39"/>
        <v>10</v>
      </c>
      <c r="BS91">
        <f t="shared" si="33"/>
        <v>2023</v>
      </c>
      <c r="BT91">
        <v>7</v>
      </c>
      <c r="BU91" t="str">
        <f t="shared" si="34"/>
        <v>2023-10</v>
      </c>
      <c r="BV91">
        <f t="shared" si="35"/>
        <v>1</v>
      </c>
      <c r="BX91" t="s">
        <v>17</v>
      </c>
      <c r="BY91" t="s">
        <v>105</v>
      </c>
      <c r="BZ91">
        <v>20248</v>
      </c>
      <c r="CA91">
        <f t="shared" si="36"/>
        <v>10</v>
      </c>
      <c r="CB91">
        <f t="shared" si="37"/>
        <v>2023</v>
      </c>
      <c r="CC91" t="str">
        <f t="shared" si="38"/>
        <v>2023-10</v>
      </c>
    </row>
    <row r="92" spans="1:81" x14ac:dyDescent="0.25">
      <c r="A92" t="s">
        <v>32</v>
      </c>
      <c r="B92" t="s">
        <v>107</v>
      </c>
      <c r="C92" t="s">
        <v>105</v>
      </c>
      <c r="D92">
        <v>61586</v>
      </c>
      <c r="E92">
        <v>9</v>
      </c>
      <c r="P92" t="s">
        <v>32</v>
      </c>
      <c r="Q92" t="s">
        <v>107</v>
      </c>
      <c r="R92">
        <v>9</v>
      </c>
      <c r="AI92" t="s">
        <v>107</v>
      </c>
      <c r="AJ92">
        <v>61586</v>
      </c>
      <c r="AK92" t="s">
        <v>287</v>
      </c>
      <c r="AL92">
        <f>COUNTIF(AI:AI,AK92)</f>
        <v>4</v>
      </c>
      <c r="AM92">
        <f>SUMIF(AI:AI,AK92,AJ:AJ)</f>
        <v>269098</v>
      </c>
      <c r="AP92" t="s">
        <v>32</v>
      </c>
      <c r="AQ92" t="s">
        <v>107</v>
      </c>
      <c r="AS92" t="s">
        <v>139</v>
      </c>
      <c r="AT92">
        <v>50952</v>
      </c>
      <c r="AU92">
        <f t="shared" si="32"/>
        <v>2</v>
      </c>
      <c r="BP92" t="s">
        <v>10</v>
      </c>
      <c r="BQ92" t="s">
        <v>126</v>
      </c>
      <c r="BR92">
        <f t="shared" si="39"/>
        <v>10</v>
      </c>
      <c r="BS92">
        <f t="shared" si="33"/>
        <v>2023</v>
      </c>
      <c r="BT92">
        <v>9</v>
      </c>
      <c r="BU92" t="str">
        <f t="shared" si="34"/>
        <v>2023-10</v>
      </c>
      <c r="BV92">
        <f t="shared" si="35"/>
        <v>2</v>
      </c>
      <c r="BX92" t="s">
        <v>32</v>
      </c>
      <c r="BY92" t="s">
        <v>105</v>
      </c>
      <c r="BZ92">
        <v>61586</v>
      </c>
      <c r="CA92">
        <f t="shared" si="36"/>
        <v>10</v>
      </c>
      <c r="CB92">
        <f t="shared" si="37"/>
        <v>2023</v>
      </c>
      <c r="CC92" t="str">
        <f t="shared" si="38"/>
        <v>2023-10</v>
      </c>
    </row>
    <row r="93" spans="1:81" x14ac:dyDescent="0.25">
      <c r="A93" t="s">
        <v>14</v>
      </c>
      <c r="B93" t="s">
        <v>51</v>
      </c>
      <c r="C93" t="s">
        <v>108</v>
      </c>
      <c r="D93">
        <v>68111</v>
      </c>
      <c r="E93">
        <v>9</v>
      </c>
      <c r="P93" t="s">
        <v>14</v>
      </c>
      <c r="Q93" t="s">
        <v>51</v>
      </c>
      <c r="R93">
        <v>9</v>
      </c>
      <c r="AI93" t="s">
        <v>51</v>
      </c>
      <c r="AJ93">
        <v>68111</v>
      </c>
      <c r="AK93" t="s">
        <v>202</v>
      </c>
      <c r="AL93">
        <f>COUNTIF(AI:AI,AK93)</f>
        <v>5</v>
      </c>
      <c r="AM93">
        <f>SUMIF(AI:AI,AK93,AJ:AJ)</f>
        <v>268543</v>
      </c>
      <c r="AP93" t="s">
        <v>14</v>
      </c>
      <c r="AQ93" t="s">
        <v>51</v>
      </c>
      <c r="AS93" t="s">
        <v>142</v>
      </c>
      <c r="AT93">
        <v>57563</v>
      </c>
      <c r="AU93">
        <f t="shared" si="32"/>
        <v>3</v>
      </c>
      <c r="BP93" t="s">
        <v>10</v>
      </c>
      <c r="BQ93" t="s">
        <v>137</v>
      </c>
      <c r="BR93">
        <f t="shared" si="39"/>
        <v>10</v>
      </c>
      <c r="BS93">
        <f t="shared" si="33"/>
        <v>2023</v>
      </c>
      <c r="BT93">
        <v>9</v>
      </c>
      <c r="BU93" t="str">
        <f t="shared" si="34"/>
        <v>2023-10</v>
      </c>
      <c r="BV93">
        <f t="shared" si="35"/>
        <v>2</v>
      </c>
      <c r="BX93" t="s">
        <v>14</v>
      </c>
      <c r="BY93" t="s">
        <v>108</v>
      </c>
      <c r="BZ93">
        <v>68111</v>
      </c>
      <c r="CA93">
        <f t="shared" si="36"/>
        <v>10</v>
      </c>
      <c r="CB93">
        <f t="shared" si="37"/>
        <v>2023</v>
      </c>
      <c r="CC93" t="str">
        <f t="shared" si="38"/>
        <v>2023-10</v>
      </c>
    </row>
    <row r="94" spans="1:81" x14ac:dyDescent="0.25">
      <c r="A94" t="s">
        <v>23</v>
      </c>
      <c r="B94" t="s">
        <v>109</v>
      </c>
      <c r="C94" t="s">
        <v>108</v>
      </c>
      <c r="D94">
        <v>15831</v>
      </c>
      <c r="E94">
        <v>5</v>
      </c>
      <c r="P94" t="s">
        <v>23</v>
      </c>
      <c r="Q94" t="s">
        <v>109</v>
      </c>
      <c r="R94">
        <v>5</v>
      </c>
      <c r="AI94" t="s">
        <v>109</v>
      </c>
      <c r="AJ94">
        <v>15831</v>
      </c>
      <c r="AK94" t="s">
        <v>21</v>
      </c>
      <c r="AL94">
        <f>COUNTIF(AI:AI,AK94)</f>
        <v>5</v>
      </c>
      <c r="AM94">
        <f>SUMIF(AI:AI,AK94,AJ:AJ)</f>
        <v>267202</v>
      </c>
      <c r="AP94" t="s">
        <v>23</v>
      </c>
      <c r="AQ94" t="s">
        <v>109</v>
      </c>
      <c r="AS94" t="s">
        <v>143</v>
      </c>
      <c r="AT94">
        <v>13457</v>
      </c>
      <c r="AU94">
        <f t="shared" si="32"/>
        <v>5</v>
      </c>
      <c r="BP94" t="s">
        <v>10</v>
      </c>
      <c r="BQ94" t="s">
        <v>137</v>
      </c>
      <c r="BR94">
        <f t="shared" si="39"/>
        <v>10</v>
      </c>
      <c r="BS94">
        <f t="shared" si="33"/>
        <v>2023</v>
      </c>
      <c r="BT94">
        <v>5</v>
      </c>
      <c r="BU94" t="str">
        <f t="shared" si="34"/>
        <v>2023-10</v>
      </c>
      <c r="BV94">
        <f t="shared" si="35"/>
        <v>0</v>
      </c>
      <c r="BX94" t="s">
        <v>23</v>
      </c>
      <c r="BY94" t="s">
        <v>108</v>
      </c>
      <c r="BZ94">
        <v>15831</v>
      </c>
      <c r="CA94">
        <f t="shared" si="36"/>
        <v>10</v>
      </c>
      <c r="CB94">
        <f t="shared" si="37"/>
        <v>2023</v>
      </c>
      <c r="CC94" t="str">
        <f t="shared" si="38"/>
        <v>2023-10</v>
      </c>
    </row>
    <row r="95" spans="1:81" x14ac:dyDescent="0.25">
      <c r="A95" t="s">
        <v>5</v>
      </c>
      <c r="B95" t="s">
        <v>110</v>
      </c>
      <c r="C95" t="s">
        <v>108</v>
      </c>
      <c r="D95">
        <v>67283</v>
      </c>
      <c r="E95">
        <v>3</v>
      </c>
      <c r="P95" t="s">
        <v>5</v>
      </c>
      <c r="Q95" t="s">
        <v>110</v>
      </c>
      <c r="R95">
        <v>3</v>
      </c>
      <c r="AI95" t="s">
        <v>110</v>
      </c>
      <c r="AJ95">
        <v>67283</v>
      </c>
      <c r="AK95" t="s">
        <v>242</v>
      </c>
      <c r="AL95">
        <f>COUNTIF(AI:AI,AK95)</f>
        <v>5</v>
      </c>
      <c r="AM95">
        <f>SUMIF(AI:AI,AK95,AJ:AJ)</f>
        <v>264812</v>
      </c>
      <c r="AP95" t="s">
        <v>5</v>
      </c>
      <c r="AQ95" t="s">
        <v>110</v>
      </c>
      <c r="AS95" t="s">
        <v>144</v>
      </c>
      <c r="AT95">
        <v>18331</v>
      </c>
      <c r="AU95">
        <f t="shared" si="32"/>
        <v>4</v>
      </c>
      <c r="BP95" t="s">
        <v>10</v>
      </c>
      <c r="BQ95" t="s">
        <v>167</v>
      </c>
      <c r="BR95">
        <f t="shared" si="39"/>
        <v>11</v>
      </c>
      <c r="BS95">
        <f t="shared" si="33"/>
        <v>2023</v>
      </c>
      <c r="BT95">
        <v>3</v>
      </c>
      <c r="BU95" t="str">
        <f t="shared" si="34"/>
        <v>2023-11</v>
      </c>
      <c r="BV95">
        <f t="shared" si="35"/>
        <v>0</v>
      </c>
      <c r="BX95" t="s">
        <v>5</v>
      </c>
      <c r="BY95" t="s">
        <v>108</v>
      </c>
      <c r="BZ95">
        <v>67283</v>
      </c>
      <c r="CA95">
        <f t="shared" si="36"/>
        <v>10</v>
      </c>
      <c r="CB95">
        <f t="shared" si="37"/>
        <v>2023</v>
      </c>
      <c r="CC95" t="str">
        <f t="shared" si="38"/>
        <v>2023-10</v>
      </c>
    </row>
    <row r="96" spans="1:81" x14ac:dyDescent="0.25">
      <c r="A96" t="s">
        <v>10</v>
      </c>
      <c r="B96" t="s">
        <v>111</v>
      </c>
      <c r="C96" t="s">
        <v>108</v>
      </c>
      <c r="D96">
        <v>17174</v>
      </c>
      <c r="E96">
        <v>6</v>
      </c>
      <c r="P96" t="s">
        <v>10</v>
      </c>
      <c r="Q96" t="s">
        <v>111</v>
      </c>
      <c r="R96">
        <v>6</v>
      </c>
      <c r="AI96" t="s">
        <v>111</v>
      </c>
      <c r="AJ96">
        <v>17174</v>
      </c>
      <c r="AK96" t="s">
        <v>220</v>
      </c>
      <c r="AL96">
        <f>COUNTIF(AI:AI,AK96)</f>
        <v>5</v>
      </c>
      <c r="AM96">
        <f>SUMIF(AI:AI,AK96,AJ:AJ)</f>
        <v>264464</v>
      </c>
      <c r="AP96" t="s">
        <v>10</v>
      </c>
      <c r="AQ96" t="s">
        <v>111</v>
      </c>
      <c r="AS96" t="s">
        <v>147</v>
      </c>
      <c r="AT96">
        <v>63853</v>
      </c>
      <c r="AU96">
        <f t="shared" si="32"/>
        <v>4</v>
      </c>
      <c r="BP96" t="s">
        <v>10</v>
      </c>
      <c r="BQ96" t="s">
        <v>179</v>
      </c>
      <c r="BR96">
        <f t="shared" si="39"/>
        <v>11</v>
      </c>
      <c r="BS96">
        <f t="shared" si="33"/>
        <v>2023</v>
      </c>
      <c r="BT96">
        <v>6</v>
      </c>
      <c r="BU96" t="str">
        <f t="shared" si="34"/>
        <v>2023-11</v>
      </c>
      <c r="BV96">
        <f t="shared" si="35"/>
        <v>0</v>
      </c>
      <c r="BX96" t="s">
        <v>10</v>
      </c>
      <c r="BY96" t="s">
        <v>108</v>
      </c>
      <c r="BZ96">
        <v>17174</v>
      </c>
      <c r="CA96">
        <f t="shared" si="36"/>
        <v>10</v>
      </c>
      <c r="CB96">
        <f t="shared" si="37"/>
        <v>2023</v>
      </c>
      <c r="CC96" t="str">
        <f t="shared" si="38"/>
        <v>2023-10</v>
      </c>
    </row>
    <row r="97" spans="1:81" x14ac:dyDescent="0.25">
      <c r="A97" t="s">
        <v>27</v>
      </c>
      <c r="B97" t="s">
        <v>112</v>
      </c>
      <c r="C97" t="s">
        <v>113</v>
      </c>
      <c r="D97">
        <v>93197</v>
      </c>
      <c r="E97">
        <v>3</v>
      </c>
      <c r="P97" t="s">
        <v>27</v>
      </c>
      <c r="Q97" t="s">
        <v>112</v>
      </c>
      <c r="R97">
        <v>3</v>
      </c>
      <c r="AI97" t="s">
        <v>112</v>
      </c>
      <c r="AJ97">
        <v>93197</v>
      </c>
      <c r="AK97" t="s">
        <v>91</v>
      </c>
      <c r="AL97">
        <f>COUNTIF(AI:AI,AK97)</f>
        <v>5</v>
      </c>
      <c r="AM97">
        <f>SUMIF(AI:AI,AK97,AJ:AJ)</f>
        <v>262398</v>
      </c>
      <c r="AP97" t="s">
        <v>27</v>
      </c>
      <c r="AQ97" t="s">
        <v>112</v>
      </c>
      <c r="AS97" t="s">
        <v>148</v>
      </c>
      <c r="AT97">
        <v>48754</v>
      </c>
      <c r="AU97">
        <f t="shared" si="32"/>
        <v>3</v>
      </c>
      <c r="BP97" t="s">
        <v>10</v>
      </c>
      <c r="BQ97" t="s">
        <v>194</v>
      </c>
      <c r="BR97">
        <f t="shared" si="39"/>
        <v>11</v>
      </c>
      <c r="BS97">
        <f t="shared" si="33"/>
        <v>2023</v>
      </c>
      <c r="BT97">
        <v>3</v>
      </c>
      <c r="BU97" t="str">
        <f t="shared" si="34"/>
        <v>2023-11</v>
      </c>
      <c r="BV97">
        <f t="shared" si="35"/>
        <v>0</v>
      </c>
      <c r="BX97" t="s">
        <v>27</v>
      </c>
      <c r="BY97" t="s">
        <v>113</v>
      </c>
      <c r="BZ97">
        <v>93197</v>
      </c>
      <c r="CA97">
        <f t="shared" si="36"/>
        <v>10</v>
      </c>
      <c r="CB97">
        <f t="shared" si="37"/>
        <v>2023</v>
      </c>
      <c r="CC97" t="str">
        <f t="shared" si="38"/>
        <v>2023-10</v>
      </c>
    </row>
    <row r="98" spans="1:81" x14ac:dyDescent="0.25">
      <c r="A98" t="s">
        <v>17</v>
      </c>
      <c r="B98" t="s">
        <v>114</v>
      </c>
      <c r="C98" t="s">
        <v>115</v>
      </c>
      <c r="D98">
        <v>19652</v>
      </c>
      <c r="E98">
        <v>8</v>
      </c>
      <c r="P98" t="s">
        <v>17</v>
      </c>
      <c r="Q98" t="s">
        <v>114</v>
      </c>
      <c r="R98">
        <v>8</v>
      </c>
      <c r="AI98" t="s">
        <v>114</v>
      </c>
      <c r="AJ98">
        <v>19652</v>
      </c>
      <c r="AK98" t="s">
        <v>77</v>
      </c>
      <c r="AL98">
        <f>COUNTIF(AI:AI,AK98)</f>
        <v>6</v>
      </c>
      <c r="AM98">
        <f>SUMIF(AI:AI,AK98,AJ:AJ)</f>
        <v>256170</v>
      </c>
      <c r="AP98" t="s">
        <v>17</v>
      </c>
      <c r="AQ98" t="s">
        <v>114</v>
      </c>
      <c r="AS98" t="s">
        <v>150</v>
      </c>
      <c r="AT98">
        <v>90008</v>
      </c>
      <c r="AU98">
        <f t="shared" si="32"/>
        <v>2</v>
      </c>
      <c r="BP98" t="s">
        <v>10</v>
      </c>
      <c r="BQ98" t="s">
        <v>200</v>
      </c>
      <c r="BR98">
        <f t="shared" si="39"/>
        <v>11</v>
      </c>
      <c r="BS98">
        <f t="shared" si="33"/>
        <v>2023</v>
      </c>
      <c r="BT98">
        <v>8</v>
      </c>
      <c r="BU98" t="str">
        <f t="shared" si="34"/>
        <v>2023-11</v>
      </c>
      <c r="BV98">
        <f t="shared" si="35"/>
        <v>1</v>
      </c>
      <c r="BX98" t="s">
        <v>17</v>
      </c>
      <c r="BY98" t="s">
        <v>115</v>
      </c>
      <c r="BZ98">
        <v>19652</v>
      </c>
      <c r="CA98">
        <f t="shared" si="36"/>
        <v>10</v>
      </c>
      <c r="CB98">
        <f t="shared" si="37"/>
        <v>2023</v>
      </c>
      <c r="CC98" t="str">
        <f t="shared" si="38"/>
        <v>2023-10</v>
      </c>
    </row>
    <row r="99" spans="1:81" x14ac:dyDescent="0.25">
      <c r="A99" t="s">
        <v>32</v>
      </c>
      <c r="B99" t="s">
        <v>116</v>
      </c>
      <c r="C99" t="s">
        <v>115</v>
      </c>
      <c r="D99">
        <v>54276</v>
      </c>
      <c r="E99">
        <v>8</v>
      </c>
      <c r="P99" t="s">
        <v>32</v>
      </c>
      <c r="Q99" t="s">
        <v>116</v>
      </c>
      <c r="R99">
        <v>8</v>
      </c>
      <c r="AI99" t="s">
        <v>116</v>
      </c>
      <c r="AJ99">
        <v>54276</v>
      </c>
      <c r="AK99" t="s">
        <v>290</v>
      </c>
      <c r="AL99">
        <f>COUNTIF(AI:AI,AK99)</f>
        <v>4</v>
      </c>
      <c r="AM99">
        <f>SUMIF(AI:AI,AK99,AJ:AJ)</f>
        <v>254925</v>
      </c>
      <c r="AP99" t="s">
        <v>32</v>
      </c>
      <c r="AQ99" t="s">
        <v>116</v>
      </c>
      <c r="AS99" t="s">
        <v>151</v>
      </c>
      <c r="AT99">
        <v>26006</v>
      </c>
      <c r="AU99">
        <f t="shared" si="32"/>
        <v>2</v>
      </c>
      <c r="BP99" t="s">
        <v>10</v>
      </c>
      <c r="BQ99" t="s">
        <v>209</v>
      </c>
      <c r="BR99">
        <f t="shared" si="39"/>
        <v>11</v>
      </c>
      <c r="BS99">
        <f t="shared" si="33"/>
        <v>2023</v>
      </c>
      <c r="BT99">
        <v>8</v>
      </c>
      <c r="BU99" t="str">
        <f t="shared" si="34"/>
        <v>2023-11</v>
      </c>
      <c r="BV99">
        <f t="shared" si="35"/>
        <v>1</v>
      </c>
      <c r="BX99" t="s">
        <v>32</v>
      </c>
      <c r="BY99" t="s">
        <v>115</v>
      </c>
      <c r="BZ99">
        <v>54276</v>
      </c>
      <c r="CA99">
        <f t="shared" si="36"/>
        <v>10</v>
      </c>
      <c r="CB99">
        <f t="shared" si="37"/>
        <v>2023</v>
      </c>
      <c r="CC99" t="str">
        <f t="shared" si="38"/>
        <v>2023-10</v>
      </c>
    </row>
    <row r="100" spans="1:81" x14ac:dyDescent="0.25">
      <c r="A100" t="s">
        <v>14</v>
      </c>
      <c r="B100" t="s">
        <v>30</v>
      </c>
      <c r="C100" t="s">
        <v>117</v>
      </c>
      <c r="D100">
        <v>90127</v>
      </c>
      <c r="E100">
        <v>6</v>
      </c>
      <c r="P100" t="s">
        <v>14</v>
      </c>
      <c r="Q100" t="s">
        <v>30</v>
      </c>
      <c r="R100">
        <v>6</v>
      </c>
      <c r="AI100" t="s">
        <v>30</v>
      </c>
      <c r="AJ100">
        <v>90127</v>
      </c>
      <c r="AK100" t="s">
        <v>65</v>
      </c>
      <c r="AL100">
        <f>COUNTIF(AI:AI,AK100)</f>
        <v>5</v>
      </c>
      <c r="AM100">
        <f>SUMIF(AI:AI,AK100,AJ:AJ)</f>
        <v>253113</v>
      </c>
      <c r="AP100" t="s">
        <v>14</v>
      </c>
      <c r="AQ100" t="s">
        <v>30</v>
      </c>
      <c r="AS100" t="s">
        <v>152</v>
      </c>
      <c r="AT100">
        <v>40254</v>
      </c>
      <c r="AU100">
        <f t="shared" si="32"/>
        <v>2</v>
      </c>
      <c r="BP100" t="s">
        <v>10</v>
      </c>
      <c r="BQ100" t="s">
        <v>218</v>
      </c>
      <c r="BR100">
        <f t="shared" si="39"/>
        <v>12</v>
      </c>
      <c r="BS100">
        <f t="shared" si="33"/>
        <v>2023</v>
      </c>
      <c r="BT100">
        <v>6</v>
      </c>
      <c r="BU100" t="str">
        <f t="shared" si="34"/>
        <v>2023-12</v>
      </c>
      <c r="BV100">
        <f t="shared" si="35"/>
        <v>0</v>
      </c>
      <c r="BX100" t="s">
        <v>14</v>
      </c>
      <c r="BY100" t="s">
        <v>117</v>
      </c>
      <c r="BZ100">
        <v>90127</v>
      </c>
      <c r="CA100">
        <f t="shared" si="36"/>
        <v>10</v>
      </c>
      <c r="CB100">
        <f t="shared" si="37"/>
        <v>2023</v>
      </c>
      <c r="CC100" t="str">
        <f t="shared" si="38"/>
        <v>2023-10</v>
      </c>
    </row>
    <row r="101" spans="1:81" x14ac:dyDescent="0.25">
      <c r="A101" t="s">
        <v>32</v>
      </c>
      <c r="B101" t="s">
        <v>26</v>
      </c>
      <c r="C101" t="s">
        <v>117</v>
      </c>
      <c r="D101">
        <v>84904</v>
      </c>
      <c r="E101">
        <v>4</v>
      </c>
      <c r="P101" t="s">
        <v>32</v>
      </c>
      <c r="Q101" t="s">
        <v>26</v>
      </c>
      <c r="R101">
        <v>4</v>
      </c>
      <c r="AI101" t="s">
        <v>26</v>
      </c>
      <c r="AJ101">
        <v>84904</v>
      </c>
      <c r="AK101" t="s">
        <v>57</v>
      </c>
      <c r="AL101">
        <f>COUNTIF(AI:AI,AK101)</f>
        <v>4</v>
      </c>
      <c r="AM101">
        <f>SUMIF(AI:AI,AK101,AJ:AJ)</f>
        <v>249503</v>
      </c>
      <c r="AP101" t="s">
        <v>32</v>
      </c>
      <c r="AQ101" t="s">
        <v>26</v>
      </c>
      <c r="AS101" t="s">
        <v>154</v>
      </c>
      <c r="AT101">
        <v>90135</v>
      </c>
      <c r="AU101">
        <f t="shared" si="32"/>
        <v>1</v>
      </c>
      <c r="BP101" t="s">
        <v>10</v>
      </c>
      <c r="BQ101" t="s">
        <v>230</v>
      </c>
      <c r="BR101">
        <f t="shared" si="39"/>
        <v>12</v>
      </c>
      <c r="BS101">
        <f t="shared" si="33"/>
        <v>2023</v>
      </c>
      <c r="BT101">
        <v>4</v>
      </c>
      <c r="BU101" t="str">
        <f t="shared" si="34"/>
        <v>2023-12</v>
      </c>
      <c r="BV101">
        <f t="shared" si="35"/>
        <v>0</v>
      </c>
      <c r="BX101" t="s">
        <v>32</v>
      </c>
      <c r="BY101" t="s">
        <v>117</v>
      </c>
      <c r="BZ101">
        <v>84904</v>
      </c>
      <c r="CA101">
        <f t="shared" si="36"/>
        <v>10</v>
      </c>
      <c r="CB101">
        <f t="shared" si="37"/>
        <v>2023</v>
      </c>
      <c r="CC101" t="str">
        <f t="shared" si="38"/>
        <v>2023-10</v>
      </c>
    </row>
    <row r="102" spans="1:81" x14ac:dyDescent="0.25">
      <c r="A102" t="s">
        <v>12</v>
      </c>
      <c r="B102" t="s">
        <v>13</v>
      </c>
      <c r="C102" t="s">
        <v>117</v>
      </c>
      <c r="D102">
        <v>20745</v>
      </c>
      <c r="E102">
        <v>4</v>
      </c>
      <c r="P102" t="s">
        <v>12</v>
      </c>
      <c r="Q102" t="s">
        <v>13</v>
      </c>
      <c r="R102">
        <v>4</v>
      </c>
      <c r="AI102" t="s">
        <v>13</v>
      </c>
      <c r="AJ102">
        <v>20745</v>
      </c>
      <c r="AK102" t="s">
        <v>143</v>
      </c>
      <c r="AL102">
        <f>COUNTIF(AI:AI,AK102)</f>
        <v>5</v>
      </c>
      <c r="AM102">
        <f>SUMIF(AI:AI,AK102,AJ:AJ)</f>
        <v>248414</v>
      </c>
      <c r="AP102" t="s">
        <v>5</v>
      </c>
      <c r="AQ102" t="s">
        <v>118</v>
      </c>
      <c r="AS102" t="s">
        <v>155</v>
      </c>
      <c r="AT102">
        <v>24736</v>
      </c>
      <c r="AU102">
        <f t="shared" si="32"/>
        <v>4</v>
      </c>
      <c r="BP102" t="s">
        <v>10</v>
      </c>
      <c r="BQ102" t="s">
        <v>232</v>
      </c>
      <c r="BR102">
        <f t="shared" si="39"/>
        <v>12</v>
      </c>
      <c r="BS102">
        <f t="shared" si="33"/>
        <v>2023</v>
      </c>
      <c r="BT102">
        <v>4</v>
      </c>
      <c r="BU102" t="str">
        <f t="shared" si="34"/>
        <v>2023-12</v>
      </c>
      <c r="BV102">
        <f t="shared" si="35"/>
        <v>0</v>
      </c>
      <c r="BX102" t="s">
        <v>12</v>
      </c>
      <c r="BY102" t="s">
        <v>117</v>
      </c>
      <c r="BZ102">
        <v>20745</v>
      </c>
      <c r="CA102">
        <f t="shared" si="36"/>
        <v>10</v>
      </c>
      <c r="CB102">
        <f t="shared" si="37"/>
        <v>2023</v>
      </c>
      <c r="CC102" t="str">
        <f t="shared" si="38"/>
        <v>2023-10</v>
      </c>
    </row>
    <row r="103" spans="1:81" x14ac:dyDescent="0.25">
      <c r="A103" t="s">
        <v>5</v>
      </c>
      <c r="B103" t="s">
        <v>118</v>
      </c>
      <c r="C103" t="s">
        <v>117</v>
      </c>
      <c r="D103">
        <v>69272</v>
      </c>
      <c r="E103">
        <v>7</v>
      </c>
      <c r="P103" t="s">
        <v>5</v>
      </c>
      <c r="Q103" t="s">
        <v>118</v>
      </c>
      <c r="R103">
        <v>7</v>
      </c>
      <c r="AI103" t="s">
        <v>118</v>
      </c>
      <c r="AJ103">
        <v>69272</v>
      </c>
      <c r="AK103" t="s">
        <v>279</v>
      </c>
      <c r="AL103">
        <f>COUNTIF(AI:AI,AK103)</f>
        <v>4</v>
      </c>
      <c r="AM103">
        <f>SUMIF(AI:AI,AK103,AJ:AJ)</f>
        <v>242926</v>
      </c>
      <c r="AP103" t="s">
        <v>17</v>
      </c>
      <c r="AQ103" t="s">
        <v>30</v>
      </c>
      <c r="AS103" t="s">
        <v>156</v>
      </c>
      <c r="AT103">
        <v>34160</v>
      </c>
      <c r="AU103">
        <f t="shared" si="32"/>
        <v>4</v>
      </c>
      <c r="BP103" t="s">
        <v>10</v>
      </c>
      <c r="BQ103" t="s">
        <v>232</v>
      </c>
      <c r="BR103">
        <f t="shared" si="39"/>
        <v>12</v>
      </c>
      <c r="BS103">
        <f t="shared" si="33"/>
        <v>2023</v>
      </c>
      <c r="BT103">
        <v>7</v>
      </c>
      <c r="BU103" t="str">
        <f t="shared" si="34"/>
        <v>2023-12</v>
      </c>
      <c r="BV103">
        <f t="shared" si="35"/>
        <v>1</v>
      </c>
      <c r="BX103" t="s">
        <v>5</v>
      </c>
      <c r="BY103" t="s">
        <v>117</v>
      </c>
      <c r="BZ103">
        <v>69272</v>
      </c>
      <c r="CA103">
        <f t="shared" si="36"/>
        <v>10</v>
      </c>
      <c r="CB103">
        <f t="shared" si="37"/>
        <v>2023</v>
      </c>
      <c r="CC103" t="str">
        <f t="shared" si="38"/>
        <v>2023-10</v>
      </c>
    </row>
    <row r="104" spans="1:81" x14ac:dyDescent="0.25">
      <c r="A104" t="s">
        <v>17</v>
      </c>
      <c r="B104" t="s">
        <v>30</v>
      </c>
      <c r="C104" t="s">
        <v>117</v>
      </c>
      <c r="D104">
        <v>82341</v>
      </c>
      <c r="E104">
        <v>9</v>
      </c>
      <c r="P104" t="s">
        <v>17</v>
      </c>
      <c r="Q104" t="s">
        <v>30</v>
      </c>
      <c r="R104">
        <v>9</v>
      </c>
      <c r="AI104" t="s">
        <v>30</v>
      </c>
      <c r="AJ104">
        <v>82341</v>
      </c>
      <c r="AK104" t="s">
        <v>191</v>
      </c>
      <c r="AL104">
        <f>COUNTIF(AI:AI,AK104)</f>
        <v>3</v>
      </c>
      <c r="AM104">
        <f>SUMIF(AI:AI,AK104,AJ:AJ)</f>
        <v>239935</v>
      </c>
      <c r="AP104" t="s">
        <v>27</v>
      </c>
      <c r="AQ104" t="s">
        <v>75</v>
      </c>
      <c r="AS104" t="s">
        <v>157</v>
      </c>
      <c r="AT104">
        <v>98169</v>
      </c>
      <c r="AU104">
        <f t="shared" si="32"/>
        <v>4</v>
      </c>
      <c r="BP104" t="s">
        <v>10</v>
      </c>
      <c r="BQ104" t="s">
        <v>250</v>
      </c>
      <c r="BR104">
        <f t="shared" si="39"/>
        <v>1</v>
      </c>
      <c r="BS104">
        <f t="shared" si="33"/>
        <v>2024</v>
      </c>
      <c r="BT104">
        <v>9</v>
      </c>
      <c r="BU104" t="str">
        <f t="shared" si="34"/>
        <v>2024-1</v>
      </c>
      <c r="BV104">
        <f t="shared" si="35"/>
        <v>2</v>
      </c>
      <c r="BX104" t="s">
        <v>17</v>
      </c>
      <c r="BY104" t="s">
        <v>117</v>
      </c>
      <c r="BZ104">
        <v>82341</v>
      </c>
      <c r="CA104">
        <f t="shared" si="36"/>
        <v>10</v>
      </c>
      <c r="CB104">
        <f t="shared" si="37"/>
        <v>2023</v>
      </c>
      <c r="CC104" t="str">
        <f t="shared" si="38"/>
        <v>2023-10</v>
      </c>
    </row>
    <row r="105" spans="1:81" x14ac:dyDescent="0.25">
      <c r="A105" t="s">
        <v>27</v>
      </c>
      <c r="B105" t="s">
        <v>75</v>
      </c>
      <c r="C105" t="s">
        <v>117</v>
      </c>
      <c r="D105">
        <v>85183</v>
      </c>
      <c r="E105">
        <v>2</v>
      </c>
      <c r="P105" t="s">
        <v>27</v>
      </c>
      <c r="Q105" t="s">
        <v>75</v>
      </c>
      <c r="R105">
        <v>2</v>
      </c>
      <c r="AI105" t="s">
        <v>75</v>
      </c>
      <c r="AJ105">
        <v>85183</v>
      </c>
      <c r="AK105" t="s">
        <v>46</v>
      </c>
      <c r="AL105">
        <f>COUNTIF(AI:AI,AK105)</f>
        <v>5</v>
      </c>
      <c r="AM105">
        <f>SUMIF(AI:AI,AK105,AJ:AJ)</f>
        <v>239625</v>
      </c>
      <c r="AP105" t="s">
        <v>5</v>
      </c>
      <c r="AQ105" t="s">
        <v>11</v>
      </c>
      <c r="AS105" t="s">
        <v>158</v>
      </c>
      <c r="AT105">
        <v>87546</v>
      </c>
      <c r="AU105">
        <f t="shared" si="32"/>
        <v>7</v>
      </c>
      <c r="BP105" t="s">
        <v>10</v>
      </c>
      <c r="BQ105" t="s">
        <v>250</v>
      </c>
      <c r="BR105">
        <f t="shared" si="39"/>
        <v>1</v>
      </c>
      <c r="BS105">
        <f t="shared" si="33"/>
        <v>2024</v>
      </c>
      <c r="BT105">
        <v>2</v>
      </c>
      <c r="BU105" t="str">
        <f t="shared" si="34"/>
        <v>2024-1</v>
      </c>
      <c r="BV105">
        <f t="shared" si="35"/>
        <v>0</v>
      </c>
      <c r="BX105" t="s">
        <v>27</v>
      </c>
      <c r="BY105" t="s">
        <v>117</v>
      </c>
      <c r="BZ105">
        <v>85183</v>
      </c>
      <c r="CA105">
        <f t="shared" si="36"/>
        <v>10</v>
      </c>
      <c r="CB105">
        <f t="shared" si="37"/>
        <v>2023</v>
      </c>
      <c r="CC105" t="str">
        <f t="shared" si="38"/>
        <v>2023-10</v>
      </c>
    </row>
    <row r="106" spans="1:81" x14ac:dyDescent="0.25">
      <c r="A106" t="s">
        <v>5</v>
      </c>
      <c r="B106" t="s">
        <v>11</v>
      </c>
      <c r="C106" t="s">
        <v>117</v>
      </c>
      <c r="D106">
        <v>55064</v>
      </c>
      <c r="E106">
        <v>5</v>
      </c>
      <c r="P106" t="s">
        <v>5</v>
      </c>
      <c r="Q106" t="s">
        <v>11</v>
      </c>
      <c r="R106">
        <v>5</v>
      </c>
      <c r="AI106" t="s">
        <v>11</v>
      </c>
      <c r="AJ106">
        <v>55064</v>
      </c>
      <c r="AK106" t="s">
        <v>74</v>
      </c>
      <c r="AL106">
        <f>COUNTIF(AI:AI,AK106)</f>
        <v>4</v>
      </c>
      <c r="AM106">
        <f>SUMIF(AI:AI,AK106,AJ:AJ)</f>
        <v>237947</v>
      </c>
      <c r="AP106" t="s">
        <v>8</v>
      </c>
      <c r="AQ106" t="s">
        <v>90</v>
      </c>
      <c r="AS106" t="s">
        <v>161</v>
      </c>
      <c r="AT106">
        <v>86597</v>
      </c>
      <c r="AU106">
        <f t="shared" si="32"/>
        <v>6</v>
      </c>
      <c r="BP106" t="s">
        <v>10</v>
      </c>
      <c r="BQ106" t="s">
        <v>250</v>
      </c>
      <c r="BR106">
        <f t="shared" si="39"/>
        <v>1</v>
      </c>
      <c r="BS106">
        <f t="shared" si="33"/>
        <v>2024</v>
      </c>
      <c r="BT106">
        <v>5</v>
      </c>
      <c r="BU106" t="str">
        <f t="shared" si="34"/>
        <v>2024-1</v>
      </c>
      <c r="BV106">
        <f t="shared" si="35"/>
        <v>0</v>
      </c>
      <c r="BX106" t="s">
        <v>5</v>
      </c>
      <c r="BY106" t="s">
        <v>117</v>
      </c>
      <c r="BZ106">
        <v>55064</v>
      </c>
      <c r="CA106">
        <f t="shared" si="36"/>
        <v>10</v>
      </c>
      <c r="CB106">
        <f t="shared" si="37"/>
        <v>2023</v>
      </c>
      <c r="CC106" t="str">
        <f t="shared" si="38"/>
        <v>2023-10</v>
      </c>
    </row>
    <row r="107" spans="1:81" x14ac:dyDescent="0.25">
      <c r="A107" t="s">
        <v>8</v>
      </c>
      <c r="B107" t="s">
        <v>90</v>
      </c>
      <c r="C107" t="s">
        <v>117</v>
      </c>
      <c r="D107">
        <v>70450</v>
      </c>
      <c r="E107">
        <v>7</v>
      </c>
      <c r="P107" t="s">
        <v>8</v>
      </c>
      <c r="Q107" t="s">
        <v>90</v>
      </c>
      <c r="R107">
        <v>7</v>
      </c>
      <c r="AI107" t="s">
        <v>90</v>
      </c>
      <c r="AJ107">
        <v>70450</v>
      </c>
      <c r="AK107" t="s">
        <v>37</v>
      </c>
      <c r="AL107">
        <f>COUNTIF(AI:AI,AK107)</f>
        <v>5</v>
      </c>
      <c r="AM107">
        <f>SUMIF(AI:AI,AK107,AJ:AJ)</f>
        <v>237451</v>
      </c>
      <c r="AP107" t="s">
        <v>32</v>
      </c>
      <c r="AQ107" t="s">
        <v>45</v>
      </c>
      <c r="AS107" t="s">
        <v>162</v>
      </c>
      <c r="AT107">
        <v>46859</v>
      </c>
      <c r="AU107">
        <f t="shared" si="32"/>
        <v>4</v>
      </c>
      <c r="BP107" t="s">
        <v>10</v>
      </c>
      <c r="BQ107" t="s">
        <v>252</v>
      </c>
      <c r="BR107">
        <f t="shared" si="39"/>
        <v>1</v>
      </c>
      <c r="BS107">
        <f t="shared" si="33"/>
        <v>2024</v>
      </c>
      <c r="BT107">
        <v>7</v>
      </c>
      <c r="BU107" t="str">
        <f t="shared" si="34"/>
        <v>2024-1</v>
      </c>
      <c r="BV107">
        <f t="shared" si="35"/>
        <v>1</v>
      </c>
      <c r="BX107" t="s">
        <v>8</v>
      </c>
      <c r="BY107" t="s">
        <v>117</v>
      </c>
      <c r="BZ107">
        <v>70450</v>
      </c>
      <c r="CA107">
        <f t="shared" si="36"/>
        <v>10</v>
      </c>
      <c r="CB107">
        <f t="shared" si="37"/>
        <v>2023</v>
      </c>
      <c r="CC107" t="str">
        <f t="shared" si="38"/>
        <v>2023-10</v>
      </c>
    </row>
    <row r="108" spans="1:81" x14ac:dyDescent="0.25">
      <c r="A108" t="s">
        <v>32</v>
      </c>
      <c r="B108" t="s">
        <v>45</v>
      </c>
      <c r="C108" t="s">
        <v>117</v>
      </c>
      <c r="D108">
        <v>84544</v>
      </c>
      <c r="E108">
        <v>7</v>
      </c>
      <c r="P108" t="s">
        <v>32</v>
      </c>
      <c r="Q108" t="s">
        <v>45</v>
      </c>
      <c r="R108">
        <v>7</v>
      </c>
      <c r="AI108" t="s">
        <v>45</v>
      </c>
      <c r="AJ108">
        <v>84544</v>
      </c>
      <c r="AK108" t="s">
        <v>182</v>
      </c>
      <c r="AL108">
        <f>COUNTIF(AI:AI,AK108)</f>
        <v>6</v>
      </c>
      <c r="AM108">
        <f>SUMIF(AI:AI,AK108,AJ:AJ)</f>
        <v>237205</v>
      </c>
      <c r="AP108" t="s">
        <v>20</v>
      </c>
      <c r="AQ108" t="s">
        <v>119</v>
      </c>
      <c r="AS108" t="s">
        <v>163</v>
      </c>
      <c r="AT108">
        <v>82423</v>
      </c>
      <c r="AU108">
        <f t="shared" si="32"/>
        <v>1</v>
      </c>
      <c r="BP108" t="s">
        <v>10</v>
      </c>
      <c r="BQ108" t="s">
        <v>258</v>
      </c>
      <c r="BR108">
        <f t="shared" si="39"/>
        <v>1</v>
      </c>
      <c r="BS108">
        <f t="shared" si="33"/>
        <v>2024</v>
      </c>
      <c r="BT108">
        <v>7</v>
      </c>
      <c r="BU108" t="str">
        <f t="shared" si="34"/>
        <v>2024-1</v>
      </c>
      <c r="BV108">
        <f t="shared" si="35"/>
        <v>1</v>
      </c>
      <c r="BX108" t="s">
        <v>32</v>
      </c>
      <c r="BY108" t="s">
        <v>117</v>
      </c>
      <c r="BZ108">
        <v>84544</v>
      </c>
      <c r="CA108">
        <f t="shared" si="36"/>
        <v>10</v>
      </c>
      <c r="CB108">
        <f t="shared" si="37"/>
        <v>2023</v>
      </c>
      <c r="CC108" t="str">
        <f t="shared" si="38"/>
        <v>2023-10</v>
      </c>
    </row>
    <row r="109" spans="1:81" x14ac:dyDescent="0.25">
      <c r="A109" t="s">
        <v>20</v>
      </c>
      <c r="B109" t="s">
        <v>119</v>
      </c>
      <c r="C109" t="s">
        <v>117</v>
      </c>
      <c r="D109">
        <v>76055</v>
      </c>
      <c r="E109">
        <v>7</v>
      </c>
      <c r="P109" t="s">
        <v>20</v>
      </c>
      <c r="Q109" t="s">
        <v>119</v>
      </c>
      <c r="R109">
        <v>7</v>
      </c>
      <c r="AI109" t="s">
        <v>119</v>
      </c>
      <c r="AJ109">
        <v>76055</v>
      </c>
      <c r="AK109" t="s">
        <v>92</v>
      </c>
      <c r="AL109">
        <f>COUNTIF(AI:AI,AK109)</f>
        <v>5</v>
      </c>
      <c r="AM109">
        <f>SUMIF(AI:AI,AK109,AJ:AJ)</f>
        <v>234717</v>
      </c>
      <c r="AP109" t="s">
        <v>23</v>
      </c>
      <c r="AQ109" t="s">
        <v>120</v>
      </c>
      <c r="AS109" t="s">
        <v>165</v>
      </c>
      <c r="AT109">
        <v>12159</v>
      </c>
      <c r="AU109">
        <f t="shared" si="32"/>
        <v>4</v>
      </c>
      <c r="BP109" t="s">
        <v>10</v>
      </c>
      <c r="BQ109" t="s">
        <v>260</v>
      </c>
      <c r="BR109">
        <f t="shared" si="39"/>
        <v>1</v>
      </c>
      <c r="BS109">
        <f t="shared" si="33"/>
        <v>2024</v>
      </c>
      <c r="BT109">
        <v>7</v>
      </c>
      <c r="BU109" t="str">
        <f t="shared" si="34"/>
        <v>2024-1</v>
      </c>
      <c r="BV109">
        <f t="shared" si="35"/>
        <v>1</v>
      </c>
      <c r="BX109" t="s">
        <v>20</v>
      </c>
      <c r="BY109" t="s">
        <v>117</v>
      </c>
      <c r="BZ109">
        <v>76055</v>
      </c>
      <c r="CA109">
        <f t="shared" si="36"/>
        <v>10</v>
      </c>
      <c r="CB109">
        <f t="shared" si="37"/>
        <v>2023</v>
      </c>
      <c r="CC109" t="str">
        <f t="shared" si="38"/>
        <v>2023-10</v>
      </c>
    </row>
    <row r="110" spans="1:81" x14ac:dyDescent="0.25">
      <c r="A110" t="s">
        <v>23</v>
      </c>
      <c r="B110" t="s">
        <v>120</v>
      </c>
      <c r="C110" t="s">
        <v>117</v>
      </c>
      <c r="D110">
        <v>38844</v>
      </c>
      <c r="E110">
        <v>10</v>
      </c>
      <c r="P110" t="s">
        <v>23</v>
      </c>
      <c r="Q110" t="s">
        <v>120</v>
      </c>
      <c r="R110">
        <v>10</v>
      </c>
      <c r="AI110" t="s">
        <v>120</v>
      </c>
      <c r="AJ110">
        <v>38844</v>
      </c>
      <c r="AK110" t="s">
        <v>244</v>
      </c>
      <c r="AL110">
        <f>COUNTIF(AI:AI,AK110)</f>
        <v>4</v>
      </c>
      <c r="AM110">
        <f>SUMIF(AI:AI,AK110,AJ:AJ)</f>
        <v>233147</v>
      </c>
      <c r="AP110" t="s">
        <v>14</v>
      </c>
      <c r="AQ110" t="s">
        <v>121</v>
      </c>
      <c r="AS110" t="s">
        <v>166</v>
      </c>
      <c r="AT110">
        <v>18544</v>
      </c>
      <c r="AU110">
        <f t="shared" si="32"/>
        <v>4</v>
      </c>
      <c r="BP110" t="s">
        <v>10</v>
      </c>
      <c r="BQ110" t="s">
        <v>260</v>
      </c>
      <c r="BR110">
        <f t="shared" si="39"/>
        <v>1</v>
      </c>
      <c r="BS110">
        <f t="shared" si="33"/>
        <v>2024</v>
      </c>
      <c r="BT110">
        <v>10</v>
      </c>
      <c r="BU110" t="str">
        <f t="shared" si="34"/>
        <v>2024-1</v>
      </c>
      <c r="BV110">
        <f t="shared" si="35"/>
        <v>2</v>
      </c>
      <c r="BX110" t="s">
        <v>23</v>
      </c>
      <c r="BY110" t="s">
        <v>117</v>
      </c>
      <c r="BZ110">
        <v>38844</v>
      </c>
      <c r="CA110">
        <f t="shared" si="36"/>
        <v>10</v>
      </c>
      <c r="CB110">
        <f t="shared" si="37"/>
        <v>2023</v>
      </c>
      <c r="CC110" t="str">
        <f t="shared" si="38"/>
        <v>2023-10</v>
      </c>
    </row>
    <row r="111" spans="1:81" x14ac:dyDescent="0.25">
      <c r="A111" t="s">
        <v>14</v>
      </c>
      <c r="B111" t="s">
        <v>121</v>
      </c>
      <c r="C111" t="s">
        <v>117</v>
      </c>
      <c r="D111">
        <v>16119</v>
      </c>
      <c r="E111">
        <v>4</v>
      </c>
      <c r="P111" t="s">
        <v>14</v>
      </c>
      <c r="Q111" t="s">
        <v>121</v>
      </c>
      <c r="R111">
        <v>4</v>
      </c>
      <c r="AI111" t="s">
        <v>121</v>
      </c>
      <c r="AJ111">
        <v>16119</v>
      </c>
      <c r="AK111" t="s">
        <v>165</v>
      </c>
      <c r="AL111">
        <f>COUNTIF(AI:AI,AK111)</f>
        <v>4</v>
      </c>
      <c r="AM111">
        <f>SUMIF(AI:AI,AK111,AJ:AJ)</f>
        <v>231568</v>
      </c>
      <c r="AP111" t="s">
        <v>32</v>
      </c>
      <c r="AQ111" t="s">
        <v>85</v>
      </c>
      <c r="AS111" t="s">
        <v>168</v>
      </c>
      <c r="AT111">
        <v>22988</v>
      </c>
      <c r="AU111">
        <f t="shared" si="32"/>
        <v>3</v>
      </c>
      <c r="BP111" t="s">
        <v>10</v>
      </c>
      <c r="BQ111" t="s">
        <v>262</v>
      </c>
      <c r="BR111">
        <f t="shared" si="39"/>
        <v>1</v>
      </c>
      <c r="BS111">
        <f t="shared" si="33"/>
        <v>2024</v>
      </c>
      <c r="BT111">
        <v>4</v>
      </c>
      <c r="BU111" t="str">
        <f t="shared" si="34"/>
        <v>2024-1</v>
      </c>
      <c r="BV111">
        <f t="shared" si="35"/>
        <v>0</v>
      </c>
      <c r="BX111" t="s">
        <v>14</v>
      </c>
      <c r="BY111" t="s">
        <v>117</v>
      </c>
      <c r="BZ111">
        <v>16119</v>
      </c>
      <c r="CA111">
        <f t="shared" si="36"/>
        <v>10</v>
      </c>
      <c r="CB111">
        <f t="shared" si="37"/>
        <v>2023</v>
      </c>
      <c r="CC111" t="str">
        <f t="shared" si="38"/>
        <v>2023-10</v>
      </c>
    </row>
    <row r="112" spans="1:81" x14ac:dyDescent="0.25">
      <c r="A112" t="s">
        <v>32</v>
      </c>
      <c r="B112" t="s">
        <v>85</v>
      </c>
      <c r="C112" t="s">
        <v>122</v>
      </c>
      <c r="D112">
        <v>17126</v>
      </c>
      <c r="E112">
        <v>7</v>
      </c>
      <c r="P112" t="s">
        <v>32</v>
      </c>
      <c r="Q112" t="s">
        <v>85</v>
      </c>
      <c r="R112">
        <v>7</v>
      </c>
      <c r="AI112" t="s">
        <v>85</v>
      </c>
      <c r="AJ112">
        <v>17126</v>
      </c>
      <c r="AK112" t="s">
        <v>76</v>
      </c>
      <c r="AL112">
        <f>COUNTIF(AI:AI,AK112)</f>
        <v>4</v>
      </c>
      <c r="AM112">
        <f>SUMIF(AI:AI,AK112,AJ:AJ)</f>
        <v>231063</v>
      </c>
      <c r="AP112" t="s">
        <v>14</v>
      </c>
      <c r="AQ112" t="s">
        <v>87</v>
      </c>
      <c r="AS112" t="s">
        <v>169</v>
      </c>
      <c r="AT112">
        <v>60970</v>
      </c>
      <c r="AU112">
        <f t="shared" si="32"/>
        <v>5</v>
      </c>
      <c r="BP112" t="s">
        <v>10</v>
      </c>
      <c r="BQ112" t="s">
        <v>265</v>
      </c>
      <c r="BR112">
        <f t="shared" si="39"/>
        <v>1</v>
      </c>
      <c r="BS112">
        <f t="shared" si="33"/>
        <v>2024</v>
      </c>
      <c r="BT112">
        <v>7</v>
      </c>
      <c r="BU112" t="str">
        <f t="shared" si="34"/>
        <v>2024-1</v>
      </c>
      <c r="BV112">
        <f t="shared" si="35"/>
        <v>1</v>
      </c>
      <c r="BX112" t="s">
        <v>32</v>
      </c>
      <c r="BY112" t="s">
        <v>122</v>
      </c>
      <c r="BZ112">
        <v>17126</v>
      </c>
      <c r="CA112">
        <f t="shared" si="36"/>
        <v>10</v>
      </c>
      <c r="CB112">
        <f t="shared" si="37"/>
        <v>2023</v>
      </c>
      <c r="CC112" t="str">
        <f t="shared" si="38"/>
        <v>2023-10</v>
      </c>
    </row>
    <row r="113" spans="1:81" x14ac:dyDescent="0.25">
      <c r="A113" t="s">
        <v>14</v>
      </c>
      <c r="B113" t="s">
        <v>87</v>
      </c>
      <c r="C113" t="s">
        <v>123</v>
      </c>
      <c r="D113">
        <v>67169</v>
      </c>
      <c r="E113">
        <v>7</v>
      </c>
      <c r="P113" t="s">
        <v>14</v>
      </c>
      <c r="Q113" t="s">
        <v>87</v>
      </c>
      <c r="R113">
        <v>7</v>
      </c>
      <c r="AI113" t="s">
        <v>87</v>
      </c>
      <c r="AJ113">
        <v>67169</v>
      </c>
      <c r="AK113" t="s">
        <v>171</v>
      </c>
      <c r="AL113">
        <f>COUNTIF(AI:AI,AK113)</f>
        <v>4</v>
      </c>
      <c r="AM113">
        <f>SUMIF(AI:AI,AK113,AJ:AJ)</f>
        <v>230163</v>
      </c>
      <c r="AP113" t="s">
        <v>14</v>
      </c>
      <c r="AQ113" t="s">
        <v>124</v>
      </c>
      <c r="AS113" t="s">
        <v>171</v>
      </c>
      <c r="AT113">
        <v>54889</v>
      </c>
      <c r="AU113">
        <f t="shared" si="32"/>
        <v>4</v>
      </c>
      <c r="BP113" t="s">
        <v>10</v>
      </c>
      <c r="BQ113" t="s">
        <v>272</v>
      </c>
      <c r="BR113">
        <f t="shared" si="39"/>
        <v>1</v>
      </c>
      <c r="BS113">
        <f t="shared" si="33"/>
        <v>2024</v>
      </c>
      <c r="BT113">
        <v>7</v>
      </c>
      <c r="BU113" t="str">
        <f t="shared" si="34"/>
        <v>2024-1</v>
      </c>
      <c r="BV113">
        <f t="shared" si="35"/>
        <v>1</v>
      </c>
      <c r="BX113" t="s">
        <v>14</v>
      </c>
      <c r="BY113" t="s">
        <v>123</v>
      </c>
      <c r="BZ113">
        <v>67169</v>
      </c>
      <c r="CA113">
        <f t="shared" si="36"/>
        <v>10</v>
      </c>
      <c r="CB113">
        <f t="shared" si="37"/>
        <v>2023</v>
      </c>
      <c r="CC113" t="str">
        <f t="shared" si="38"/>
        <v>2023-10</v>
      </c>
    </row>
    <row r="114" spans="1:81" x14ac:dyDescent="0.25">
      <c r="A114" t="s">
        <v>14</v>
      </c>
      <c r="B114" t="s">
        <v>124</v>
      </c>
      <c r="C114" t="s">
        <v>123</v>
      </c>
      <c r="D114">
        <v>43653</v>
      </c>
      <c r="E114">
        <v>6</v>
      </c>
      <c r="P114" t="s">
        <v>14</v>
      </c>
      <c r="Q114" t="s">
        <v>124</v>
      </c>
      <c r="R114">
        <v>6</v>
      </c>
      <c r="AI114" t="s">
        <v>124</v>
      </c>
      <c r="AJ114">
        <v>43653</v>
      </c>
      <c r="AK114" t="s">
        <v>29</v>
      </c>
      <c r="AL114">
        <f>COUNTIF(AI:AI,AK114)</f>
        <v>5</v>
      </c>
      <c r="AM114">
        <f>SUMIF(AI:AI,AK114,AJ:AJ)</f>
        <v>225553</v>
      </c>
      <c r="AP114" t="s">
        <v>33</v>
      </c>
      <c r="AQ114" t="s">
        <v>18</v>
      </c>
      <c r="AS114" t="s">
        <v>173</v>
      </c>
      <c r="AT114">
        <v>93535</v>
      </c>
      <c r="AU114">
        <f t="shared" si="32"/>
        <v>11</v>
      </c>
      <c r="BP114" t="s">
        <v>10</v>
      </c>
      <c r="BQ114" t="s">
        <v>273</v>
      </c>
      <c r="BR114">
        <f t="shared" si="39"/>
        <v>1</v>
      </c>
      <c r="BS114">
        <f t="shared" si="33"/>
        <v>2024</v>
      </c>
      <c r="BT114">
        <v>6</v>
      </c>
      <c r="BU114" t="str">
        <f t="shared" si="34"/>
        <v>2024-1</v>
      </c>
      <c r="BV114">
        <f t="shared" si="35"/>
        <v>0</v>
      </c>
      <c r="BX114" t="s">
        <v>14</v>
      </c>
      <c r="BY114" t="s">
        <v>123</v>
      </c>
      <c r="BZ114">
        <v>43653</v>
      </c>
      <c r="CA114">
        <f t="shared" si="36"/>
        <v>10</v>
      </c>
      <c r="CB114">
        <f t="shared" si="37"/>
        <v>2023</v>
      </c>
      <c r="CC114" t="str">
        <f t="shared" si="38"/>
        <v>2023-10</v>
      </c>
    </row>
    <row r="115" spans="1:81" x14ac:dyDescent="0.25">
      <c r="A115" t="s">
        <v>33</v>
      </c>
      <c r="B115" t="s">
        <v>18</v>
      </c>
      <c r="C115" t="s">
        <v>123</v>
      </c>
      <c r="D115">
        <v>51332</v>
      </c>
      <c r="E115">
        <v>4</v>
      </c>
      <c r="P115" t="s">
        <v>33</v>
      </c>
      <c r="Q115" t="s">
        <v>18</v>
      </c>
      <c r="R115">
        <v>4</v>
      </c>
      <c r="AI115" t="s">
        <v>18</v>
      </c>
      <c r="AJ115">
        <v>51332</v>
      </c>
      <c r="AK115" t="s">
        <v>114</v>
      </c>
      <c r="AL115">
        <f>COUNTIF(AI:AI,AK115)</f>
        <v>4</v>
      </c>
      <c r="AM115">
        <f>SUMIF(AI:AI,AK115,AJ:AJ)</f>
        <v>225505</v>
      </c>
      <c r="AP115" t="s">
        <v>5</v>
      </c>
      <c r="AQ115" t="s">
        <v>46</v>
      </c>
      <c r="AS115" t="s">
        <v>174</v>
      </c>
      <c r="AT115">
        <v>44197</v>
      </c>
      <c r="AU115">
        <f t="shared" si="32"/>
        <v>5</v>
      </c>
      <c r="BP115" t="s">
        <v>10</v>
      </c>
      <c r="BQ115" t="s">
        <v>275</v>
      </c>
      <c r="BR115">
        <f t="shared" si="39"/>
        <v>1</v>
      </c>
      <c r="BS115">
        <f t="shared" si="33"/>
        <v>2024</v>
      </c>
      <c r="BT115">
        <v>4</v>
      </c>
      <c r="BU115" t="str">
        <f t="shared" si="34"/>
        <v>2024-1</v>
      </c>
      <c r="BV115">
        <f t="shared" si="35"/>
        <v>0</v>
      </c>
      <c r="BX115" t="s">
        <v>33</v>
      </c>
      <c r="BY115" t="s">
        <v>123</v>
      </c>
      <c r="BZ115">
        <v>51332</v>
      </c>
      <c r="CA115">
        <f t="shared" si="36"/>
        <v>10</v>
      </c>
      <c r="CB115">
        <f t="shared" si="37"/>
        <v>2023</v>
      </c>
      <c r="CC115" t="str">
        <f t="shared" si="38"/>
        <v>2023-10</v>
      </c>
    </row>
    <row r="116" spans="1:81" x14ac:dyDescent="0.25">
      <c r="A116" t="s">
        <v>5</v>
      </c>
      <c r="B116" t="s">
        <v>46</v>
      </c>
      <c r="C116" t="s">
        <v>123</v>
      </c>
      <c r="D116">
        <v>39421</v>
      </c>
      <c r="E116">
        <v>3</v>
      </c>
      <c r="P116" t="s">
        <v>5</v>
      </c>
      <c r="Q116" t="s">
        <v>46</v>
      </c>
      <c r="R116">
        <v>3</v>
      </c>
      <c r="AI116" t="s">
        <v>46</v>
      </c>
      <c r="AJ116">
        <v>39421</v>
      </c>
      <c r="AK116" t="s">
        <v>286</v>
      </c>
      <c r="AL116">
        <f>COUNTIF(AI:AI,AK116)</f>
        <v>4</v>
      </c>
      <c r="AM116">
        <f>SUMIF(AI:AI,AK116,AJ:AJ)</f>
        <v>224755</v>
      </c>
      <c r="AP116" t="s">
        <v>36</v>
      </c>
      <c r="AQ116" t="s">
        <v>125</v>
      </c>
      <c r="AS116" t="s">
        <v>175</v>
      </c>
      <c r="AT116">
        <v>45774</v>
      </c>
      <c r="AU116">
        <f t="shared" si="32"/>
        <v>1</v>
      </c>
      <c r="BP116" t="s">
        <v>10</v>
      </c>
      <c r="BQ116" t="s">
        <v>277</v>
      </c>
      <c r="BR116">
        <f t="shared" si="39"/>
        <v>1</v>
      </c>
      <c r="BS116">
        <f t="shared" si="33"/>
        <v>2024</v>
      </c>
      <c r="BT116">
        <v>3</v>
      </c>
      <c r="BU116" t="str">
        <f t="shared" si="34"/>
        <v>2024-1</v>
      </c>
      <c r="BV116">
        <f t="shared" si="35"/>
        <v>0</v>
      </c>
      <c r="BX116" t="s">
        <v>5</v>
      </c>
      <c r="BY116" t="s">
        <v>123</v>
      </c>
      <c r="BZ116">
        <v>39421</v>
      </c>
      <c r="CA116">
        <f t="shared" si="36"/>
        <v>10</v>
      </c>
      <c r="CB116">
        <f t="shared" si="37"/>
        <v>2023</v>
      </c>
      <c r="CC116" t="str">
        <f t="shared" si="38"/>
        <v>2023-10</v>
      </c>
    </row>
    <row r="117" spans="1:81" x14ac:dyDescent="0.25">
      <c r="A117" t="s">
        <v>36</v>
      </c>
      <c r="B117" t="s">
        <v>125</v>
      </c>
      <c r="C117" t="s">
        <v>123</v>
      </c>
      <c r="D117">
        <v>42835</v>
      </c>
      <c r="E117">
        <v>8</v>
      </c>
      <c r="P117" t="s">
        <v>36</v>
      </c>
      <c r="Q117" t="s">
        <v>125</v>
      </c>
      <c r="R117">
        <v>8</v>
      </c>
      <c r="AI117" t="s">
        <v>125</v>
      </c>
      <c r="AJ117">
        <v>42835</v>
      </c>
      <c r="AK117" t="s">
        <v>319</v>
      </c>
      <c r="AL117">
        <f>COUNTIF(AI:AI,AK117)</f>
        <v>6</v>
      </c>
      <c r="AM117">
        <f>SUMIF(AI:AI,AK117,AJ:AJ)</f>
        <v>223546</v>
      </c>
      <c r="AP117" t="s">
        <v>10</v>
      </c>
      <c r="AQ117" t="s">
        <v>101</v>
      </c>
      <c r="AS117" t="s">
        <v>177</v>
      </c>
      <c r="AT117">
        <v>42281</v>
      </c>
      <c r="AU117">
        <f t="shared" si="32"/>
        <v>6</v>
      </c>
      <c r="BP117" t="s">
        <v>10</v>
      </c>
      <c r="BQ117" t="s">
        <v>282</v>
      </c>
      <c r="BR117">
        <f t="shared" si="39"/>
        <v>1</v>
      </c>
      <c r="BS117">
        <f t="shared" si="33"/>
        <v>2024</v>
      </c>
      <c r="BT117">
        <v>8</v>
      </c>
      <c r="BU117" t="str">
        <f t="shared" si="34"/>
        <v>2024-1</v>
      </c>
      <c r="BV117">
        <f t="shared" si="35"/>
        <v>1</v>
      </c>
      <c r="BX117" t="s">
        <v>36</v>
      </c>
      <c r="BY117" t="s">
        <v>123</v>
      </c>
      <c r="BZ117">
        <v>42835</v>
      </c>
      <c r="CA117">
        <f t="shared" si="36"/>
        <v>10</v>
      </c>
      <c r="CB117">
        <f t="shared" si="37"/>
        <v>2023</v>
      </c>
      <c r="CC117" t="str">
        <f t="shared" si="38"/>
        <v>2023-10</v>
      </c>
    </row>
    <row r="118" spans="1:81" x14ac:dyDescent="0.25">
      <c r="A118" t="s">
        <v>10</v>
      </c>
      <c r="B118" t="s">
        <v>101</v>
      </c>
      <c r="C118" t="s">
        <v>126</v>
      </c>
      <c r="D118">
        <v>99352</v>
      </c>
      <c r="E118">
        <v>6</v>
      </c>
      <c r="P118" t="s">
        <v>10</v>
      </c>
      <c r="Q118" t="s">
        <v>101</v>
      </c>
      <c r="R118">
        <v>6</v>
      </c>
      <c r="AI118" t="s">
        <v>101</v>
      </c>
      <c r="AJ118">
        <v>99352</v>
      </c>
      <c r="AK118" t="s">
        <v>157</v>
      </c>
      <c r="AL118">
        <f>COUNTIF(AI:AI,AK118)</f>
        <v>4</v>
      </c>
      <c r="AM118">
        <f>SUMIF(AI:AI,AK118,AJ:AJ)</f>
        <v>219799</v>
      </c>
      <c r="AP118" t="s">
        <v>32</v>
      </c>
      <c r="AQ118" t="s">
        <v>127</v>
      </c>
      <c r="AS118" t="s">
        <v>180</v>
      </c>
      <c r="AT118">
        <v>33773</v>
      </c>
      <c r="AU118">
        <f t="shared" si="32"/>
        <v>6</v>
      </c>
      <c r="BP118" t="s">
        <v>10</v>
      </c>
      <c r="BQ118" t="s">
        <v>288</v>
      </c>
      <c r="BR118">
        <f t="shared" si="39"/>
        <v>2</v>
      </c>
      <c r="BS118">
        <f t="shared" si="33"/>
        <v>2024</v>
      </c>
      <c r="BT118">
        <v>6</v>
      </c>
      <c r="BU118" t="str">
        <f t="shared" si="34"/>
        <v>2024-2</v>
      </c>
      <c r="BV118">
        <f t="shared" si="35"/>
        <v>0</v>
      </c>
      <c r="BX118" t="s">
        <v>10</v>
      </c>
      <c r="BY118" t="s">
        <v>126</v>
      </c>
      <c r="BZ118">
        <v>99352</v>
      </c>
      <c r="CA118">
        <f t="shared" si="36"/>
        <v>10</v>
      </c>
      <c r="CB118">
        <f t="shared" si="37"/>
        <v>2023</v>
      </c>
      <c r="CC118" t="str">
        <f t="shared" si="38"/>
        <v>2023-10</v>
      </c>
    </row>
    <row r="119" spans="1:81" x14ac:dyDescent="0.25">
      <c r="A119" t="s">
        <v>32</v>
      </c>
      <c r="B119" t="s">
        <v>127</v>
      </c>
      <c r="C119" t="s">
        <v>128</v>
      </c>
      <c r="D119">
        <v>18623</v>
      </c>
      <c r="E119">
        <v>7</v>
      </c>
      <c r="P119" t="s">
        <v>32</v>
      </c>
      <c r="Q119" t="s">
        <v>127</v>
      </c>
      <c r="R119">
        <v>7</v>
      </c>
      <c r="AI119" t="s">
        <v>127</v>
      </c>
      <c r="AJ119">
        <v>18623</v>
      </c>
      <c r="AK119" t="s">
        <v>162</v>
      </c>
      <c r="AL119">
        <f>COUNTIF(AI:AI,AK119)</f>
        <v>5</v>
      </c>
      <c r="AM119">
        <f>SUMIF(AI:AI,AK119,AJ:AJ)</f>
        <v>218694</v>
      </c>
      <c r="AP119" t="s">
        <v>12</v>
      </c>
      <c r="AQ119" t="s">
        <v>87</v>
      </c>
      <c r="AS119" t="s">
        <v>181</v>
      </c>
      <c r="AT119">
        <v>92257</v>
      </c>
      <c r="AU119">
        <f t="shared" si="32"/>
        <v>3</v>
      </c>
      <c r="BP119" t="s">
        <v>10</v>
      </c>
      <c r="BQ119" t="s">
        <v>289</v>
      </c>
      <c r="BR119">
        <f t="shared" si="39"/>
        <v>2</v>
      </c>
      <c r="BS119">
        <f t="shared" si="33"/>
        <v>2024</v>
      </c>
      <c r="BT119">
        <v>7</v>
      </c>
      <c r="BU119" t="str">
        <f t="shared" si="34"/>
        <v>2024-2</v>
      </c>
      <c r="BV119">
        <f t="shared" si="35"/>
        <v>1</v>
      </c>
      <c r="BX119" t="s">
        <v>32</v>
      </c>
      <c r="BY119" t="s">
        <v>128</v>
      </c>
      <c r="BZ119">
        <v>18623</v>
      </c>
      <c r="CA119">
        <f t="shared" si="36"/>
        <v>10</v>
      </c>
      <c r="CB119">
        <f t="shared" si="37"/>
        <v>2023</v>
      </c>
      <c r="CC119" t="str">
        <f t="shared" si="38"/>
        <v>2023-10</v>
      </c>
    </row>
    <row r="120" spans="1:81" x14ac:dyDescent="0.25">
      <c r="A120" t="s">
        <v>12</v>
      </c>
      <c r="B120" t="s">
        <v>87</v>
      </c>
      <c r="C120" t="s">
        <v>128</v>
      </c>
      <c r="D120">
        <v>52343</v>
      </c>
      <c r="E120">
        <v>7</v>
      </c>
      <c r="P120" t="s">
        <v>12</v>
      </c>
      <c r="Q120" t="s">
        <v>87</v>
      </c>
      <c r="R120">
        <v>7</v>
      </c>
      <c r="AI120" t="s">
        <v>87</v>
      </c>
      <c r="AJ120">
        <v>52343</v>
      </c>
      <c r="AK120" t="s">
        <v>70</v>
      </c>
      <c r="AL120">
        <f>COUNTIF(AI:AI,AK120)</f>
        <v>4</v>
      </c>
      <c r="AM120">
        <f>SUMIF(AI:AI,AK120,AJ:AJ)</f>
        <v>217682</v>
      </c>
      <c r="AP120" t="s">
        <v>20</v>
      </c>
      <c r="AQ120" t="s">
        <v>129</v>
      </c>
      <c r="AS120" t="s">
        <v>182</v>
      </c>
      <c r="AT120">
        <v>65278</v>
      </c>
      <c r="AU120">
        <f t="shared" si="32"/>
        <v>4</v>
      </c>
      <c r="BP120" t="s">
        <v>10</v>
      </c>
      <c r="BQ120" t="s">
        <v>292</v>
      </c>
      <c r="BR120">
        <f t="shared" si="39"/>
        <v>2</v>
      </c>
      <c r="BS120">
        <f t="shared" si="33"/>
        <v>2024</v>
      </c>
      <c r="BT120">
        <v>7</v>
      </c>
      <c r="BU120" t="str">
        <f t="shared" si="34"/>
        <v>2024-2</v>
      </c>
      <c r="BV120">
        <f t="shared" si="35"/>
        <v>1</v>
      </c>
      <c r="BX120" t="s">
        <v>12</v>
      </c>
      <c r="BY120" t="s">
        <v>128</v>
      </c>
      <c r="BZ120">
        <v>52343</v>
      </c>
      <c r="CA120">
        <f t="shared" si="36"/>
        <v>10</v>
      </c>
      <c r="CB120">
        <f t="shared" si="37"/>
        <v>2023</v>
      </c>
      <c r="CC120" t="str">
        <f t="shared" si="38"/>
        <v>2023-10</v>
      </c>
    </row>
    <row r="121" spans="1:81" x14ac:dyDescent="0.25">
      <c r="A121" t="s">
        <v>20</v>
      </c>
      <c r="B121" t="s">
        <v>129</v>
      </c>
      <c r="C121" t="s">
        <v>128</v>
      </c>
      <c r="D121">
        <v>34110</v>
      </c>
      <c r="E121">
        <v>9</v>
      </c>
      <c r="P121" t="s">
        <v>20</v>
      </c>
      <c r="Q121" t="s">
        <v>129</v>
      </c>
      <c r="R121">
        <v>9</v>
      </c>
      <c r="AI121" t="s">
        <v>129</v>
      </c>
      <c r="AJ121">
        <v>34110</v>
      </c>
      <c r="AK121" t="s">
        <v>281</v>
      </c>
      <c r="AL121">
        <f>COUNTIF(AI:AI,AK121)</f>
        <v>3</v>
      </c>
      <c r="AM121">
        <f>SUMIF(AI:AI,AK121,AJ:AJ)</f>
        <v>215270</v>
      </c>
      <c r="AP121" t="s">
        <v>17</v>
      </c>
      <c r="AQ121" t="s">
        <v>131</v>
      </c>
      <c r="AS121" t="s">
        <v>183</v>
      </c>
      <c r="AT121">
        <v>18479</v>
      </c>
      <c r="AU121">
        <f t="shared" si="32"/>
        <v>8</v>
      </c>
      <c r="BP121" t="s">
        <v>10</v>
      </c>
      <c r="BQ121" t="s">
        <v>298</v>
      </c>
      <c r="BR121">
        <f t="shared" si="39"/>
        <v>2</v>
      </c>
      <c r="BS121">
        <f t="shared" si="33"/>
        <v>2024</v>
      </c>
      <c r="BT121">
        <v>9</v>
      </c>
      <c r="BU121" t="str">
        <f t="shared" si="34"/>
        <v>2024-2</v>
      </c>
      <c r="BV121">
        <f t="shared" si="35"/>
        <v>2</v>
      </c>
      <c r="BX121" t="s">
        <v>20</v>
      </c>
      <c r="BY121" t="s">
        <v>128</v>
      </c>
      <c r="BZ121">
        <v>34110</v>
      </c>
      <c r="CA121">
        <f t="shared" si="36"/>
        <v>10</v>
      </c>
      <c r="CB121">
        <f t="shared" si="37"/>
        <v>2023</v>
      </c>
      <c r="CC121" t="str">
        <f t="shared" si="38"/>
        <v>2023-10</v>
      </c>
    </row>
    <row r="122" spans="1:81" x14ac:dyDescent="0.25">
      <c r="A122" t="s">
        <v>12</v>
      </c>
      <c r="B122" t="s">
        <v>87</v>
      </c>
      <c r="C122" t="s">
        <v>130</v>
      </c>
      <c r="D122">
        <v>20080</v>
      </c>
      <c r="E122">
        <v>8</v>
      </c>
      <c r="P122" t="s">
        <v>12</v>
      </c>
      <c r="Q122" t="s">
        <v>87</v>
      </c>
      <c r="R122">
        <v>8</v>
      </c>
      <c r="AI122" t="s">
        <v>87</v>
      </c>
      <c r="AJ122">
        <v>20080</v>
      </c>
      <c r="AK122" t="s">
        <v>61</v>
      </c>
      <c r="AL122">
        <f>COUNTIF(AI:AI,AK122)</f>
        <v>5</v>
      </c>
      <c r="AM122">
        <f>SUMIF(AI:AI,AK122,AJ:AJ)</f>
        <v>211244</v>
      </c>
      <c r="AP122" t="s">
        <v>12</v>
      </c>
      <c r="AQ122" t="s">
        <v>95</v>
      </c>
      <c r="AS122" t="s">
        <v>184</v>
      </c>
      <c r="AT122">
        <v>97546</v>
      </c>
      <c r="AU122">
        <f t="shared" si="32"/>
        <v>6</v>
      </c>
      <c r="BP122" t="s">
        <v>10</v>
      </c>
      <c r="BQ122" t="s">
        <v>298</v>
      </c>
      <c r="BR122">
        <f t="shared" si="39"/>
        <v>2</v>
      </c>
      <c r="BS122">
        <f t="shared" si="33"/>
        <v>2024</v>
      </c>
      <c r="BT122">
        <v>8</v>
      </c>
      <c r="BU122" t="str">
        <f t="shared" si="34"/>
        <v>2024-2</v>
      </c>
      <c r="BV122">
        <f t="shared" si="35"/>
        <v>1</v>
      </c>
      <c r="BX122" t="s">
        <v>12</v>
      </c>
      <c r="BY122" t="s">
        <v>130</v>
      </c>
      <c r="BZ122">
        <v>20080</v>
      </c>
      <c r="CA122">
        <f t="shared" si="36"/>
        <v>10</v>
      </c>
      <c r="CB122">
        <f t="shared" si="37"/>
        <v>2023</v>
      </c>
      <c r="CC122" t="str">
        <f t="shared" si="38"/>
        <v>2023-10</v>
      </c>
    </row>
    <row r="123" spans="1:81" x14ac:dyDescent="0.25">
      <c r="A123" t="s">
        <v>17</v>
      </c>
      <c r="B123" t="s">
        <v>131</v>
      </c>
      <c r="C123" t="s">
        <v>130</v>
      </c>
      <c r="D123">
        <v>28614</v>
      </c>
      <c r="E123">
        <v>9</v>
      </c>
      <c r="P123" t="s">
        <v>17</v>
      </c>
      <c r="Q123" t="s">
        <v>131</v>
      </c>
      <c r="R123">
        <v>9</v>
      </c>
      <c r="AI123" t="s">
        <v>131</v>
      </c>
      <c r="AJ123">
        <v>28614</v>
      </c>
      <c r="AK123" t="s">
        <v>135</v>
      </c>
      <c r="AL123">
        <f>COUNTIF(AI:AI,AK123)</f>
        <v>5</v>
      </c>
      <c r="AM123">
        <f>SUMIF(AI:AI,AK123,AJ:AJ)</f>
        <v>210332</v>
      </c>
      <c r="AP123" t="s">
        <v>20</v>
      </c>
      <c r="AQ123" t="s">
        <v>85</v>
      </c>
      <c r="AS123" t="s">
        <v>186</v>
      </c>
      <c r="AT123">
        <v>72508</v>
      </c>
      <c r="AU123">
        <f t="shared" si="32"/>
        <v>2</v>
      </c>
      <c r="BP123" t="s">
        <v>10</v>
      </c>
      <c r="BQ123" t="s">
        <v>299</v>
      </c>
      <c r="BR123">
        <f t="shared" si="39"/>
        <v>2</v>
      </c>
      <c r="BS123">
        <f t="shared" si="33"/>
        <v>2024</v>
      </c>
      <c r="BT123">
        <v>9</v>
      </c>
      <c r="BU123" t="str">
        <f t="shared" si="34"/>
        <v>2024-2</v>
      </c>
      <c r="BV123">
        <f t="shared" si="35"/>
        <v>2</v>
      </c>
      <c r="BX123" t="s">
        <v>17</v>
      </c>
      <c r="BY123" t="s">
        <v>130</v>
      </c>
      <c r="BZ123">
        <v>28614</v>
      </c>
      <c r="CA123">
        <f t="shared" si="36"/>
        <v>10</v>
      </c>
      <c r="CB123">
        <f t="shared" si="37"/>
        <v>2023</v>
      </c>
      <c r="CC123" t="str">
        <f t="shared" si="38"/>
        <v>2023-10</v>
      </c>
    </row>
    <row r="124" spans="1:81" x14ac:dyDescent="0.25">
      <c r="A124" t="s">
        <v>12</v>
      </c>
      <c r="B124" t="s">
        <v>95</v>
      </c>
      <c r="C124" t="s">
        <v>130</v>
      </c>
      <c r="D124">
        <v>64149</v>
      </c>
      <c r="E124">
        <v>9</v>
      </c>
      <c r="P124" t="s">
        <v>12</v>
      </c>
      <c r="Q124" t="s">
        <v>95</v>
      </c>
      <c r="R124">
        <v>9</v>
      </c>
      <c r="AI124" t="s">
        <v>95</v>
      </c>
      <c r="AJ124">
        <v>64149</v>
      </c>
      <c r="AK124" t="s">
        <v>24</v>
      </c>
      <c r="AL124">
        <f>COUNTIF(AI:AI,AK124)</f>
        <v>3</v>
      </c>
      <c r="AM124">
        <f>SUMIF(AI:AI,AK124,AJ:AJ)</f>
        <v>209135</v>
      </c>
      <c r="AP124" t="s">
        <v>20</v>
      </c>
      <c r="AQ124" t="s">
        <v>132</v>
      </c>
      <c r="AS124" t="s">
        <v>188</v>
      </c>
      <c r="AT124">
        <v>82828</v>
      </c>
      <c r="AU124">
        <f t="shared" si="32"/>
        <v>5</v>
      </c>
      <c r="BP124" t="s">
        <v>10</v>
      </c>
      <c r="BQ124" t="s">
        <v>305</v>
      </c>
      <c r="BR124">
        <f t="shared" si="39"/>
        <v>2</v>
      </c>
      <c r="BS124">
        <f t="shared" si="33"/>
        <v>2024</v>
      </c>
      <c r="BT124">
        <v>9</v>
      </c>
      <c r="BU124" t="str">
        <f t="shared" si="34"/>
        <v>2024-2</v>
      </c>
      <c r="BV124">
        <f t="shared" si="35"/>
        <v>2</v>
      </c>
      <c r="BX124" t="s">
        <v>12</v>
      </c>
      <c r="BY124" t="s">
        <v>130</v>
      </c>
      <c r="BZ124">
        <v>64149</v>
      </c>
      <c r="CA124">
        <f t="shared" si="36"/>
        <v>10</v>
      </c>
      <c r="CB124">
        <f t="shared" si="37"/>
        <v>2023</v>
      </c>
      <c r="CC124" t="str">
        <f t="shared" si="38"/>
        <v>2023-10</v>
      </c>
    </row>
    <row r="125" spans="1:81" x14ac:dyDescent="0.25">
      <c r="A125" t="s">
        <v>23</v>
      </c>
      <c r="B125" t="s">
        <v>41</v>
      </c>
      <c r="C125" t="s">
        <v>130</v>
      </c>
      <c r="D125">
        <v>43215</v>
      </c>
      <c r="E125">
        <v>9</v>
      </c>
      <c r="P125" t="s">
        <v>23</v>
      </c>
      <c r="Q125" t="s">
        <v>41</v>
      </c>
      <c r="R125">
        <v>9</v>
      </c>
      <c r="AI125" t="s">
        <v>41</v>
      </c>
      <c r="AJ125">
        <v>43215</v>
      </c>
      <c r="AK125" t="s">
        <v>254</v>
      </c>
      <c r="AL125">
        <f>COUNTIF(AI:AI,AK125)</f>
        <v>4</v>
      </c>
      <c r="AM125">
        <f>SUMIF(AI:AI,AK125,AJ:AJ)</f>
        <v>206355</v>
      </c>
      <c r="AP125" t="s">
        <v>36</v>
      </c>
      <c r="AQ125" t="s">
        <v>133</v>
      </c>
      <c r="AS125" t="s">
        <v>190</v>
      </c>
      <c r="AT125">
        <v>28924</v>
      </c>
      <c r="AU125">
        <f t="shared" si="32"/>
        <v>5</v>
      </c>
      <c r="BP125" t="s">
        <v>10</v>
      </c>
      <c r="BQ125" t="s">
        <v>310</v>
      </c>
      <c r="BR125">
        <f t="shared" si="39"/>
        <v>2</v>
      </c>
      <c r="BS125">
        <f t="shared" si="33"/>
        <v>2024</v>
      </c>
      <c r="BT125">
        <v>9</v>
      </c>
      <c r="BU125" t="str">
        <f t="shared" si="34"/>
        <v>2024-2</v>
      </c>
      <c r="BV125">
        <f t="shared" si="35"/>
        <v>2</v>
      </c>
      <c r="BX125" t="s">
        <v>23</v>
      </c>
      <c r="BY125" t="s">
        <v>130</v>
      </c>
      <c r="BZ125">
        <v>43215</v>
      </c>
      <c r="CA125">
        <f t="shared" si="36"/>
        <v>10</v>
      </c>
      <c r="CB125">
        <f t="shared" si="37"/>
        <v>2023</v>
      </c>
      <c r="CC125" t="str">
        <f t="shared" si="38"/>
        <v>2023-10</v>
      </c>
    </row>
    <row r="126" spans="1:81" x14ac:dyDescent="0.25">
      <c r="A126" t="s">
        <v>20</v>
      </c>
      <c r="B126" t="s">
        <v>85</v>
      </c>
      <c r="C126" t="s">
        <v>130</v>
      </c>
      <c r="D126">
        <v>25978</v>
      </c>
      <c r="E126">
        <v>9</v>
      </c>
      <c r="P126" t="s">
        <v>20</v>
      </c>
      <c r="Q126" t="s">
        <v>85</v>
      </c>
      <c r="R126">
        <v>9</v>
      </c>
      <c r="AI126" t="s">
        <v>85</v>
      </c>
      <c r="AJ126">
        <v>25978</v>
      </c>
      <c r="AK126" t="s">
        <v>136</v>
      </c>
      <c r="AL126">
        <f>COUNTIF(AI:AI,AK126)</f>
        <v>4</v>
      </c>
      <c r="AM126">
        <f>SUMIF(AI:AI,AK126,AJ:AJ)</f>
        <v>206008</v>
      </c>
      <c r="AP126" t="s">
        <v>33</v>
      </c>
      <c r="AQ126" t="s">
        <v>85</v>
      </c>
      <c r="AS126" t="s">
        <v>191</v>
      </c>
      <c r="AT126">
        <v>81688</v>
      </c>
      <c r="AU126">
        <f t="shared" si="32"/>
        <v>3</v>
      </c>
      <c r="BP126" t="s">
        <v>10</v>
      </c>
      <c r="BQ126" t="s">
        <v>315</v>
      </c>
      <c r="BR126">
        <f t="shared" si="39"/>
        <v>3</v>
      </c>
      <c r="BS126">
        <f t="shared" si="33"/>
        <v>2024</v>
      </c>
      <c r="BT126">
        <v>9</v>
      </c>
      <c r="BU126" t="str">
        <f t="shared" si="34"/>
        <v>2024-3</v>
      </c>
      <c r="BV126">
        <f t="shared" si="35"/>
        <v>2</v>
      </c>
      <c r="BX126" t="s">
        <v>20</v>
      </c>
      <c r="BY126" t="s">
        <v>130</v>
      </c>
      <c r="BZ126">
        <v>25978</v>
      </c>
      <c r="CA126">
        <f t="shared" si="36"/>
        <v>10</v>
      </c>
      <c r="CB126">
        <f t="shared" si="37"/>
        <v>2023</v>
      </c>
      <c r="CC126" t="str">
        <f t="shared" si="38"/>
        <v>2023-10</v>
      </c>
    </row>
    <row r="127" spans="1:81" x14ac:dyDescent="0.25">
      <c r="A127" t="s">
        <v>20</v>
      </c>
      <c r="B127" t="s">
        <v>132</v>
      </c>
      <c r="C127" t="s">
        <v>130</v>
      </c>
      <c r="D127">
        <v>86872</v>
      </c>
      <c r="E127">
        <v>5</v>
      </c>
      <c r="P127" t="s">
        <v>20</v>
      </c>
      <c r="Q127" t="s">
        <v>132</v>
      </c>
      <c r="R127">
        <v>5</v>
      </c>
      <c r="AI127" t="s">
        <v>132</v>
      </c>
      <c r="AJ127">
        <v>86872</v>
      </c>
      <c r="AK127" t="s">
        <v>169</v>
      </c>
      <c r="AL127">
        <f>COUNTIF(AI:AI,AK127)</f>
        <v>5</v>
      </c>
      <c r="AM127">
        <f>SUMIF(AI:AI,AK127,AJ:AJ)</f>
        <v>201954</v>
      </c>
      <c r="AP127" t="s">
        <v>32</v>
      </c>
      <c r="AQ127" t="s">
        <v>135</v>
      </c>
      <c r="AS127" t="s">
        <v>193</v>
      </c>
      <c r="AT127">
        <v>10026</v>
      </c>
      <c r="AU127">
        <f t="shared" si="32"/>
        <v>1</v>
      </c>
      <c r="BP127" t="s">
        <v>10</v>
      </c>
      <c r="BQ127" t="s">
        <v>318</v>
      </c>
      <c r="BR127">
        <f t="shared" si="39"/>
        <v>3</v>
      </c>
      <c r="BS127">
        <f t="shared" si="33"/>
        <v>2024</v>
      </c>
      <c r="BT127">
        <v>5</v>
      </c>
      <c r="BU127" t="str">
        <f t="shared" si="34"/>
        <v>2024-3</v>
      </c>
      <c r="BV127">
        <f t="shared" si="35"/>
        <v>0</v>
      </c>
      <c r="BX127" t="s">
        <v>20</v>
      </c>
      <c r="BY127" t="s">
        <v>130</v>
      </c>
      <c r="BZ127">
        <v>86872</v>
      </c>
      <c r="CA127">
        <f t="shared" si="36"/>
        <v>10</v>
      </c>
      <c r="CB127">
        <f t="shared" si="37"/>
        <v>2023</v>
      </c>
      <c r="CC127" t="str">
        <f t="shared" si="38"/>
        <v>2023-10</v>
      </c>
    </row>
    <row r="128" spans="1:81" x14ac:dyDescent="0.25">
      <c r="A128" t="s">
        <v>36</v>
      </c>
      <c r="B128" t="s">
        <v>133</v>
      </c>
      <c r="C128" t="s">
        <v>130</v>
      </c>
      <c r="D128">
        <v>16779</v>
      </c>
      <c r="E128">
        <v>3</v>
      </c>
      <c r="P128" t="s">
        <v>36</v>
      </c>
      <c r="Q128" t="s">
        <v>133</v>
      </c>
      <c r="R128">
        <v>3</v>
      </c>
      <c r="AI128" t="s">
        <v>133</v>
      </c>
      <c r="AJ128">
        <v>16779</v>
      </c>
      <c r="AK128" t="s">
        <v>336</v>
      </c>
      <c r="AL128">
        <f>COUNTIF(AI:AI,AK128)</f>
        <v>3</v>
      </c>
      <c r="AM128">
        <f>SUMIF(AI:AI,AK128,AJ:AJ)</f>
        <v>201799</v>
      </c>
      <c r="AP128" t="s">
        <v>23</v>
      </c>
      <c r="AQ128" t="s">
        <v>136</v>
      </c>
      <c r="AS128" t="s">
        <v>195</v>
      </c>
      <c r="AT128">
        <v>69567</v>
      </c>
      <c r="AU128">
        <f t="shared" si="32"/>
        <v>5</v>
      </c>
      <c r="BP128" t="s">
        <v>10</v>
      </c>
      <c r="BQ128" t="s">
        <v>324</v>
      </c>
      <c r="BR128">
        <f t="shared" si="39"/>
        <v>3</v>
      </c>
      <c r="BS128">
        <f t="shared" si="33"/>
        <v>2024</v>
      </c>
      <c r="BT128">
        <v>3</v>
      </c>
      <c r="BU128" t="str">
        <f t="shared" si="34"/>
        <v>2024-3</v>
      </c>
      <c r="BV128">
        <f t="shared" si="35"/>
        <v>0</v>
      </c>
      <c r="BX128" t="s">
        <v>36</v>
      </c>
      <c r="BY128" t="s">
        <v>130</v>
      </c>
      <c r="BZ128">
        <v>16779</v>
      </c>
      <c r="CA128">
        <f t="shared" si="36"/>
        <v>10</v>
      </c>
      <c r="CB128">
        <f t="shared" si="37"/>
        <v>2023</v>
      </c>
      <c r="CC128" t="str">
        <f t="shared" si="38"/>
        <v>2023-10</v>
      </c>
    </row>
    <row r="129" spans="1:81" x14ac:dyDescent="0.25">
      <c r="A129" t="s">
        <v>33</v>
      </c>
      <c r="B129" t="s">
        <v>85</v>
      </c>
      <c r="C129" t="s">
        <v>134</v>
      </c>
      <c r="D129">
        <v>35617</v>
      </c>
      <c r="E129">
        <v>6</v>
      </c>
      <c r="P129" t="s">
        <v>33</v>
      </c>
      <c r="Q129" t="s">
        <v>85</v>
      </c>
      <c r="R129">
        <v>6</v>
      </c>
      <c r="AI129" t="s">
        <v>85</v>
      </c>
      <c r="AJ129">
        <v>35617</v>
      </c>
      <c r="AK129" t="s">
        <v>213</v>
      </c>
      <c r="AL129">
        <f>COUNTIF(AI:AI,AK129)</f>
        <v>4</v>
      </c>
      <c r="AM129">
        <f>SUMIF(AI:AI,AK129,AJ:AJ)</f>
        <v>201417</v>
      </c>
      <c r="AP129" t="s">
        <v>20</v>
      </c>
      <c r="AQ129" t="s">
        <v>53</v>
      </c>
      <c r="AS129" t="s">
        <v>196</v>
      </c>
      <c r="AT129">
        <v>97118</v>
      </c>
      <c r="AU129">
        <f t="shared" si="32"/>
        <v>6</v>
      </c>
      <c r="BP129" t="s">
        <v>10</v>
      </c>
      <c r="BQ129" t="s">
        <v>324</v>
      </c>
      <c r="BR129">
        <f t="shared" si="39"/>
        <v>3</v>
      </c>
      <c r="BS129">
        <f t="shared" si="33"/>
        <v>2024</v>
      </c>
      <c r="BT129">
        <v>6</v>
      </c>
      <c r="BU129" t="str">
        <f t="shared" si="34"/>
        <v>2024-3</v>
      </c>
      <c r="BV129">
        <f t="shared" si="35"/>
        <v>0</v>
      </c>
      <c r="BX129" t="s">
        <v>33</v>
      </c>
      <c r="BY129" t="s">
        <v>134</v>
      </c>
      <c r="BZ129">
        <v>35617</v>
      </c>
      <c r="CA129">
        <f t="shared" si="36"/>
        <v>10</v>
      </c>
      <c r="CB129">
        <f t="shared" si="37"/>
        <v>2023</v>
      </c>
      <c r="CC129" t="str">
        <f t="shared" si="38"/>
        <v>2023-10</v>
      </c>
    </row>
    <row r="130" spans="1:81" x14ac:dyDescent="0.25">
      <c r="A130" t="s">
        <v>32</v>
      </c>
      <c r="B130" t="s">
        <v>135</v>
      </c>
      <c r="C130" t="s">
        <v>134</v>
      </c>
      <c r="D130">
        <v>40887</v>
      </c>
      <c r="E130">
        <v>7</v>
      </c>
      <c r="P130" t="s">
        <v>32</v>
      </c>
      <c r="Q130" t="s">
        <v>135</v>
      </c>
      <c r="R130">
        <v>7</v>
      </c>
      <c r="AI130" t="s">
        <v>135</v>
      </c>
      <c r="AJ130">
        <v>40887</v>
      </c>
      <c r="AK130" t="s">
        <v>62</v>
      </c>
      <c r="AL130">
        <f>COUNTIF(AI:AI,AK130)</f>
        <v>3</v>
      </c>
      <c r="AM130">
        <f>SUMIF(AI:AI,AK130,AJ:AJ)</f>
        <v>198454</v>
      </c>
      <c r="AP130" t="s">
        <v>10</v>
      </c>
      <c r="AQ130" t="s">
        <v>53</v>
      </c>
      <c r="AS130" t="s">
        <v>197</v>
      </c>
      <c r="AT130">
        <v>40342</v>
      </c>
      <c r="AU130">
        <f t="shared" si="32"/>
        <v>5</v>
      </c>
      <c r="BP130" t="s">
        <v>10</v>
      </c>
      <c r="BQ130" t="s">
        <v>326</v>
      </c>
      <c r="BR130">
        <f t="shared" si="39"/>
        <v>3</v>
      </c>
      <c r="BS130">
        <f t="shared" si="33"/>
        <v>2024</v>
      </c>
      <c r="BT130">
        <v>7</v>
      </c>
      <c r="BU130" t="str">
        <f t="shared" si="34"/>
        <v>2024-3</v>
      </c>
      <c r="BV130">
        <f t="shared" si="35"/>
        <v>1</v>
      </c>
      <c r="BX130" t="s">
        <v>32</v>
      </c>
      <c r="BY130" t="s">
        <v>134</v>
      </c>
      <c r="BZ130">
        <v>40887</v>
      </c>
      <c r="CA130">
        <f t="shared" si="36"/>
        <v>10</v>
      </c>
      <c r="CB130">
        <f t="shared" si="37"/>
        <v>2023</v>
      </c>
      <c r="CC130" t="str">
        <f t="shared" si="38"/>
        <v>2023-10</v>
      </c>
    </row>
    <row r="131" spans="1:81" x14ac:dyDescent="0.25">
      <c r="A131" t="s">
        <v>32</v>
      </c>
      <c r="B131" t="s">
        <v>51</v>
      </c>
      <c r="C131" t="s">
        <v>134</v>
      </c>
      <c r="D131">
        <v>46636</v>
      </c>
      <c r="E131">
        <v>6</v>
      </c>
      <c r="P131" t="s">
        <v>32</v>
      </c>
      <c r="Q131" t="s">
        <v>51</v>
      </c>
      <c r="R131">
        <v>6</v>
      </c>
      <c r="AI131" t="s">
        <v>51</v>
      </c>
      <c r="AJ131">
        <v>46636</v>
      </c>
      <c r="AK131" t="s">
        <v>144</v>
      </c>
      <c r="AL131">
        <f>COUNTIF(AI:AI,AK131)</f>
        <v>5</v>
      </c>
      <c r="AM131">
        <f>SUMIF(AI:AI,AK131,AJ:AJ)</f>
        <v>192938</v>
      </c>
      <c r="AP131" t="s">
        <v>5</v>
      </c>
      <c r="AQ131" t="s">
        <v>138</v>
      </c>
      <c r="AS131" t="s">
        <v>199</v>
      </c>
      <c r="AT131">
        <v>42065</v>
      </c>
      <c r="AU131">
        <f t="shared" ref="AU131:AU194" si="40">COUNTIF(AQ:AQ,AS131)</f>
        <v>5</v>
      </c>
      <c r="BP131" t="s">
        <v>10</v>
      </c>
      <c r="BQ131" t="s">
        <v>331</v>
      </c>
      <c r="BR131">
        <f t="shared" si="39"/>
        <v>3</v>
      </c>
      <c r="BS131">
        <f t="shared" ref="BS131:BS194" si="41">YEAR(BQ131)</f>
        <v>2024</v>
      </c>
      <c r="BT131">
        <v>6</v>
      </c>
      <c r="BU131" t="str">
        <f t="shared" ref="BU131:BU194" si="42">BS131&amp;"-"&amp;BR131</f>
        <v>2024-3</v>
      </c>
      <c r="BV131">
        <f t="shared" ref="BV131:BV194" si="43">IF(BT131&lt;7,0,IF(BT131&lt;9,1,2))</f>
        <v>0</v>
      </c>
      <c r="BX131" t="s">
        <v>32</v>
      </c>
      <c r="BY131" t="s">
        <v>134</v>
      </c>
      <c r="BZ131">
        <v>46636</v>
      </c>
      <c r="CA131">
        <f t="shared" ref="CA131:CA194" si="44">MONTH(BY131)</f>
        <v>10</v>
      </c>
      <c r="CB131">
        <f t="shared" ref="CB131:CB194" si="45">YEAR(BY131)</f>
        <v>2023</v>
      </c>
      <c r="CC131" t="str">
        <f t="shared" ref="CC131:CC194" si="46">CB131&amp;"-"&amp;CA131</f>
        <v>2023-10</v>
      </c>
    </row>
    <row r="132" spans="1:81" x14ac:dyDescent="0.25">
      <c r="A132" t="s">
        <v>23</v>
      </c>
      <c r="B132" t="s">
        <v>136</v>
      </c>
      <c r="C132" t="s">
        <v>134</v>
      </c>
      <c r="D132">
        <v>56621</v>
      </c>
      <c r="E132">
        <v>8</v>
      </c>
      <c r="P132" t="s">
        <v>23</v>
      </c>
      <c r="Q132" t="s">
        <v>136</v>
      </c>
      <c r="R132">
        <v>8</v>
      </c>
      <c r="AI132" t="s">
        <v>136</v>
      </c>
      <c r="AJ132">
        <v>56621</v>
      </c>
      <c r="AK132" t="s">
        <v>237</v>
      </c>
      <c r="AL132">
        <f>COUNTIF(AI:AI,AK132)</f>
        <v>5</v>
      </c>
      <c r="AM132">
        <f>SUMIF(AI:AI,AK132,AJ:AJ)</f>
        <v>188714</v>
      </c>
      <c r="AP132" t="s">
        <v>32</v>
      </c>
      <c r="AQ132" t="s">
        <v>37</v>
      </c>
      <c r="AS132" t="s">
        <v>202</v>
      </c>
      <c r="AT132">
        <v>56134</v>
      </c>
      <c r="AU132">
        <f t="shared" si="40"/>
        <v>5</v>
      </c>
      <c r="BP132" t="s">
        <v>10</v>
      </c>
      <c r="BQ132" t="s">
        <v>333</v>
      </c>
      <c r="BR132">
        <f t="shared" si="39"/>
        <v>3</v>
      </c>
      <c r="BS132">
        <f t="shared" si="41"/>
        <v>2024</v>
      </c>
      <c r="BT132">
        <v>8</v>
      </c>
      <c r="BU132" t="str">
        <f t="shared" si="42"/>
        <v>2024-3</v>
      </c>
      <c r="BV132">
        <f t="shared" si="43"/>
        <v>1</v>
      </c>
      <c r="BX132" t="s">
        <v>23</v>
      </c>
      <c r="BY132" t="s">
        <v>134</v>
      </c>
      <c r="BZ132">
        <v>56621</v>
      </c>
      <c r="CA132">
        <f t="shared" si="44"/>
        <v>10</v>
      </c>
      <c r="CB132">
        <f t="shared" si="45"/>
        <v>2023</v>
      </c>
      <c r="CC132" t="str">
        <f t="shared" si="46"/>
        <v>2023-10</v>
      </c>
    </row>
    <row r="133" spans="1:81" x14ac:dyDescent="0.25">
      <c r="A133" t="s">
        <v>20</v>
      </c>
      <c r="B133" t="s">
        <v>53</v>
      </c>
      <c r="C133" t="s">
        <v>137</v>
      </c>
      <c r="D133">
        <v>91297</v>
      </c>
      <c r="E133">
        <v>10</v>
      </c>
      <c r="P133" t="s">
        <v>20</v>
      </c>
      <c r="Q133" t="s">
        <v>53</v>
      </c>
      <c r="R133">
        <v>10</v>
      </c>
      <c r="AI133" t="s">
        <v>53</v>
      </c>
      <c r="AJ133">
        <v>91297</v>
      </c>
      <c r="AK133" t="s">
        <v>190</v>
      </c>
      <c r="AL133">
        <f>COUNTIF(AI:AI,AK133)</f>
        <v>5</v>
      </c>
      <c r="AM133">
        <f>SUMIF(AI:AI,AK133,AJ:AJ)</f>
        <v>187747</v>
      </c>
      <c r="AP133" t="s">
        <v>10</v>
      </c>
      <c r="AQ133" t="s">
        <v>139</v>
      </c>
      <c r="AS133" t="s">
        <v>203</v>
      </c>
      <c r="AT133">
        <v>32316</v>
      </c>
      <c r="AU133">
        <f t="shared" si="40"/>
        <v>2</v>
      </c>
      <c r="BP133" t="s">
        <v>10</v>
      </c>
      <c r="BQ133" t="s">
        <v>337</v>
      </c>
      <c r="BR133">
        <f t="shared" si="39"/>
        <v>3</v>
      </c>
      <c r="BS133">
        <f t="shared" si="41"/>
        <v>2024</v>
      </c>
      <c r="BT133">
        <v>10</v>
      </c>
      <c r="BU133" t="str">
        <f t="shared" si="42"/>
        <v>2024-3</v>
      </c>
      <c r="BV133">
        <f t="shared" si="43"/>
        <v>2</v>
      </c>
      <c r="BX133" t="s">
        <v>20</v>
      </c>
      <c r="BY133" t="s">
        <v>137</v>
      </c>
      <c r="BZ133">
        <v>91297</v>
      </c>
      <c r="CA133">
        <f t="shared" si="44"/>
        <v>10</v>
      </c>
      <c r="CB133">
        <f t="shared" si="45"/>
        <v>2023</v>
      </c>
      <c r="CC133" t="str">
        <f t="shared" si="46"/>
        <v>2023-10</v>
      </c>
    </row>
    <row r="134" spans="1:81" x14ac:dyDescent="0.25">
      <c r="A134" t="s">
        <v>10</v>
      </c>
      <c r="B134" t="s">
        <v>53</v>
      </c>
      <c r="C134" t="s">
        <v>137</v>
      </c>
      <c r="D134">
        <v>23091</v>
      </c>
      <c r="E134">
        <v>6</v>
      </c>
      <c r="P134" t="s">
        <v>10</v>
      </c>
      <c r="Q134" t="s">
        <v>53</v>
      </c>
      <c r="R134">
        <v>6</v>
      </c>
      <c r="AI134" t="s">
        <v>53</v>
      </c>
      <c r="AJ134">
        <v>23091</v>
      </c>
      <c r="AK134" t="s">
        <v>334</v>
      </c>
      <c r="AL134">
        <f>COUNTIF(AI:AI,AK134)</f>
        <v>3</v>
      </c>
      <c r="AM134">
        <f>SUMIF(AI:AI,AK134,AJ:AJ)</f>
        <v>187365</v>
      </c>
      <c r="AP134" t="s">
        <v>20</v>
      </c>
      <c r="AQ134" t="s">
        <v>88</v>
      </c>
      <c r="AS134" t="s">
        <v>206</v>
      </c>
      <c r="AT134">
        <v>53006</v>
      </c>
      <c r="AU134">
        <f t="shared" si="40"/>
        <v>2</v>
      </c>
      <c r="BP134" t="s">
        <v>10</v>
      </c>
      <c r="BQ134" t="s">
        <v>338</v>
      </c>
      <c r="BR134">
        <f t="shared" si="39"/>
        <v>3</v>
      </c>
      <c r="BS134">
        <f t="shared" si="41"/>
        <v>2024</v>
      </c>
      <c r="BT134">
        <v>6</v>
      </c>
      <c r="BU134" t="str">
        <f t="shared" si="42"/>
        <v>2024-3</v>
      </c>
      <c r="BV134">
        <f t="shared" si="43"/>
        <v>0</v>
      </c>
      <c r="BX134" t="s">
        <v>10</v>
      </c>
      <c r="BY134" t="s">
        <v>137</v>
      </c>
      <c r="BZ134">
        <v>23091</v>
      </c>
      <c r="CA134">
        <f t="shared" si="44"/>
        <v>10</v>
      </c>
      <c r="CB134">
        <f t="shared" si="45"/>
        <v>2023</v>
      </c>
      <c r="CC134" t="str">
        <f t="shared" si="46"/>
        <v>2023-10</v>
      </c>
    </row>
    <row r="135" spans="1:81" x14ac:dyDescent="0.25">
      <c r="A135" t="s">
        <v>5</v>
      </c>
      <c r="B135" t="s">
        <v>138</v>
      </c>
      <c r="C135" t="s">
        <v>137</v>
      </c>
      <c r="D135">
        <v>71980</v>
      </c>
      <c r="E135">
        <v>8</v>
      </c>
      <c r="P135" t="s">
        <v>5</v>
      </c>
      <c r="Q135" t="s">
        <v>138</v>
      </c>
      <c r="R135">
        <v>8</v>
      </c>
      <c r="AI135" t="s">
        <v>138</v>
      </c>
      <c r="AJ135">
        <v>71980</v>
      </c>
      <c r="AK135" t="s">
        <v>107</v>
      </c>
      <c r="AL135">
        <f>COUNTIF(AI:AI,AK135)</f>
        <v>3</v>
      </c>
      <c r="AM135">
        <f>SUMIF(AI:AI,AK135,AJ:AJ)</f>
        <v>185381</v>
      </c>
      <c r="AP135" t="s">
        <v>8</v>
      </c>
      <c r="AQ135" t="s">
        <v>79</v>
      </c>
      <c r="AS135" t="s">
        <v>212</v>
      </c>
      <c r="AT135">
        <v>25641</v>
      </c>
      <c r="AU135">
        <f t="shared" si="40"/>
        <v>2</v>
      </c>
      <c r="BP135" t="s">
        <v>10</v>
      </c>
      <c r="BQ135" t="s">
        <v>340</v>
      </c>
      <c r="BR135">
        <f t="shared" si="39"/>
        <v>4</v>
      </c>
      <c r="BS135">
        <f t="shared" si="41"/>
        <v>2024</v>
      </c>
      <c r="BT135">
        <v>8</v>
      </c>
      <c r="BU135" t="str">
        <f t="shared" si="42"/>
        <v>2024-4</v>
      </c>
      <c r="BV135">
        <f t="shared" si="43"/>
        <v>1</v>
      </c>
      <c r="BX135" t="s">
        <v>5</v>
      </c>
      <c r="BY135" t="s">
        <v>137</v>
      </c>
      <c r="BZ135">
        <v>71980</v>
      </c>
      <c r="CA135">
        <f t="shared" si="44"/>
        <v>10</v>
      </c>
      <c r="CB135">
        <f t="shared" si="45"/>
        <v>2023</v>
      </c>
      <c r="CC135" t="str">
        <f t="shared" si="46"/>
        <v>2023-10</v>
      </c>
    </row>
    <row r="136" spans="1:81" x14ac:dyDescent="0.25">
      <c r="A136" t="s">
        <v>32</v>
      </c>
      <c r="B136" t="s">
        <v>37</v>
      </c>
      <c r="C136" t="s">
        <v>137</v>
      </c>
      <c r="D136">
        <v>98753</v>
      </c>
      <c r="E136">
        <v>9</v>
      </c>
      <c r="P136" t="s">
        <v>32</v>
      </c>
      <c r="Q136" t="s">
        <v>37</v>
      </c>
      <c r="R136">
        <v>9</v>
      </c>
      <c r="AI136" t="s">
        <v>37</v>
      </c>
      <c r="AJ136">
        <v>98753</v>
      </c>
      <c r="AK136" t="s">
        <v>241</v>
      </c>
      <c r="AL136">
        <f>COUNTIF(AI:AI,AK136)</f>
        <v>3</v>
      </c>
      <c r="AM136">
        <f>SUMIF(AI:AI,AK136,AJ:AJ)</f>
        <v>183936</v>
      </c>
      <c r="AP136" t="s">
        <v>20</v>
      </c>
      <c r="AQ136" t="s">
        <v>131</v>
      </c>
      <c r="AS136" t="s">
        <v>213</v>
      </c>
      <c r="AT136">
        <v>27645</v>
      </c>
      <c r="AU136">
        <f t="shared" si="40"/>
        <v>4</v>
      </c>
      <c r="BP136" t="s">
        <v>10</v>
      </c>
      <c r="BQ136" t="s">
        <v>343</v>
      </c>
      <c r="BR136">
        <f t="shared" si="39"/>
        <v>4</v>
      </c>
      <c r="BS136">
        <f t="shared" si="41"/>
        <v>2024</v>
      </c>
      <c r="BT136">
        <v>9</v>
      </c>
      <c r="BU136" t="str">
        <f t="shared" si="42"/>
        <v>2024-4</v>
      </c>
      <c r="BV136">
        <f t="shared" si="43"/>
        <v>2</v>
      </c>
      <c r="BX136" t="s">
        <v>32</v>
      </c>
      <c r="BY136" t="s">
        <v>137</v>
      </c>
      <c r="BZ136">
        <v>98753</v>
      </c>
      <c r="CA136">
        <f t="shared" si="44"/>
        <v>10</v>
      </c>
      <c r="CB136">
        <f t="shared" si="45"/>
        <v>2023</v>
      </c>
      <c r="CC136" t="str">
        <f t="shared" si="46"/>
        <v>2023-10</v>
      </c>
    </row>
    <row r="137" spans="1:81" x14ac:dyDescent="0.25">
      <c r="A137" t="s">
        <v>10</v>
      </c>
      <c r="B137" t="s">
        <v>139</v>
      </c>
      <c r="C137" t="s">
        <v>137</v>
      </c>
      <c r="D137">
        <v>50952</v>
      </c>
      <c r="E137">
        <v>9</v>
      </c>
      <c r="P137" t="s">
        <v>10</v>
      </c>
      <c r="Q137" t="s">
        <v>139</v>
      </c>
      <c r="R137">
        <v>9</v>
      </c>
      <c r="AI137" t="s">
        <v>139</v>
      </c>
      <c r="AJ137">
        <v>50952</v>
      </c>
      <c r="AK137" t="s">
        <v>54</v>
      </c>
      <c r="AL137">
        <f>COUNTIF(AI:AI,AK137)</f>
        <v>3</v>
      </c>
      <c r="AM137">
        <f>SUMIF(AI:AI,AK137,AJ:AJ)</f>
        <v>183830</v>
      </c>
      <c r="AP137" t="s">
        <v>33</v>
      </c>
      <c r="AQ137" t="s">
        <v>62</v>
      </c>
      <c r="AS137" t="s">
        <v>214</v>
      </c>
      <c r="AT137">
        <v>82074</v>
      </c>
      <c r="AU137">
        <f t="shared" si="40"/>
        <v>6</v>
      </c>
      <c r="BP137" t="s">
        <v>10</v>
      </c>
      <c r="BQ137" t="s">
        <v>344</v>
      </c>
      <c r="BR137">
        <f t="shared" si="39"/>
        <v>4</v>
      </c>
      <c r="BS137">
        <f t="shared" si="41"/>
        <v>2024</v>
      </c>
      <c r="BT137">
        <v>9</v>
      </c>
      <c r="BU137" t="str">
        <f t="shared" si="42"/>
        <v>2024-4</v>
      </c>
      <c r="BV137">
        <f t="shared" si="43"/>
        <v>2</v>
      </c>
      <c r="BX137" t="s">
        <v>10</v>
      </c>
      <c r="BY137" t="s">
        <v>137</v>
      </c>
      <c r="BZ137">
        <v>50952</v>
      </c>
      <c r="CA137">
        <f t="shared" si="44"/>
        <v>10</v>
      </c>
      <c r="CB137">
        <f t="shared" si="45"/>
        <v>2023</v>
      </c>
      <c r="CC137" t="str">
        <f t="shared" si="46"/>
        <v>2023-10</v>
      </c>
    </row>
    <row r="138" spans="1:81" x14ac:dyDescent="0.25">
      <c r="A138" t="s">
        <v>20</v>
      </c>
      <c r="B138" t="s">
        <v>88</v>
      </c>
      <c r="C138" t="s">
        <v>140</v>
      </c>
      <c r="D138">
        <v>45090</v>
      </c>
      <c r="E138">
        <v>9</v>
      </c>
      <c r="P138" t="s">
        <v>20</v>
      </c>
      <c r="Q138" t="s">
        <v>88</v>
      </c>
      <c r="R138">
        <v>9</v>
      </c>
      <c r="AI138" t="s">
        <v>88</v>
      </c>
      <c r="AJ138">
        <v>45090</v>
      </c>
      <c r="AK138" t="s">
        <v>259</v>
      </c>
      <c r="AL138">
        <f>COUNTIF(AI:AI,AK138)</f>
        <v>5</v>
      </c>
      <c r="AM138">
        <f>SUMIF(AI:AI,AK138,AJ:AJ)</f>
        <v>180455</v>
      </c>
      <c r="AP138" t="s">
        <v>14</v>
      </c>
      <c r="AQ138" t="s">
        <v>52</v>
      </c>
      <c r="AS138" t="s">
        <v>215</v>
      </c>
      <c r="AT138">
        <v>38637</v>
      </c>
      <c r="AU138">
        <f t="shared" si="40"/>
        <v>6</v>
      </c>
      <c r="BP138" t="s">
        <v>10</v>
      </c>
      <c r="BQ138" t="s">
        <v>346</v>
      </c>
      <c r="BR138">
        <f t="shared" si="39"/>
        <v>4</v>
      </c>
      <c r="BS138">
        <f t="shared" si="41"/>
        <v>2024</v>
      </c>
      <c r="BT138">
        <v>9</v>
      </c>
      <c r="BU138" t="str">
        <f t="shared" si="42"/>
        <v>2024-4</v>
      </c>
      <c r="BV138">
        <f t="shared" si="43"/>
        <v>2</v>
      </c>
      <c r="BX138" t="s">
        <v>20</v>
      </c>
      <c r="BY138" t="s">
        <v>140</v>
      </c>
      <c r="BZ138">
        <v>45090</v>
      </c>
      <c r="CA138">
        <f t="shared" si="44"/>
        <v>10</v>
      </c>
      <c r="CB138">
        <f t="shared" si="45"/>
        <v>2023</v>
      </c>
      <c r="CC138" t="str">
        <f t="shared" si="46"/>
        <v>2023-10</v>
      </c>
    </row>
    <row r="139" spans="1:81" x14ac:dyDescent="0.25">
      <c r="A139" t="s">
        <v>8</v>
      </c>
      <c r="B139" t="s">
        <v>79</v>
      </c>
      <c r="C139" t="s">
        <v>140</v>
      </c>
      <c r="D139">
        <v>88933</v>
      </c>
      <c r="E139">
        <v>7</v>
      </c>
      <c r="P139" t="s">
        <v>8</v>
      </c>
      <c r="Q139" t="s">
        <v>79</v>
      </c>
      <c r="R139">
        <v>7</v>
      </c>
      <c r="AI139" t="s">
        <v>79</v>
      </c>
      <c r="AJ139">
        <v>88933</v>
      </c>
      <c r="AK139" t="s">
        <v>216</v>
      </c>
      <c r="AL139">
        <f>COUNTIF(AI:AI,AK139)</f>
        <v>4</v>
      </c>
      <c r="AM139">
        <f>SUMIF(AI:AI,AK139,AJ:AJ)</f>
        <v>176183</v>
      </c>
      <c r="AP139" t="s">
        <v>23</v>
      </c>
      <c r="AQ139" t="s">
        <v>142</v>
      </c>
      <c r="AS139" t="s">
        <v>216</v>
      </c>
      <c r="AT139">
        <v>83478</v>
      </c>
      <c r="AU139">
        <f t="shared" si="40"/>
        <v>3</v>
      </c>
      <c r="BP139" t="s">
        <v>10</v>
      </c>
      <c r="BQ139" t="s">
        <v>346</v>
      </c>
      <c r="BR139">
        <f t="shared" si="39"/>
        <v>4</v>
      </c>
      <c r="BS139">
        <f t="shared" si="41"/>
        <v>2024</v>
      </c>
      <c r="BT139">
        <v>7</v>
      </c>
      <c r="BU139" t="str">
        <f t="shared" si="42"/>
        <v>2024-4</v>
      </c>
      <c r="BV139">
        <f t="shared" si="43"/>
        <v>1</v>
      </c>
      <c r="BX139" t="s">
        <v>8</v>
      </c>
      <c r="BY139" t="s">
        <v>140</v>
      </c>
      <c r="BZ139">
        <v>88933</v>
      </c>
      <c r="CA139">
        <f t="shared" si="44"/>
        <v>10</v>
      </c>
      <c r="CB139">
        <f t="shared" si="45"/>
        <v>2023</v>
      </c>
      <c r="CC139" t="str">
        <f t="shared" si="46"/>
        <v>2023-10</v>
      </c>
    </row>
    <row r="140" spans="1:81" x14ac:dyDescent="0.25">
      <c r="A140" t="s">
        <v>20</v>
      </c>
      <c r="B140" t="s">
        <v>131</v>
      </c>
      <c r="C140" t="s">
        <v>140</v>
      </c>
      <c r="D140">
        <v>64047</v>
      </c>
      <c r="E140">
        <v>7</v>
      </c>
      <c r="P140" t="s">
        <v>20</v>
      </c>
      <c r="Q140" t="s">
        <v>131</v>
      </c>
      <c r="R140">
        <v>7</v>
      </c>
      <c r="AI140" t="s">
        <v>131</v>
      </c>
      <c r="AJ140">
        <v>64047</v>
      </c>
      <c r="AK140" t="s">
        <v>156</v>
      </c>
      <c r="AL140">
        <f>COUNTIF(AI:AI,AK140)</f>
        <v>5</v>
      </c>
      <c r="AM140">
        <f>SUMIF(AI:AI,AK140,AJ:AJ)</f>
        <v>173058</v>
      </c>
      <c r="AP140" t="s">
        <v>12</v>
      </c>
      <c r="AQ140" t="s">
        <v>127</v>
      </c>
      <c r="AS140" t="s">
        <v>220</v>
      </c>
      <c r="AT140">
        <v>78223</v>
      </c>
      <c r="AU140">
        <f t="shared" si="40"/>
        <v>5</v>
      </c>
      <c r="BP140" t="s">
        <v>10</v>
      </c>
      <c r="BQ140" t="s">
        <v>348</v>
      </c>
      <c r="BR140">
        <f t="shared" si="39"/>
        <v>4</v>
      </c>
      <c r="BS140">
        <f t="shared" si="41"/>
        <v>2024</v>
      </c>
      <c r="BT140">
        <v>7</v>
      </c>
      <c r="BU140" t="str">
        <f t="shared" si="42"/>
        <v>2024-4</v>
      </c>
      <c r="BV140">
        <f t="shared" si="43"/>
        <v>1</v>
      </c>
      <c r="BX140" t="s">
        <v>20</v>
      </c>
      <c r="BY140" t="s">
        <v>140</v>
      </c>
      <c r="BZ140">
        <v>64047</v>
      </c>
      <c r="CA140">
        <f t="shared" si="44"/>
        <v>10</v>
      </c>
      <c r="CB140">
        <f t="shared" si="45"/>
        <v>2023</v>
      </c>
      <c r="CC140" t="str">
        <f t="shared" si="46"/>
        <v>2023-10</v>
      </c>
    </row>
    <row r="141" spans="1:81" x14ac:dyDescent="0.25">
      <c r="A141" t="s">
        <v>33</v>
      </c>
      <c r="B141" t="s">
        <v>62</v>
      </c>
      <c r="C141" t="s">
        <v>140</v>
      </c>
      <c r="D141">
        <v>45478</v>
      </c>
      <c r="E141">
        <v>6</v>
      </c>
      <c r="P141" t="s">
        <v>33</v>
      </c>
      <c r="Q141" t="s">
        <v>62</v>
      </c>
      <c r="R141">
        <v>6</v>
      </c>
      <c r="AI141" t="s">
        <v>62</v>
      </c>
      <c r="AJ141">
        <v>45478</v>
      </c>
      <c r="AK141" t="s">
        <v>138</v>
      </c>
      <c r="AL141">
        <f>COUNTIF(AI:AI,AK141)</f>
        <v>2</v>
      </c>
      <c r="AM141">
        <f>SUMIF(AI:AI,AK141,AJ:AJ)</f>
        <v>170125</v>
      </c>
      <c r="AP141" t="s">
        <v>27</v>
      </c>
      <c r="AQ141" t="s">
        <v>143</v>
      </c>
      <c r="AS141" t="s">
        <v>222</v>
      </c>
      <c r="AT141">
        <v>23480</v>
      </c>
      <c r="AU141">
        <f t="shared" si="40"/>
        <v>4</v>
      </c>
      <c r="BP141" t="s">
        <v>10</v>
      </c>
      <c r="BQ141" t="s">
        <v>351</v>
      </c>
      <c r="BR141">
        <f t="shared" si="39"/>
        <v>4</v>
      </c>
      <c r="BS141">
        <f t="shared" si="41"/>
        <v>2024</v>
      </c>
      <c r="BT141">
        <v>6</v>
      </c>
      <c r="BU141" t="str">
        <f t="shared" si="42"/>
        <v>2024-4</v>
      </c>
      <c r="BV141">
        <f t="shared" si="43"/>
        <v>0</v>
      </c>
      <c r="BX141" t="s">
        <v>33</v>
      </c>
      <c r="BY141" t="s">
        <v>140</v>
      </c>
      <c r="BZ141">
        <v>45478</v>
      </c>
      <c r="CA141">
        <f t="shared" si="44"/>
        <v>10</v>
      </c>
      <c r="CB141">
        <f t="shared" si="45"/>
        <v>2023</v>
      </c>
      <c r="CC141" t="str">
        <f t="shared" si="46"/>
        <v>2023-10</v>
      </c>
    </row>
    <row r="142" spans="1:81" x14ac:dyDescent="0.25">
      <c r="A142" t="s">
        <v>14</v>
      </c>
      <c r="B142" t="s">
        <v>52</v>
      </c>
      <c r="C142" t="s">
        <v>141</v>
      </c>
      <c r="D142">
        <v>77812</v>
      </c>
      <c r="E142">
        <v>9</v>
      </c>
      <c r="P142" t="s">
        <v>14</v>
      </c>
      <c r="Q142" t="s">
        <v>52</v>
      </c>
      <c r="R142">
        <v>9</v>
      </c>
      <c r="AI142" t="s">
        <v>52</v>
      </c>
      <c r="AJ142">
        <v>77812</v>
      </c>
      <c r="AK142" t="s">
        <v>125</v>
      </c>
      <c r="AL142">
        <f>COUNTIF(AI:AI,AK142)</f>
        <v>5</v>
      </c>
      <c r="AM142">
        <f>SUMIF(AI:AI,AK142,AJ:AJ)</f>
        <v>168589</v>
      </c>
      <c r="AP142" t="s">
        <v>17</v>
      </c>
      <c r="AQ142" t="s">
        <v>88</v>
      </c>
      <c r="AS142" t="s">
        <v>225</v>
      </c>
      <c r="AT142">
        <v>35209</v>
      </c>
      <c r="AU142">
        <f t="shared" si="40"/>
        <v>2</v>
      </c>
      <c r="BP142" t="s">
        <v>10</v>
      </c>
      <c r="BQ142" t="s">
        <v>351</v>
      </c>
      <c r="BR142">
        <f t="shared" si="39"/>
        <v>4</v>
      </c>
      <c r="BS142">
        <f t="shared" si="41"/>
        <v>2024</v>
      </c>
      <c r="BT142">
        <v>9</v>
      </c>
      <c r="BU142" t="str">
        <f t="shared" si="42"/>
        <v>2024-4</v>
      </c>
      <c r="BV142">
        <f t="shared" si="43"/>
        <v>2</v>
      </c>
      <c r="BX142" t="s">
        <v>14</v>
      </c>
      <c r="BY142" t="s">
        <v>141</v>
      </c>
      <c r="BZ142">
        <v>77812</v>
      </c>
      <c r="CA142">
        <f t="shared" si="44"/>
        <v>10</v>
      </c>
      <c r="CB142">
        <f t="shared" si="45"/>
        <v>2023</v>
      </c>
      <c r="CC142" t="str">
        <f t="shared" si="46"/>
        <v>2023-10</v>
      </c>
    </row>
    <row r="143" spans="1:81" x14ac:dyDescent="0.25">
      <c r="A143" t="s">
        <v>23</v>
      </c>
      <c r="B143" t="s">
        <v>142</v>
      </c>
      <c r="C143" t="s">
        <v>141</v>
      </c>
      <c r="D143">
        <v>57563</v>
      </c>
      <c r="E143">
        <v>6</v>
      </c>
      <c r="P143" t="s">
        <v>23</v>
      </c>
      <c r="Q143" t="s">
        <v>142</v>
      </c>
      <c r="R143">
        <v>6</v>
      </c>
      <c r="AI143" t="s">
        <v>142</v>
      </c>
      <c r="AJ143">
        <v>57563</v>
      </c>
      <c r="AK143" t="s">
        <v>106</v>
      </c>
      <c r="AL143">
        <f>COUNTIF(AI:AI,AK143)</f>
        <v>3</v>
      </c>
      <c r="AM143">
        <f>SUMIF(AI:AI,AK143,AJ:AJ)</f>
        <v>168514</v>
      </c>
      <c r="AP143" t="s">
        <v>20</v>
      </c>
      <c r="AQ143" t="s">
        <v>26</v>
      </c>
      <c r="AS143" t="s">
        <v>226</v>
      </c>
      <c r="AT143">
        <v>79157</v>
      </c>
      <c r="AU143">
        <f t="shared" si="40"/>
        <v>1</v>
      </c>
      <c r="BP143" t="s">
        <v>10</v>
      </c>
      <c r="BQ143" t="s">
        <v>351</v>
      </c>
      <c r="BR143">
        <f t="shared" si="39"/>
        <v>4</v>
      </c>
      <c r="BS143">
        <f t="shared" si="41"/>
        <v>2024</v>
      </c>
      <c r="BT143">
        <v>6</v>
      </c>
      <c r="BU143" t="str">
        <f t="shared" si="42"/>
        <v>2024-4</v>
      </c>
      <c r="BV143">
        <f t="shared" si="43"/>
        <v>0</v>
      </c>
      <c r="BX143" t="s">
        <v>23</v>
      </c>
      <c r="BY143" t="s">
        <v>141</v>
      </c>
      <c r="BZ143">
        <v>57563</v>
      </c>
      <c r="CA143">
        <f t="shared" si="44"/>
        <v>10</v>
      </c>
      <c r="CB143">
        <f t="shared" si="45"/>
        <v>2023</v>
      </c>
      <c r="CC143" t="str">
        <f t="shared" si="46"/>
        <v>2023-10</v>
      </c>
    </row>
    <row r="144" spans="1:81" x14ac:dyDescent="0.25">
      <c r="A144" t="s">
        <v>12</v>
      </c>
      <c r="B144" t="s">
        <v>127</v>
      </c>
      <c r="C144" t="s">
        <v>141</v>
      </c>
      <c r="D144">
        <v>10864</v>
      </c>
      <c r="E144">
        <v>7</v>
      </c>
      <c r="P144" t="s">
        <v>12</v>
      </c>
      <c r="Q144" t="s">
        <v>127</v>
      </c>
      <c r="R144">
        <v>7</v>
      </c>
      <c r="AI144" t="s">
        <v>127</v>
      </c>
      <c r="AJ144">
        <v>10864</v>
      </c>
      <c r="AK144" t="s">
        <v>142</v>
      </c>
      <c r="AL144">
        <f>COUNTIF(AI:AI,AK144)</f>
        <v>4</v>
      </c>
      <c r="AM144">
        <f>SUMIF(AI:AI,AK144,AJ:AJ)</f>
        <v>166290</v>
      </c>
      <c r="AP144" t="s">
        <v>5</v>
      </c>
      <c r="AQ144" t="s">
        <v>144</v>
      </c>
      <c r="AS144" t="s">
        <v>228</v>
      </c>
      <c r="AT144">
        <v>16870</v>
      </c>
      <c r="AU144">
        <f t="shared" si="40"/>
        <v>2</v>
      </c>
      <c r="BP144" t="s">
        <v>10</v>
      </c>
      <c r="BQ144" t="s">
        <v>357</v>
      </c>
      <c r="BR144">
        <f t="shared" si="39"/>
        <v>4</v>
      </c>
      <c r="BS144">
        <f t="shared" si="41"/>
        <v>2024</v>
      </c>
      <c r="BT144">
        <v>7</v>
      </c>
      <c r="BU144" t="str">
        <f t="shared" si="42"/>
        <v>2024-4</v>
      </c>
      <c r="BV144">
        <f t="shared" si="43"/>
        <v>1</v>
      </c>
      <c r="BX144" t="s">
        <v>12</v>
      </c>
      <c r="BY144" t="s">
        <v>141</v>
      </c>
      <c r="BZ144">
        <v>10864</v>
      </c>
      <c r="CA144">
        <f t="shared" si="44"/>
        <v>10</v>
      </c>
      <c r="CB144">
        <f t="shared" si="45"/>
        <v>2023</v>
      </c>
      <c r="CC144" t="str">
        <f t="shared" si="46"/>
        <v>2023-10</v>
      </c>
    </row>
    <row r="145" spans="1:81" x14ac:dyDescent="0.25">
      <c r="A145" t="s">
        <v>27</v>
      </c>
      <c r="B145" t="s">
        <v>143</v>
      </c>
      <c r="C145" t="s">
        <v>141</v>
      </c>
      <c r="D145">
        <v>13457</v>
      </c>
      <c r="E145">
        <v>5</v>
      </c>
      <c r="P145" t="s">
        <v>27</v>
      </c>
      <c r="Q145" t="s">
        <v>143</v>
      </c>
      <c r="R145">
        <v>5</v>
      </c>
      <c r="AI145" t="s">
        <v>143</v>
      </c>
      <c r="AJ145">
        <v>13457</v>
      </c>
      <c r="AK145" t="s">
        <v>233</v>
      </c>
      <c r="AL145">
        <f>COUNTIF(AI:AI,AK145)</f>
        <v>3</v>
      </c>
      <c r="AM145">
        <f>SUMIF(AI:AI,AK145,AJ:AJ)</f>
        <v>165530</v>
      </c>
      <c r="AP145" t="s">
        <v>14</v>
      </c>
      <c r="AQ145" t="s">
        <v>92</v>
      </c>
      <c r="AS145" t="s">
        <v>229</v>
      </c>
      <c r="AT145">
        <v>76066</v>
      </c>
      <c r="AU145">
        <f t="shared" si="40"/>
        <v>4</v>
      </c>
      <c r="BP145" t="s">
        <v>10</v>
      </c>
      <c r="BQ145" t="s">
        <v>359</v>
      </c>
      <c r="BR145">
        <f t="shared" si="39"/>
        <v>4</v>
      </c>
      <c r="BS145">
        <f t="shared" si="41"/>
        <v>2024</v>
      </c>
      <c r="BT145">
        <v>5</v>
      </c>
      <c r="BU145" t="str">
        <f t="shared" si="42"/>
        <v>2024-4</v>
      </c>
      <c r="BV145">
        <f t="shared" si="43"/>
        <v>0</v>
      </c>
      <c r="BX145" t="s">
        <v>27</v>
      </c>
      <c r="BY145" t="s">
        <v>141</v>
      </c>
      <c r="BZ145">
        <v>13457</v>
      </c>
      <c r="CA145">
        <f t="shared" si="44"/>
        <v>10</v>
      </c>
      <c r="CB145">
        <f t="shared" si="45"/>
        <v>2023</v>
      </c>
      <c r="CC145" t="str">
        <f t="shared" si="46"/>
        <v>2023-10</v>
      </c>
    </row>
    <row r="146" spans="1:81" x14ac:dyDescent="0.25">
      <c r="A146" t="s">
        <v>17</v>
      </c>
      <c r="B146" t="s">
        <v>88</v>
      </c>
      <c r="C146" t="s">
        <v>141</v>
      </c>
      <c r="D146">
        <v>84435</v>
      </c>
      <c r="E146">
        <v>5</v>
      </c>
      <c r="P146" t="s">
        <v>17</v>
      </c>
      <c r="Q146" t="s">
        <v>88</v>
      </c>
      <c r="R146">
        <v>5</v>
      </c>
      <c r="AI146" t="s">
        <v>88</v>
      </c>
      <c r="AJ146">
        <v>84435</v>
      </c>
      <c r="AK146" t="s">
        <v>186</v>
      </c>
      <c r="AL146">
        <f>COUNTIF(AI:AI,AK146)</f>
        <v>2</v>
      </c>
      <c r="AM146">
        <f>SUMIF(AI:AI,AK146,AJ:AJ)</f>
        <v>162685</v>
      </c>
      <c r="AP146" t="s">
        <v>17</v>
      </c>
      <c r="AQ146" t="s">
        <v>26</v>
      </c>
      <c r="AS146" t="s">
        <v>231</v>
      </c>
      <c r="AT146">
        <v>49551</v>
      </c>
      <c r="AU146">
        <f t="shared" si="40"/>
        <v>6</v>
      </c>
      <c r="BP146" t="s">
        <v>10</v>
      </c>
      <c r="BQ146" t="s">
        <v>360</v>
      </c>
      <c r="BR146">
        <f t="shared" si="39"/>
        <v>4</v>
      </c>
      <c r="BS146">
        <f t="shared" si="41"/>
        <v>2024</v>
      </c>
      <c r="BT146">
        <v>5</v>
      </c>
      <c r="BU146" t="str">
        <f t="shared" si="42"/>
        <v>2024-4</v>
      </c>
      <c r="BV146">
        <f t="shared" si="43"/>
        <v>0</v>
      </c>
      <c r="BX146" t="s">
        <v>17</v>
      </c>
      <c r="BY146" t="s">
        <v>141</v>
      </c>
      <c r="BZ146">
        <v>84435</v>
      </c>
      <c r="CA146">
        <f t="shared" si="44"/>
        <v>10</v>
      </c>
      <c r="CB146">
        <f t="shared" si="45"/>
        <v>2023</v>
      </c>
      <c r="CC146" t="str">
        <f t="shared" si="46"/>
        <v>2023-10</v>
      </c>
    </row>
    <row r="147" spans="1:81" x14ac:dyDescent="0.25">
      <c r="A147" t="s">
        <v>20</v>
      </c>
      <c r="B147" t="s">
        <v>26</v>
      </c>
      <c r="C147" t="s">
        <v>141</v>
      </c>
      <c r="D147">
        <v>35843</v>
      </c>
      <c r="E147">
        <v>7</v>
      </c>
      <c r="P147" t="s">
        <v>20</v>
      </c>
      <c r="Q147" t="s">
        <v>26</v>
      </c>
      <c r="R147">
        <v>7</v>
      </c>
      <c r="AI147" t="s">
        <v>26</v>
      </c>
      <c r="AJ147">
        <v>35843</v>
      </c>
      <c r="AK147" t="s">
        <v>103</v>
      </c>
      <c r="AL147">
        <f>COUNTIF(AI:AI,AK147)</f>
        <v>3</v>
      </c>
      <c r="AM147">
        <f>SUMIF(AI:AI,AK147,AJ:AJ)</f>
        <v>162623</v>
      </c>
      <c r="AP147" t="s">
        <v>23</v>
      </c>
      <c r="AQ147" t="s">
        <v>103</v>
      </c>
      <c r="AS147" t="s">
        <v>233</v>
      </c>
      <c r="AT147">
        <v>40349</v>
      </c>
      <c r="AU147">
        <f t="shared" si="40"/>
        <v>3</v>
      </c>
      <c r="BP147" t="s">
        <v>10</v>
      </c>
      <c r="BQ147" t="s">
        <v>367</v>
      </c>
      <c r="BR147">
        <f t="shared" si="39"/>
        <v>5</v>
      </c>
      <c r="BS147">
        <f t="shared" si="41"/>
        <v>2024</v>
      </c>
      <c r="BT147">
        <v>7</v>
      </c>
      <c r="BU147" t="str">
        <f t="shared" si="42"/>
        <v>2024-5</v>
      </c>
      <c r="BV147">
        <f t="shared" si="43"/>
        <v>1</v>
      </c>
      <c r="BX147" t="s">
        <v>20</v>
      </c>
      <c r="BY147" t="s">
        <v>141</v>
      </c>
      <c r="BZ147">
        <v>35843</v>
      </c>
      <c r="CA147">
        <f t="shared" si="44"/>
        <v>10</v>
      </c>
      <c r="CB147">
        <f t="shared" si="45"/>
        <v>2023</v>
      </c>
      <c r="CC147" t="str">
        <f t="shared" si="46"/>
        <v>2023-10</v>
      </c>
    </row>
    <row r="148" spans="1:81" x14ac:dyDescent="0.25">
      <c r="A148" t="s">
        <v>5</v>
      </c>
      <c r="B148" t="s">
        <v>144</v>
      </c>
      <c r="C148" t="s">
        <v>141</v>
      </c>
      <c r="D148">
        <v>18331</v>
      </c>
      <c r="E148">
        <v>6</v>
      </c>
      <c r="P148" t="s">
        <v>5</v>
      </c>
      <c r="Q148" t="s">
        <v>144</v>
      </c>
      <c r="R148">
        <v>6</v>
      </c>
      <c r="AI148" t="s">
        <v>144</v>
      </c>
      <c r="AJ148">
        <v>18331</v>
      </c>
      <c r="AK148" t="s">
        <v>307</v>
      </c>
      <c r="AL148">
        <f>COUNTIF(AI:AI,AK148)</f>
        <v>4</v>
      </c>
      <c r="AM148">
        <f>SUMIF(AI:AI,AK148,AJ:AJ)</f>
        <v>160758</v>
      </c>
      <c r="AP148" t="s">
        <v>17</v>
      </c>
      <c r="AQ148" t="s">
        <v>147</v>
      </c>
      <c r="AS148" t="s">
        <v>236</v>
      </c>
      <c r="AT148">
        <v>19599</v>
      </c>
      <c r="AU148">
        <f t="shared" si="40"/>
        <v>4</v>
      </c>
      <c r="BP148" t="s">
        <v>10</v>
      </c>
      <c r="BQ148" t="s">
        <v>375</v>
      </c>
      <c r="BR148">
        <f t="shared" si="39"/>
        <v>5</v>
      </c>
      <c r="BS148">
        <f t="shared" si="41"/>
        <v>2024</v>
      </c>
      <c r="BT148">
        <v>6</v>
      </c>
      <c r="BU148" t="str">
        <f t="shared" si="42"/>
        <v>2024-5</v>
      </c>
      <c r="BV148">
        <f t="shared" si="43"/>
        <v>0</v>
      </c>
      <c r="BX148" t="s">
        <v>5</v>
      </c>
      <c r="BY148" t="s">
        <v>141</v>
      </c>
      <c r="BZ148">
        <v>18331</v>
      </c>
      <c r="CA148">
        <f t="shared" si="44"/>
        <v>10</v>
      </c>
      <c r="CB148">
        <f t="shared" si="45"/>
        <v>2023</v>
      </c>
      <c r="CC148" t="str">
        <f t="shared" si="46"/>
        <v>2023-10</v>
      </c>
    </row>
    <row r="149" spans="1:81" x14ac:dyDescent="0.25">
      <c r="A149" t="s">
        <v>5</v>
      </c>
      <c r="B149" t="s">
        <v>19</v>
      </c>
      <c r="C149" t="s">
        <v>141</v>
      </c>
      <c r="D149">
        <v>54060</v>
      </c>
      <c r="E149">
        <v>10</v>
      </c>
      <c r="P149" t="s">
        <v>5</v>
      </c>
      <c r="Q149" t="s">
        <v>19</v>
      </c>
      <c r="R149">
        <v>10</v>
      </c>
      <c r="AI149" t="s">
        <v>19</v>
      </c>
      <c r="AJ149">
        <v>54060</v>
      </c>
      <c r="AK149" t="s">
        <v>75</v>
      </c>
      <c r="AL149">
        <f>COUNTIF(AI:AI,AK149)</f>
        <v>3</v>
      </c>
      <c r="AM149">
        <f>SUMIF(AI:AI,AK149,AJ:AJ)</f>
        <v>158103</v>
      </c>
      <c r="AP149" t="s">
        <v>27</v>
      </c>
      <c r="AQ149" t="s">
        <v>148</v>
      </c>
      <c r="AS149" t="s">
        <v>237</v>
      </c>
      <c r="AT149">
        <v>26961</v>
      </c>
      <c r="AU149">
        <f t="shared" si="40"/>
        <v>4</v>
      </c>
      <c r="BP149" t="s">
        <v>10</v>
      </c>
      <c r="BQ149" t="s">
        <v>378</v>
      </c>
      <c r="BR149">
        <f t="shared" si="39"/>
        <v>5</v>
      </c>
      <c r="BS149">
        <f t="shared" si="41"/>
        <v>2024</v>
      </c>
      <c r="BT149">
        <v>10</v>
      </c>
      <c r="BU149" t="str">
        <f t="shared" si="42"/>
        <v>2024-5</v>
      </c>
      <c r="BV149">
        <f t="shared" si="43"/>
        <v>2</v>
      </c>
      <c r="BX149" t="s">
        <v>5</v>
      </c>
      <c r="BY149" t="s">
        <v>141</v>
      </c>
      <c r="BZ149">
        <v>54060</v>
      </c>
      <c r="CA149">
        <f t="shared" si="44"/>
        <v>10</v>
      </c>
      <c r="CB149">
        <f t="shared" si="45"/>
        <v>2023</v>
      </c>
      <c r="CC149" t="str">
        <f t="shared" si="46"/>
        <v>2023-10</v>
      </c>
    </row>
    <row r="150" spans="1:81" x14ac:dyDescent="0.25">
      <c r="A150" t="s">
        <v>14</v>
      </c>
      <c r="B150" t="s">
        <v>92</v>
      </c>
      <c r="C150" t="s">
        <v>141</v>
      </c>
      <c r="D150">
        <v>16046</v>
      </c>
      <c r="E150">
        <v>5</v>
      </c>
      <c r="P150" t="s">
        <v>14</v>
      </c>
      <c r="Q150" t="s">
        <v>92</v>
      </c>
      <c r="R150">
        <v>5</v>
      </c>
      <c r="AI150" t="s">
        <v>92</v>
      </c>
      <c r="AJ150">
        <v>16046</v>
      </c>
      <c r="AK150" t="s">
        <v>325</v>
      </c>
      <c r="AL150">
        <f>COUNTIF(AI:AI,AK150)</f>
        <v>3</v>
      </c>
      <c r="AM150">
        <f>SUMIF(AI:AI,AK150,AJ:AJ)</f>
        <v>158007</v>
      </c>
      <c r="AP150" t="s">
        <v>12</v>
      </c>
      <c r="AQ150" t="s">
        <v>150</v>
      </c>
      <c r="AS150" t="s">
        <v>238</v>
      </c>
      <c r="AT150">
        <v>43139</v>
      </c>
      <c r="AU150">
        <f t="shared" si="40"/>
        <v>4</v>
      </c>
      <c r="BP150" t="s">
        <v>10</v>
      </c>
      <c r="BQ150" t="s">
        <v>380</v>
      </c>
      <c r="BR150">
        <f t="shared" si="39"/>
        <v>5</v>
      </c>
      <c r="BS150">
        <f t="shared" si="41"/>
        <v>2024</v>
      </c>
      <c r="BT150">
        <v>5</v>
      </c>
      <c r="BU150" t="str">
        <f t="shared" si="42"/>
        <v>2024-5</v>
      </c>
      <c r="BV150">
        <f t="shared" si="43"/>
        <v>0</v>
      </c>
      <c r="BX150" t="s">
        <v>14</v>
      </c>
      <c r="BY150" t="s">
        <v>141</v>
      </c>
      <c r="BZ150">
        <v>16046</v>
      </c>
      <c r="CA150">
        <f t="shared" si="44"/>
        <v>10</v>
      </c>
      <c r="CB150">
        <f t="shared" si="45"/>
        <v>2023</v>
      </c>
      <c r="CC150" t="str">
        <f t="shared" si="46"/>
        <v>2023-10</v>
      </c>
    </row>
    <row r="151" spans="1:81" x14ac:dyDescent="0.25">
      <c r="A151" t="s">
        <v>17</v>
      </c>
      <c r="B151" t="s">
        <v>26</v>
      </c>
      <c r="C151" t="s">
        <v>145</v>
      </c>
      <c r="D151">
        <v>89011</v>
      </c>
      <c r="E151">
        <v>6</v>
      </c>
      <c r="P151" t="s">
        <v>17</v>
      </c>
      <c r="Q151" t="s">
        <v>26</v>
      </c>
      <c r="R151">
        <v>6</v>
      </c>
      <c r="AI151" t="s">
        <v>26</v>
      </c>
      <c r="AJ151">
        <v>89011</v>
      </c>
      <c r="AK151" t="s">
        <v>255</v>
      </c>
      <c r="AL151">
        <f>COUNTIF(AI:AI,AK151)</f>
        <v>3</v>
      </c>
      <c r="AM151">
        <f>SUMIF(AI:AI,AK151,AJ:AJ)</f>
        <v>152063</v>
      </c>
      <c r="AP151" t="s">
        <v>33</v>
      </c>
      <c r="AQ151" t="s">
        <v>151</v>
      </c>
      <c r="AS151" t="s">
        <v>241</v>
      </c>
      <c r="AT151">
        <v>51582</v>
      </c>
      <c r="AU151">
        <f t="shared" si="40"/>
        <v>3</v>
      </c>
      <c r="BP151" t="s">
        <v>10</v>
      </c>
      <c r="BQ151" t="s">
        <v>380</v>
      </c>
      <c r="BR151">
        <f t="shared" ref="BR151:BR214" si="47">MONTH(BQ151)</f>
        <v>5</v>
      </c>
      <c r="BS151">
        <f t="shared" si="41"/>
        <v>2024</v>
      </c>
      <c r="BT151">
        <v>6</v>
      </c>
      <c r="BU151" t="str">
        <f t="shared" si="42"/>
        <v>2024-5</v>
      </c>
      <c r="BV151">
        <f t="shared" si="43"/>
        <v>0</v>
      </c>
      <c r="BX151" t="s">
        <v>17</v>
      </c>
      <c r="BY151" t="s">
        <v>145</v>
      </c>
      <c r="BZ151">
        <v>89011</v>
      </c>
      <c r="CA151">
        <f t="shared" si="44"/>
        <v>10</v>
      </c>
      <c r="CB151">
        <f t="shared" si="45"/>
        <v>2023</v>
      </c>
      <c r="CC151" t="str">
        <f t="shared" si="46"/>
        <v>2023-10</v>
      </c>
    </row>
    <row r="152" spans="1:81" x14ac:dyDescent="0.25">
      <c r="A152" t="s">
        <v>23</v>
      </c>
      <c r="B152" t="s">
        <v>103</v>
      </c>
      <c r="C152" t="s">
        <v>146</v>
      </c>
      <c r="D152">
        <v>74238</v>
      </c>
      <c r="E152">
        <v>7</v>
      </c>
      <c r="P152" t="s">
        <v>23</v>
      </c>
      <c r="Q152" t="s">
        <v>103</v>
      </c>
      <c r="R152">
        <v>7</v>
      </c>
      <c r="AI152" t="s">
        <v>103</v>
      </c>
      <c r="AJ152">
        <v>74238</v>
      </c>
      <c r="AK152" t="s">
        <v>245</v>
      </c>
      <c r="AL152">
        <f>COUNTIF(AI:AI,AK152)</f>
        <v>4</v>
      </c>
      <c r="AM152">
        <f>SUMIF(AI:AI,AK152,AJ:AJ)</f>
        <v>151865</v>
      </c>
      <c r="AP152" t="s">
        <v>12</v>
      </c>
      <c r="AQ152" t="s">
        <v>152</v>
      </c>
      <c r="AS152" t="s">
        <v>242</v>
      </c>
      <c r="AT152">
        <v>42924</v>
      </c>
      <c r="AU152">
        <f t="shared" si="40"/>
        <v>4</v>
      </c>
      <c r="BP152" t="s">
        <v>10</v>
      </c>
      <c r="BQ152" t="s">
        <v>383</v>
      </c>
      <c r="BR152">
        <f t="shared" si="47"/>
        <v>5</v>
      </c>
      <c r="BS152">
        <f t="shared" si="41"/>
        <v>2024</v>
      </c>
      <c r="BT152">
        <v>7</v>
      </c>
      <c r="BU152" t="str">
        <f t="shared" si="42"/>
        <v>2024-5</v>
      </c>
      <c r="BV152">
        <f t="shared" si="43"/>
        <v>1</v>
      </c>
      <c r="BX152" t="s">
        <v>23</v>
      </c>
      <c r="BY152" t="s">
        <v>146</v>
      </c>
      <c r="BZ152">
        <v>74238</v>
      </c>
      <c r="CA152">
        <f t="shared" si="44"/>
        <v>10</v>
      </c>
      <c r="CB152">
        <f t="shared" si="45"/>
        <v>2023</v>
      </c>
      <c r="CC152" t="str">
        <f t="shared" si="46"/>
        <v>2023-10</v>
      </c>
    </row>
    <row r="153" spans="1:81" x14ac:dyDescent="0.25">
      <c r="A153" t="s">
        <v>14</v>
      </c>
      <c r="B153" t="s">
        <v>30</v>
      </c>
      <c r="C153" t="s">
        <v>146</v>
      </c>
      <c r="D153">
        <v>73879</v>
      </c>
      <c r="E153">
        <v>6</v>
      </c>
      <c r="P153" t="s">
        <v>17</v>
      </c>
      <c r="Q153" t="s">
        <v>147</v>
      </c>
      <c r="R153">
        <v>8</v>
      </c>
      <c r="AI153" t="s">
        <v>30</v>
      </c>
      <c r="AJ153">
        <v>73879</v>
      </c>
      <c r="AK153" t="s">
        <v>95</v>
      </c>
      <c r="AL153">
        <f>COUNTIF(AI:AI,AK153)</f>
        <v>4</v>
      </c>
      <c r="AM153">
        <f>SUMIF(AI:AI,AK153,AJ:AJ)</f>
        <v>147243</v>
      </c>
      <c r="AP153" t="s">
        <v>23</v>
      </c>
      <c r="AQ153" t="s">
        <v>154</v>
      </c>
      <c r="AS153" t="s">
        <v>244</v>
      </c>
      <c r="AT153">
        <v>73979</v>
      </c>
      <c r="AU153">
        <f t="shared" si="40"/>
        <v>3</v>
      </c>
      <c r="BP153" t="s">
        <v>10</v>
      </c>
      <c r="BQ153" t="s">
        <v>386</v>
      </c>
      <c r="BR153">
        <f t="shared" si="47"/>
        <v>5</v>
      </c>
      <c r="BS153">
        <f t="shared" si="41"/>
        <v>2024</v>
      </c>
      <c r="BT153">
        <v>6</v>
      </c>
      <c r="BU153" t="str">
        <f t="shared" si="42"/>
        <v>2024-5</v>
      </c>
      <c r="BV153">
        <f t="shared" si="43"/>
        <v>0</v>
      </c>
      <c r="BX153" t="s">
        <v>14</v>
      </c>
      <c r="BY153" t="s">
        <v>146</v>
      </c>
      <c r="BZ153">
        <v>73879</v>
      </c>
      <c r="CA153">
        <f t="shared" si="44"/>
        <v>10</v>
      </c>
      <c r="CB153">
        <f t="shared" si="45"/>
        <v>2023</v>
      </c>
      <c r="CC153" t="str">
        <f t="shared" si="46"/>
        <v>2023-10</v>
      </c>
    </row>
    <row r="154" spans="1:81" x14ac:dyDescent="0.25">
      <c r="A154" t="s">
        <v>17</v>
      </c>
      <c r="B154" t="s">
        <v>147</v>
      </c>
      <c r="C154" t="s">
        <v>146</v>
      </c>
      <c r="D154">
        <v>63853</v>
      </c>
      <c r="E154">
        <v>8</v>
      </c>
      <c r="P154" t="s">
        <v>27</v>
      </c>
      <c r="Q154" t="s">
        <v>148</v>
      </c>
      <c r="R154">
        <v>6</v>
      </c>
      <c r="AI154" t="s">
        <v>147</v>
      </c>
      <c r="AJ154">
        <v>63853</v>
      </c>
      <c r="AK154" t="s">
        <v>150</v>
      </c>
      <c r="AL154">
        <f>COUNTIF(AI:AI,AK154)</f>
        <v>2</v>
      </c>
      <c r="AM154">
        <f>SUMIF(AI:AI,AK154,AJ:AJ)</f>
        <v>144954</v>
      </c>
      <c r="AP154" t="s">
        <v>33</v>
      </c>
      <c r="AQ154" t="s">
        <v>155</v>
      </c>
      <c r="AS154" t="s">
        <v>245</v>
      </c>
      <c r="AT154">
        <v>66502</v>
      </c>
      <c r="AU154">
        <f t="shared" si="40"/>
        <v>3</v>
      </c>
      <c r="BP154" t="s">
        <v>10</v>
      </c>
      <c r="BQ154" t="s">
        <v>389</v>
      </c>
      <c r="BR154">
        <f t="shared" si="47"/>
        <v>6</v>
      </c>
      <c r="BS154">
        <f t="shared" si="41"/>
        <v>2024</v>
      </c>
      <c r="BT154">
        <v>8</v>
      </c>
      <c r="BU154" t="str">
        <f t="shared" si="42"/>
        <v>2024-6</v>
      </c>
      <c r="BV154">
        <f t="shared" si="43"/>
        <v>1</v>
      </c>
      <c r="BX154" t="s">
        <v>17</v>
      </c>
      <c r="BY154" t="s">
        <v>146</v>
      </c>
      <c r="BZ154">
        <v>63853</v>
      </c>
      <c r="CA154">
        <f t="shared" si="44"/>
        <v>10</v>
      </c>
      <c r="CB154">
        <f t="shared" si="45"/>
        <v>2023</v>
      </c>
      <c r="CC154" t="str">
        <f t="shared" si="46"/>
        <v>2023-10</v>
      </c>
    </row>
    <row r="155" spans="1:81" x14ac:dyDescent="0.25">
      <c r="A155" t="s">
        <v>27</v>
      </c>
      <c r="B155" t="s">
        <v>148</v>
      </c>
      <c r="C155" t="s">
        <v>149</v>
      </c>
      <c r="D155">
        <v>48754</v>
      </c>
      <c r="E155">
        <v>6</v>
      </c>
      <c r="P155" t="s">
        <v>12</v>
      </c>
      <c r="Q155" t="s">
        <v>150</v>
      </c>
      <c r="R155">
        <v>2</v>
      </c>
      <c r="AI155" t="s">
        <v>148</v>
      </c>
      <c r="AJ155">
        <v>48754</v>
      </c>
      <c r="AK155" t="s">
        <v>148</v>
      </c>
      <c r="AL155">
        <f>COUNTIF(AI:AI,AK155)</f>
        <v>3</v>
      </c>
      <c r="AM155">
        <f>SUMIF(AI:AI,AK155,AJ:AJ)</f>
        <v>142970</v>
      </c>
      <c r="AP155" t="s">
        <v>36</v>
      </c>
      <c r="AQ155" t="s">
        <v>156</v>
      </c>
      <c r="AS155" t="s">
        <v>247</v>
      </c>
      <c r="AT155">
        <v>56529</v>
      </c>
      <c r="AU155">
        <f t="shared" si="40"/>
        <v>4</v>
      </c>
      <c r="BP155" t="s">
        <v>10</v>
      </c>
      <c r="BQ155" t="s">
        <v>394</v>
      </c>
      <c r="BR155">
        <f t="shared" si="47"/>
        <v>6</v>
      </c>
      <c r="BS155">
        <f t="shared" si="41"/>
        <v>2024</v>
      </c>
      <c r="BT155">
        <v>6</v>
      </c>
      <c r="BU155" t="str">
        <f t="shared" si="42"/>
        <v>2024-6</v>
      </c>
      <c r="BV155">
        <f t="shared" si="43"/>
        <v>0</v>
      </c>
      <c r="BX155" t="s">
        <v>27</v>
      </c>
      <c r="BY155" t="s">
        <v>149</v>
      </c>
      <c r="BZ155">
        <v>48754</v>
      </c>
      <c r="CA155">
        <f t="shared" si="44"/>
        <v>10</v>
      </c>
      <c r="CB155">
        <f t="shared" si="45"/>
        <v>2023</v>
      </c>
      <c r="CC155" t="str">
        <f t="shared" si="46"/>
        <v>2023-10</v>
      </c>
    </row>
    <row r="156" spans="1:81" x14ac:dyDescent="0.25">
      <c r="A156" t="s">
        <v>12</v>
      </c>
      <c r="B156" t="s">
        <v>150</v>
      </c>
      <c r="C156" t="s">
        <v>149</v>
      </c>
      <c r="D156">
        <v>90008</v>
      </c>
      <c r="E156">
        <v>2</v>
      </c>
      <c r="P156" t="s">
        <v>33</v>
      </c>
      <c r="Q156" t="s">
        <v>151</v>
      </c>
      <c r="R156">
        <v>10</v>
      </c>
      <c r="AI156" t="s">
        <v>150</v>
      </c>
      <c r="AJ156">
        <v>90008</v>
      </c>
      <c r="AK156" t="s">
        <v>341</v>
      </c>
      <c r="AL156">
        <f>COUNTIF(AI:AI,AK156)</f>
        <v>3</v>
      </c>
      <c r="AM156">
        <f>SUMIF(AI:AI,AK156,AJ:AJ)</f>
        <v>139969</v>
      </c>
      <c r="AP156" t="s">
        <v>8</v>
      </c>
      <c r="AQ156" t="s">
        <v>157</v>
      </c>
      <c r="AS156" t="s">
        <v>249</v>
      </c>
      <c r="AT156">
        <v>22947</v>
      </c>
      <c r="AU156">
        <f t="shared" si="40"/>
        <v>3</v>
      </c>
      <c r="BP156" t="s">
        <v>10</v>
      </c>
      <c r="BQ156" t="s">
        <v>397</v>
      </c>
      <c r="BR156">
        <f t="shared" si="47"/>
        <v>6</v>
      </c>
      <c r="BS156">
        <f t="shared" si="41"/>
        <v>2024</v>
      </c>
      <c r="BT156">
        <v>2</v>
      </c>
      <c r="BU156" t="str">
        <f t="shared" si="42"/>
        <v>2024-6</v>
      </c>
      <c r="BV156">
        <f t="shared" si="43"/>
        <v>0</v>
      </c>
      <c r="BX156" t="s">
        <v>12</v>
      </c>
      <c r="BY156" t="s">
        <v>149</v>
      </c>
      <c r="BZ156">
        <v>90008</v>
      </c>
      <c r="CA156">
        <f t="shared" si="44"/>
        <v>10</v>
      </c>
      <c r="CB156">
        <f t="shared" si="45"/>
        <v>2023</v>
      </c>
      <c r="CC156" t="str">
        <f t="shared" si="46"/>
        <v>2023-10</v>
      </c>
    </row>
    <row r="157" spans="1:81" x14ac:dyDescent="0.25">
      <c r="A157" t="s">
        <v>33</v>
      </c>
      <c r="B157" t="s">
        <v>151</v>
      </c>
      <c r="C157" t="s">
        <v>149</v>
      </c>
      <c r="D157">
        <v>26006</v>
      </c>
      <c r="E157">
        <v>10</v>
      </c>
      <c r="P157" t="s">
        <v>12</v>
      </c>
      <c r="Q157" t="s">
        <v>152</v>
      </c>
      <c r="R157">
        <v>5</v>
      </c>
      <c r="AI157" t="s">
        <v>151</v>
      </c>
      <c r="AJ157">
        <v>26006</v>
      </c>
      <c r="AK157" t="s">
        <v>84</v>
      </c>
      <c r="AL157">
        <f>COUNTIF(AI:AI,AK157)</f>
        <v>3</v>
      </c>
      <c r="AM157">
        <f>SUMIF(AI:AI,AK157,AJ:AJ)</f>
        <v>136370</v>
      </c>
      <c r="AP157" t="s">
        <v>12</v>
      </c>
      <c r="AQ157" t="s">
        <v>18</v>
      </c>
      <c r="AS157" t="s">
        <v>253</v>
      </c>
      <c r="AT157">
        <v>76230</v>
      </c>
      <c r="AU157">
        <f t="shared" si="40"/>
        <v>5</v>
      </c>
      <c r="BP157" t="s">
        <v>10</v>
      </c>
      <c r="BQ157" t="s">
        <v>399</v>
      </c>
      <c r="BR157">
        <f t="shared" si="47"/>
        <v>6</v>
      </c>
      <c r="BS157">
        <f t="shared" si="41"/>
        <v>2024</v>
      </c>
      <c r="BT157">
        <v>10</v>
      </c>
      <c r="BU157" t="str">
        <f t="shared" si="42"/>
        <v>2024-6</v>
      </c>
      <c r="BV157">
        <f t="shared" si="43"/>
        <v>2</v>
      </c>
      <c r="BX157" t="s">
        <v>33</v>
      </c>
      <c r="BY157" t="s">
        <v>149</v>
      </c>
      <c r="BZ157">
        <v>26006</v>
      </c>
      <c r="CA157">
        <f t="shared" si="44"/>
        <v>10</v>
      </c>
      <c r="CB157">
        <f t="shared" si="45"/>
        <v>2023</v>
      </c>
      <c r="CC157" t="str">
        <f t="shared" si="46"/>
        <v>2023-10</v>
      </c>
    </row>
    <row r="158" spans="1:81" x14ac:dyDescent="0.25">
      <c r="A158" t="s">
        <v>12</v>
      </c>
      <c r="B158" t="s">
        <v>152</v>
      </c>
      <c r="C158" t="s">
        <v>153</v>
      </c>
      <c r="D158">
        <v>40254</v>
      </c>
      <c r="E158">
        <v>5</v>
      </c>
      <c r="P158" t="s">
        <v>23</v>
      </c>
      <c r="Q158" t="s">
        <v>154</v>
      </c>
      <c r="R158">
        <v>6</v>
      </c>
      <c r="AI158" t="s">
        <v>152</v>
      </c>
      <c r="AJ158">
        <v>40254</v>
      </c>
      <c r="AK158" t="s">
        <v>97</v>
      </c>
      <c r="AL158">
        <f>COUNTIF(AI:AI,AK158)</f>
        <v>2</v>
      </c>
      <c r="AM158">
        <f>SUMIF(AI:AI,AK158,AJ:AJ)</f>
        <v>134128</v>
      </c>
      <c r="AP158" t="s">
        <v>17</v>
      </c>
      <c r="AQ158" t="s">
        <v>158</v>
      </c>
      <c r="AS158" t="s">
        <v>254</v>
      </c>
      <c r="AT158">
        <v>59067</v>
      </c>
      <c r="AU158">
        <f t="shared" si="40"/>
        <v>4</v>
      </c>
      <c r="BP158" t="s">
        <v>10</v>
      </c>
      <c r="BQ158" t="s">
        <v>401</v>
      </c>
      <c r="BR158">
        <f t="shared" si="47"/>
        <v>6</v>
      </c>
      <c r="BS158">
        <f t="shared" si="41"/>
        <v>2024</v>
      </c>
      <c r="BT158">
        <v>5</v>
      </c>
      <c r="BU158" t="str">
        <f t="shared" si="42"/>
        <v>2024-6</v>
      </c>
      <c r="BV158">
        <f t="shared" si="43"/>
        <v>0</v>
      </c>
      <c r="BX158" t="s">
        <v>12</v>
      </c>
      <c r="BY158" t="s">
        <v>153</v>
      </c>
      <c r="BZ158">
        <v>40254</v>
      </c>
      <c r="CA158">
        <f t="shared" si="44"/>
        <v>10</v>
      </c>
      <c r="CB158">
        <f t="shared" si="45"/>
        <v>2023</v>
      </c>
      <c r="CC158" t="str">
        <f t="shared" si="46"/>
        <v>2023-10</v>
      </c>
    </row>
    <row r="159" spans="1:81" x14ac:dyDescent="0.25">
      <c r="A159" t="s">
        <v>23</v>
      </c>
      <c r="B159" t="s">
        <v>154</v>
      </c>
      <c r="C159" t="s">
        <v>153</v>
      </c>
      <c r="D159">
        <v>90135</v>
      </c>
      <c r="E159">
        <v>6</v>
      </c>
      <c r="P159" t="s">
        <v>33</v>
      </c>
      <c r="Q159" t="s">
        <v>155</v>
      </c>
      <c r="R159">
        <v>3</v>
      </c>
      <c r="AI159" t="s">
        <v>154</v>
      </c>
      <c r="AJ159">
        <v>90135</v>
      </c>
      <c r="AK159" t="s">
        <v>124</v>
      </c>
      <c r="AL159">
        <f>COUNTIF(AI:AI,AK159)</f>
        <v>3</v>
      </c>
      <c r="AM159">
        <f>SUMIF(AI:AI,AK159,AJ:AJ)</f>
        <v>130861</v>
      </c>
      <c r="AP159" t="s">
        <v>14</v>
      </c>
      <c r="AQ159" t="s">
        <v>50</v>
      </c>
      <c r="AS159" t="s">
        <v>255</v>
      </c>
      <c r="AT159">
        <v>72863</v>
      </c>
      <c r="AU159">
        <f t="shared" si="40"/>
        <v>2</v>
      </c>
      <c r="BP159" t="s">
        <v>10</v>
      </c>
      <c r="BQ159" t="s">
        <v>403</v>
      </c>
      <c r="BR159">
        <f t="shared" si="47"/>
        <v>6</v>
      </c>
      <c r="BS159">
        <f t="shared" si="41"/>
        <v>2024</v>
      </c>
      <c r="BT159">
        <v>6</v>
      </c>
      <c r="BU159" t="str">
        <f t="shared" si="42"/>
        <v>2024-6</v>
      </c>
      <c r="BV159">
        <f t="shared" si="43"/>
        <v>0</v>
      </c>
      <c r="BX159" t="s">
        <v>23</v>
      </c>
      <c r="BY159" t="s">
        <v>153</v>
      </c>
      <c r="BZ159">
        <v>90135</v>
      </c>
      <c r="CA159">
        <f t="shared" si="44"/>
        <v>10</v>
      </c>
      <c r="CB159">
        <f t="shared" si="45"/>
        <v>2023</v>
      </c>
      <c r="CC159" t="str">
        <f t="shared" si="46"/>
        <v>2023-10</v>
      </c>
    </row>
    <row r="160" spans="1:81" x14ac:dyDescent="0.25">
      <c r="A160" t="s">
        <v>33</v>
      </c>
      <c r="B160" t="s">
        <v>155</v>
      </c>
      <c r="C160" t="s">
        <v>153</v>
      </c>
      <c r="D160">
        <v>24736</v>
      </c>
      <c r="E160">
        <v>3</v>
      </c>
      <c r="P160" t="s">
        <v>36</v>
      </c>
      <c r="Q160" t="s">
        <v>156</v>
      </c>
      <c r="R160">
        <v>3</v>
      </c>
      <c r="AI160" t="s">
        <v>155</v>
      </c>
      <c r="AJ160">
        <v>24736</v>
      </c>
      <c r="AK160" t="s">
        <v>308</v>
      </c>
      <c r="AL160">
        <f>COUNTIF(AI:AI,AK160)</f>
        <v>2</v>
      </c>
      <c r="AM160">
        <f>SUMIF(AI:AI,AK160,AJ:AJ)</f>
        <v>121670</v>
      </c>
      <c r="AP160" t="s">
        <v>36</v>
      </c>
      <c r="AQ160" t="s">
        <v>91</v>
      </c>
      <c r="AS160" t="s">
        <v>256</v>
      </c>
      <c r="AT160">
        <v>91752</v>
      </c>
      <c r="AU160">
        <f t="shared" si="40"/>
        <v>5</v>
      </c>
      <c r="BP160" t="s">
        <v>10</v>
      </c>
      <c r="BQ160" t="s">
        <v>404</v>
      </c>
      <c r="BR160">
        <f t="shared" si="47"/>
        <v>6</v>
      </c>
      <c r="BS160">
        <f t="shared" si="41"/>
        <v>2024</v>
      </c>
      <c r="BT160">
        <v>3</v>
      </c>
      <c r="BU160" t="str">
        <f t="shared" si="42"/>
        <v>2024-6</v>
      </c>
      <c r="BV160">
        <f t="shared" si="43"/>
        <v>0</v>
      </c>
      <c r="BX160" t="s">
        <v>33</v>
      </c>
      <c r="BY160" t="s">
        <v>153</v>
      </c>
      <c r="BZ160">
        <v>24736</v>
      </c>
      <c r="CA160">
        <f t="shared" si="44"/>
        <v>10</v>
      </c>
      <c r="CB160">
        <f t="shared" si="45"/>
        <v>2023</v>
      </c>
      <c r="CC160" t="str">
        <f t="shared" si="46"/>
        <v>2023-10</v>
      </c>
    </row>
    <row r="161" spans="1:81" x14ac:dyDescent="0.25">
      <c r="A161" t="s">
        <v>36</v>
      </c>
      <c r="B161" t="s">
        <v>156</v>
      </c>
      <c r="C161" t="s">
        <v>153</v>
      </c>
      <c r="D161">
        <v>34160</v>
      </c>
      <c r="E161">
        <v>3</v>
      </c>
      <c r="P161" t="s">
        <v>8</v>
      </c>
      <c r="Q161" t="s">
        <v>157</v>
      </c>
      <c r="R161">
        <v>1</v>
      </c>
      <c r="AI161" t="s">
        <v>156</v>
      </c>
      <c r="AJ161">
        <v>34160</v>
      </c>
      <c r="AK161" t="s">
        <v>249</v>
      </c>
      <c r="AL161">
        <f>COUNTIF(AI:AI,AK161)</f>
        <v>4</v>
      </c>
      <c r="AM161">
        <f>SUMIF(AI:AI,AK161,AJ:AJ)</f>
        <v>121615</v>
      </c>
      <c r="AP161" t="s">
        <v>27</v>
      </c>
      <c r="AQ161" t="s">
        <v>72</v>
      </c>
      <c r="AS161" t="s">
        <v>259</v>
      </c>
      <c r="AT161">
        <v>43010</v>
      </c>
      <c r="AU161">
        <f t="shared" si="40"/>
        <v>4</v>
      </c>
      <c r="BP161" t="s">
        <v>10</v>
      </c>
      <c r="BQ161" t="s">
        <v>413</v>
      </c>
      <c r="BR161">
        <f t="shared" si="47"/>
        <v>7</v>
      </c>
      <c r="BS161">
        <f t="shared" si="41"/>
        <v>2024</v>
      </c>
      <c r="BT161">
        <v>3</v>
      </c>
      <c r="BU161" t="str">
        <f t="shared" si="42"/>
        <v>2024-7</v>
      </c>
      <c r="BV161">
        <f t="shared" si="43"/>
        <v>0</v>
      </c>
      <c r="BX161" t="s">
        <v>36</v>
      </c>
      <c r="BY161" t="s">
        <v>153</v>
      </c>
      <c r="BZ161">
        <v>34160</v>
      </c>
      <c r="CA161">
        <f t="shared" si="44"/>
        <v>10</v>
      </c>
      <c r="CB161">
        <f t="shared" si="45"/>
        <v>2023</v>
      </c>
      <c r="CC161" t="str">
        <f t="shared" si="46"/>
        <v>2023-10</v>
      </c>
    </row>
    <row r="162" spans="1:81" x14ac:dyDescent="0.25">
      <c r="A162" t="s">
        <v>8</v>
      </c>
      <c r="B162" t="s">
        <v>157</v>
      </c>
      <c r="C162" t="s">
        <v>153</v>
      </c>
      <c r="D162">
        <v>98169</v>
      </c>
      <c r="E162">
        <v>1</v>
      </c>
      <c r="P162" t="s">
        <v>12</v>
      </c>
      <c r="Q162" t="s">
        <v>18</v>
      </c>
      <c r="R162">
        <v>8</v>
      </c>
      <c r="AI162" t="s">
        <v>157</v>
      </c>
      <c r="AJ162">
        <v>98169</v>
      </c>
      <c r="AK162" t="s">
        <v>100</v>
      </c>
      <c r="AL162">
        <f>COUNTIF(AI:AI,AK162)</f>
        <v>3</v>
      </c>
      <c r="AM162">
        <f>SUMIF(AI:AI,AK162,AJ:AJ)</f>
        <v>117887</v>
      </c>
      <c r="AP162" t="s">
        <v>23</v>
      </c>
      <c r="AQ162" t="s">
        <v>161</v>
      </c>
      <c r="AS162" t="s">
        <v>263</v>
      </c>
      <c r="AT162">
        <v>79719</v>
      </c>
      <c r="AU162">
        <f t="shared" si="40"/>
        <v>5</v>
      </c>
      <c r="BP162" t="s">
        <v>10</v>
      </c>
      <c r="BQ162" t="s">
        <v>416</v>
      </c>
      <c r="BR162">
        <f t="shared" si="47"/>
        <v>7</v>
      </c>
      <c r="BS162">
        <f t="shared" si="41"/>
        <v>2024</v>
      </c>
      <c r="BT162">
        <v>1</v>
      </c>
      <c r="BU162" t="str">
        <f t="shared" si="42"/>
        <v>2024-7</v>
      </c>
      <c r="BV162">
        <f t="shared" si="43"/>
        <v>0</v>
      </c>
      <c r="BX162" t="s">
        <v>8</v>
      </c>
      <c r="BY162" t="s">
        <v>153</v>
      </c>
      <c r="BZ162">
        <v>98169</v>
      </c>
      <c r="CA162">
        <f t="shared" si="44"/>
        <v>10</v>
      </c>
      <c r="CB162">
        <f t="shared" si="45"/>
        <v>2023</v>
      </c>
      <c r="CC162" t="str">
        <f t="shared" si="46"/>
        <v>2023-10</v>
      </c>
    </row>
    <row r="163" spans="1:81" x14ac:dyDescent="0.25">
      <c r="A163" t="s">
        <v>12</v>
      </c>
      <c r="B163" t="s">
        <v>18</v>
      </c>
      <c r="C163" t="s">
        <v>153</v>
      </c>
      <c r="D163">
        <v>27392</v>
      </c>
      <c r="E163">
        <v>8</v>
      </c>
      <c r="P163" t="s">
        <v>17</v>
      </c>
      <c r="Q163" t="s">
        <v>158</v>
      </c>
      <c r="R163">
        <v>9</v>
      </c>
      <c r="AI163" t="s">
        <v>18</v>
      </c>
      <c r="AJ163">
        <v>27392</v>
      </c>
      <c r="AK163" t="s">
        <v>303</v>
      </c>
      <c r="AL163">
        <f>COUNTIF(AI:AI,AK163)</f>
        <v>2</v>
      </c>
      <c r="AM163">
        <f>SUMIF(AI:AI,AK163,AJ:AJ)</f>
        <v>110569</v>
      </c>
      <c r="AP163" t="s">
        <v>12</v>
      </c>
      <c r="AQ163" t="s">
        <v>47</v>
      </c>
      <c r="AS163" t="s">
        <v>266</v>
      </c>
      <c r="AT163">
        <v>43308</v>
      </c>
      <c r="AU163">
        <f t="shared" si="40"/>
        <v>5</v>
      </c>
      <c r="BP163" t="s">
        <v>10</v>
      </c>
      <c r="BQ163" t="s">
        <v>417</v>
      </c>
      <c r="BR163">
        <f t="shared" si="47"/>
        <v>7</v>
      </c>
      <c r="BS163">
        <f t="shared" si="41"/>
        <v>2024</v>
      </c>
      <c r="BT163">
        <v>8</v>
      </c>
      <c r="BU163" t="str">
        <f t="shared" si="42"/>
        <v>2024-7</v>
      </c>
      <c r="BV163">
        <f t="shared" si="43"/>
        <v>1</v>
      </c>
      <c r="BX163" t="s">
        <v>12</v>
      </c>
      <c r="BY163" t="s">
        <v>153</v>
      </c>
      <c r="BZ163">
        <v>27392</v>
      </c>
      <c r="CA163">
        <f t="shared" si="44"/>
        <v>10</v>
      </c>
      <c r="CB163">
        <f t="shared" si="45"/>
        <v>2023</v>
      </c>
      <c r="CC163" t="str">
        <f t="shared" si="46"/>
        <v>2023-10</v>
      </c>
    </row>
    <row r="164" spans="1:81" x14ac:dyDescent="0.25">
      <c r="A164" t="s">
        <v>17</v>
      </c>
      <c r="B164" t="s">
        <v>158</v>
      </c>
      <c r="C164" t="s">
        <v>153</v>
      </c>
      <c r="D164">
        <v>87546</v>
      </c>
      <c r="E164">
        <v>9</v>
      </c>
      <c r="P164" t="s">
        <v>14</v>
      </c>
      <c r="Q164" t="s">
        <v>50</v>
      </c>
      <c r="R164">
        <v>2</v>
      </c>
      <c r="AI164" t="s">
        <v>158</v>
      </c>
      <c r="AJ164">
        <v>87546</v>
      </c>
      <c r="AK164" t="s">
        <v>203</v>
      </c>
      <c r="AL164">
        <f>COUNTIF(AI:AI,AK164)</f>
        <v>3</v>
      </c>
      <c r="AM164">
        <f>SUMIF(AI:AI,AK164,AJ:AJ)</f>
        <v>110008</v>
      </c>
      <c r="AP164" t="s">
        <v>17</v>
      </c>
      <c r="AQ164" t="s">
        <v>162</v>
      </c>
      <c r="AS164" t="s">
        <v>269</v>
      </c>
      <c r="AT164">
        <v>80818</v>
      </c>
      <c r="AU164">
        <f t="shared" si="40"/>
        <v>5</v>
      </c>
      <c r="BP164" t="s">
        <v>10</v>
      </c>
      <c r="BQ164" t="s">
        <v>418</v>
      </c>
      <c r="BR164">
        <f t="shared" si="47"/>
        <v>7</v>
      </c>
      <c r="BS164">
        <f t="shared" si="41"/>
        <v>2024</v>
      </c>
      <c r="BT164">
        <v>9</v>
      </c>
      <c r="BU164" t="str">
        <f t="shared" si="42"/>
        <v>2024-7</v>
      </c>
      <c r="BV164">
        <f t="shared" si="43"/>
        <v>2</v>
      </c>
      <c r="BX164" t="s">
        <v>17</v>
      </c>
      <c r="BY164" t="s">
        <v>153</v>
      </c>
      <c r="BZ164">
        <v>87546</v>
      </c>
      <c r="CA164">
        <f t="shared" si="44"/>
        <v>10</v>
      </c>
      <c r="CB164">
        <f t="shared" si="45"/>
        <v>2023</v>
      </c>
      <c r="CC164" t="str">
        <f t="shared" si="46"/>
        <v>2023-10</v>
      </c>
    </row>
    <row r="165" spans="1:81" x14ac:dyDescent="0.25">
      <c r="A165" t="s">
        <v>14</v>
      </c>
      <c r="B165" t="s">
        <v>50</v>
      </c>
      <c r="C165" t="s">
        <v>159</v>
      </c>
      <c r="D165">
        <v>53224</v>
      </c>
      <c r="E165">
        <v>2</v>
      </c>
      <c r="P165" t="s">
        <v>12</v>
      </c>
      <c r="Q165" t="s">
        <v>67</v>
      </c>
      <c r="R165">
        <v>6</v>
      </c>
      <c r="AI165" t="s">
        <v>50</v>
      </c>
      <c r="AJ165">
        <v>53224</v>
      </c>
      <c r="AK165" t="s">
        <v>109</v>
      </c>
      <c r="AL165">
        <f>COUNTIF(AI:AI,AK165)</f>
        <v>2</v>
      </c>
      <c r="AM165">
        <f>SUMIF(AI:AI,AK165,AJ:AJ)</f>
        <v>106781</v>
      </c>
      <c r="AP165" t="s">
        <v>5</v>
      </c>
      <c r="AQ165" t="s">
        <v>163</v>
      </c>
      <c r="AS165" t="s">
        <v>274</v>
      </c>
      <c r="AT165">
        <v>64079</v>
      </c>
      <c r="AU165">
        <f t="shared" si="40"/>
        <v>6</v>
      </c>
      <c r="BP165" t="s">
        <v>10</v>
      </c>
      <c r="BQ165" t="s">
        <v>427</v>
      </c>
      <c r="BR165">
        <f t="shared" si="47"/>
        <v>7</v>
      </c>
      <c r="BS165">
        <f t="shared" si="41"/>
        <v>2024</v>
      </c>
      <c r="BT165">
        <v>2</v>
      </c>
      <c r="BU165" t="str">
        <f t="shared" si="42"/>
        <v>2024-7</v>
      </c>
      <c r="BV165">
        <f t="shared" si="43"/>
        <v>0</v>
      </c>
      <c r="BX165" t="s">
        <v>14</v>
      </c>
      <c r="BY165" t="s">
        <v>159</v>
      </c>
      <c r="BZ165">
        <v>53224</v>
      </c>
      <c r="CA165">
        <f t="shared" si="44"/>
        <v>10</v>
      </c>
      <c r="CB165">
        <f t="shared" si="45"/>
        <v>2023</v>
      </c>
      <c r="CC165" t="str">
        <f t="shared" si="46"/>
        <v>2023-10</v>
      </c>
    </row>
    <row r="166" spans="1:81" x14ac:dyDescent="0.25">
      <c r="A166" t="s">
        <v>12</v>
      </c>
      <c r="B166" t="s">
        <v>67</v>
      </c>
      <c r="C166" t="s">
        <v>159</v>
      </c>
      <c r="D166">
        <v>50047</v>
      </c>
      <c r="E166">
        <v>6</v>
      </c>
      <c r="P166" t="s">
        <v>36</v>
      </c>
      <c r="Q166" t="s">
        <v>91</v>
      </c>
      <c r="R166">
        <v>5</v>
      </c>
      <c r="AI166" t="s">
        <v>67</v>
      </c>
      <c r="AJ166">
        <v>50047</v>
      </c>
      <c r="AK166" t="s">
        <v>236</v>
      </c>
      <c r="AL166">
        <f>COUNTIF(AI:AI,AK166)</f>
        <v>4</v>
      </c>
      <c r="AM166">
        <f>SUMIF(AI:AI,AK166,AJ:AJ)</f>
        <v>103189</v>
      </c>
      <c r="AP166" t="s">
        <v>14</v>
      </c>
      <c r="AQ166" t="s">
        <v>165</v>
      </c>
      <c r="AS166" t="s">
        <v>276</v>
      </c>
      <c r="AT166">
        <v>38822</v>
      </c>
      <c r="AU166">
        <f t="shared" si="40"/>
        <v>6</v>
      </c>
      <c r="BP166" t="s">
        <v>10</v>
      </c>
      <c r="BQ166" t="s">
        <v>431</v>
      </c>
      <c r="BR166">
        <f t="shared" si="47"/>
        <v>8</v>
      </c>
      <c r="BS166">
        <f t="shared" si="41"/>
        <v>2024</v>
      </c>
      <c r="BT166">
        <v>6</v>
      </c>
      <c r="BU166" t="str">
        <f t="shared" si="42"/>
        <v>2024-8</v>
      </c>
      <c r="BV166">
        <f t="shared" si="43"/>
        <v>0</v>
      </c>
      <c r="BX166" t="s">
        <v>12</v>
      </c>
      <c r="BY166" t="s">
        <v>159</v>
      </c>
      <c r="BZ166">
        <v>50047</v>
      </c>
      <c r="CA166">
        <f t="shared" si="44"/>
        <v>10</v>
      </c>
      <c r="CB166">
        <f t="shared" si="45"/>
        <v>2023</v>
      </c>
      <c r="CC166" t="str">
        <f t="shared" si="46"/>
        <v>2023-10</v>
      </c>
    </row>
    <row r="167" spans="1:81" x14ac:dyDescent="0.25">
      <c r="A167" t="s">
        <v>36</v>
      </c>
      <c r="B167" t="s">
        <v>91</v>
      </c>
      <c r="C167" t="s">
        <v>159</v>
      </c>
      <c r="D167">
        <v>60470</v>
      </c>
      <c r="E167">
        <v>5</v>
      </c>
      <c r="P167" t="s">
        <v>27</v>
      </c>
      <c r="Q167" t="s">
        <v>72</v>
      </c>
      <c r="R167">
        <v>6</v>
      </c>
      <c r="AI167" t="s">
        <v>91</v>
      </c>
      <c r="AJ167">
        <v>60470</v>
      </c>
      <c r="AK167" t="s">
        <v>283</v>
      </c>
      <c r="AL167">
        <f>COUNTIF(AI:AI,AK167)</f>
        <v>2</v>
      </c>
      <c r="AM167">
        <f>SUMIF(AI:AI,AK167,AJ:AJ)</f>
        <v>101880</v>
      </c>
      <c r="AP167" t="s">
        <v>10</v>
      </c>
      <c r="AQ167" t="s">
        <v>166</v>
      </c>
      <c r="AS167" t="s">
        <v>278</v>
      </c>
      <c r="AT167">
        <v>73054</v>
      </c>
      <c r="AU167">
        <f t="shared" si="40"/>
        <v>1</v>
      </c>
      <c r="BP167" t="s">
        <v>10</v>
      </c>
      <c r="BQ167" t="s">
        <v>432</v>
      </c>
      <c r="BR167">
        <f t="shared" si="47"/>
        <v>8</v>
      </c>
      <c r="BS167">
        <f t="shared" si="41"/>
        <v>2024</v>
      </c>
      <c r="BT167">
        <v>5</v>
      </c>
      <c r="BU167" t="str">
        <f t="shared" si="42"/>
        <v>2024-8</v>
      </c>
      <c r="BV167">
        <f t="shared" si="43"/>
        <v>0</v>
      </c>
      <c r="BX167" t="s">
        <v>36</v>
      </c>
      <c r="BY167" t="s">
        <v>159</v>
      </c>
      <c r="BZ167">
        <v>60470</v>
      </c>
      <c r="CA167">
        <f t="shared" si="44"/>
        <v>10</v>
      </c>
      <c r="CB167">
        <f t="shared" si="45"/>
        <v>2023</v>
      </c>
      <c r="CC167" t="str">
        <f t="shared" si="46"/>
        <v>2023-10</v>
      </c>
    </row>
    <row r="168" spans="1:81" x14ac:dyDescent="0.25">
      <c r="A168" t="s">
        <v>27</v>
      </c>
      <c r="B168" t="s">
        <v>72</v>
      </c>
      <c r="C168" t="s">
        <v>160</v>
      </c>
      <c r="D168">
        <v>88844</v>
      </c>
      <c r="E168">
        <v>6</v>
      </c>
      <c r="P168" t="s">
        <v>23</v>
      </c>
      <c r="Q168" t="s">
        <v>161</v>
      </c>
      <c r="R168">
        <v>4</v>
      </c>
      <c r="AI168" t="s">
        <v>72</v>
      </c>
      <c r="AJ168">
        <v>88844</v>
      </c>
      <c r="AK168" t="s">
        <v>155</v>
      </c>
      <c r="AL168">
        <f>COUNTIF(AI:AI,AK168)</f>
        <v>4</v>
      </c>
      <c r="AM168">
        <f>SUMIF(AI:AI,AK168,AJ:AJ)</f>
        <v>101799</v>
      </c>
      <c r="AP168" t="s">
        <v>14</v>
      </c>
      <c r="AQ168" t="s">
        <v>37</v>
      </c>
      <c r="AS168" t="s">
        <v>279</v>
      </c>
      <c r="AT168">
        <v>76727</v>
      </c>
      <c r="AU168">
        <f t="shared" si="40"/>
        <v>4</v>
      </c>
      <c r="BP168" t="s">
        <v>10</v>
      </c>
      <c r="BQ168" t="s">
        <v>432</v>
      </c>
      <c r="BR168">
        <f t="shared" si="47"/>
        <v>8</v>
      </c>
      <c r="BS168">
        <f t="shared" si="41"/>
        <v>2024</v>
      </c>
      <c r="BT168">
        <v>6</v>
      </c>
      <c r="BU168" t="str">
        <f t="shared" si="42"/>
        <v>2024-8</v>
      </c>
      <c r="BV168">
        <f t="shared" si="43"/>
        <v>0</v>
      </c>
      <c r="BX168" t="s">
        <v>27</v>
      </c>
      <c r="BY168" t="s">
        <v>160</v>
      </c>
      <c r="BZ168">
        <v>88844</v>
      </c>
      <c r="CA168">
        <f t="shared" si="44"/>
        <v>11</v>
      </c>
      <c r="CB168">
        <f t="shared" si="45"/>
        <v>2023</v>
      </c>
      <c r="CC168" t="str">
        <f t="shared" si="46"/>
        <v>2023-11</v>
      </c>
    </row>
    <row r="169" spans="1:81" x14ac:dyDescent="0.25">
      <c r="A169" t="s">
        <v>23</v>
      </c>
      <c r="B169" t="s">
        <v>161</v>
      </c>
      <c r="C169" t="s">
        <v>160</v>
      </c>
      <c r="D169">
        <v>86597</v>
      </c>
      <c r="E169">
        <v>4</v>
      </c>
      <c r="P169" t="s">
        <v>12</v>
      </c>
      <c r="Q169" t="s">
        <v>47</v>
      </c>
      <c r="R169">
        <v>7</v>
      </c>
      <c r="AI169" t="s">
        <v>161</v>
      </c>
      <c r="AJ169">
        <v>86597</v>
      </c>
      <c r="AK169" t="s">
        <v>68</v>
      </c>
      <c r="AL169">
        <f>COUNTIF(AI:AI,AK169)</f>
        <v>3</v>
      </c>
      <c r="AM169">
        <f>SUMIF(AI:AI,AK169,AJ:AJ)</f>
        <v>98721</v>
      </c>
      <c r="AP169" t="s">
        <v>27</v>
      </c>
      <c r="AQ169" t="s">
        <v>168</v>
      </c>
      <c r="AS169" t="s">
        <v>281</v>
      </c>
      <c r="AT169">
        <v>50614</v>
      </c>
      <c r="AU169">
        <f t="shared" si="40"/>
        <v>3</v>
      </c>
      <c r="BP169" t="s">
        <v>10</v>
      </c>
      <c r="BQ169" t="s">
        <v>435</v>
      </c>
      <c r="BR169">
        <f t="shared" si="47"/>
        <v>8</v>
      </c>
      <c r="BS169">
        <f t="shared" si="41"/>
        <v>2024</v>
      </c>
      <c r="BT169">
        <v>4</v>
      </c>
      <c r="BU169" t="str">
        <f t="shared" si="42"/>
        <v>2024-8</v>
      </c>
      <c r="BV169">
        <f t="shared" si="43"/>
        <v>0</v>
      </c>
      <c r="BX169" t="s">
        <v>23</v>
      </c>
      <c r="BY169" t="s">
        <v>160</v>
      </c>
      <c r="BZ169">
        <v>86597</v>
      </c>
      <c r="CA169">
        <f t="shared" si="44"/>
        <v>11</v>
      </c>
      <c r="CB169">
        <f t="shared" si="45"/>
        <v>2023</v>
      </c>
      <c r="CC169" t="str">
        <f t="shared" si="46"/>
        <v>2023-11</v>
      </c>
    </row>
    <row r="170" spans="1:81" x14ac:dyDescent="0.25">
      <c r="A170" t="s">
        <v>12</v>
      </c>
      <c r="B170" t="s">
        <v>47</v>
      </c>
      <c r="C170" t="s">
        <v>160</v>
      </c>
      <c r="D170">
        <v>28243</v>
      </c>
      <c r="E170">
        <v>7</v>
      </c>
      <c r="P170" t="s">
        <v>23</v>
      </c>
      <c r="Q170" t="s">
        <v>44</v>
      </c>
      <c r="R170">
        <v>9</v>
      </c>
      <c r="AI170" t="s">
        <v>47</v>
      </c>
      <c r="AJ170">
        <v>28243</v>
      </c>
      <c r="AK170" t="s">
        <v>294</v>
      </c>
      <c r="AL170">
        <f>COUNTIF(AI:AI,AK170)</f>
        <v>3</v>
      </c>
      <c r="AM170">
        <f>SUMIF(AI:AI,AK170,AJ:AJ)</f>
        <v>95893</v>
      </c>
      <c r="AP170" t="s">
        <v>36</v>
      </c>
      <c r="AQ170" t="s">
        <v>42</v>
      </c>
      <c r="AS170" t="s">
        <v>283</v>
      </c>
      <c r="AT170">
        <v>34416</v>
      </c>
      <c r="AU170">
        <f t="shared" si="40"/>
        <v>2</v>
      </c>
      <c r="BP170" t="s">
        <v>10</v>
      </c>
      <c r="BQ170" t="s">
        <v>438</v>
      </c>
      <c r="BR170">
        <f t="shared" si="47"/>
        <v>8</v>
      </c>
      <c r="BS170">
        <f t="shared" si="41"/>
        <v>2024</v>
      </c>
      <c r="BT170">
        <v>7</v>
      </c>
      <c r="BU170" t="str">
        <f t="shared" si="42"/>
        <v>2024-8</v>
      </c>
      <c r="BV170">
        <f t="shared" si="43"/>
        <v>1</v>
      </c>
      <c r="BX170" t="s">
        <v>12</v>
      </c>
      <c r="BY170" t="s">
        <v>160</v>
      </c>
      <c r="BZ170">
        <v>28243</v>
      </c>
      <c r="CA170">
        <f t="shared" si="44"/>
        <v>11</v>
      </c>
      <c r="CB170">
        <f t="shared" si="45"/>
        <v>2023</v>
      </c>
      <c r="CC170" t="str">
        <f t="shared" si="46"/>
        <v>2023-11</v>
      </c>
    </row>
    <row r="171" spans="1:81" x14ac:dyDescent="0.25">
      <c r="A171" t="s">
        <v>23</v>
      </c>
      <c r="B171" t="s">
        <v>44</v>
      </c>
      <c r="C171" t="s">
        <v>160</v>
      </c>
      <c r="D171">
        <v>74351</v>
      </c>
      <c r="E171">
        <v>9</v>
      </c>
      <c r="P171" t="s">
        <v>17</v>
      </c>
      <c r="Q171" t="s">
        <v>162</v>
      </c>
      <c r="R171">
        <v>5</v>
      </c>
      <c r="AI171" t="s">
        <v>44</v>
      </c>
      <c r="AJ171">
        <v>74351</v>
      </c>
      <c r="AK171" t="s">
        <v>168</v>
      </c>
      <c r="AL171">
        <f>COUNTIF(AI:AI,AK171)</f>
        <v>3</v>
      </c>
      <c r="AM171">
        <f>SUMIF(AI:AI,AK171,AJ:AJ)</f>
        <v>93199</v>
      </c>
      <c r="AP171" t="s">
        <v>33</v>
      </c>
      <c r="AQ171" t="s">
        <v>169</v>
      </c>
      <c r="AS171" t="s">
        <v>286</v>
      </c>
      <c r="AT171">
        <v>43744</v>
      </c>
      <c r="AU171">
        <f t="shared" si="40"/>
        <v>4</v>
      </c>
      <c r="BP171" t="s">
        <v>10</v>
      </c>
      <c r="BQ171" t="s">
        <v>441</v>
      </c>
      <c r="BR171">
        <f t="shared" si="47"/>
        <v>8</v>
      </c>
      <c r="BS171">
        <f t="shared" si="41"/>
        <v>2024</v>
      </c>
      <c r="BT171">
        <v>9</v>
      </c>
      <c r="BU171" t="str">
        <f t="shared" si="42"/>
        <v>2024-8</v>
      </c>
      <c r="BV171">
        <f t="shared" si="43"/>
        <v>2</v>
      </c>
      <c r="BX171" t="s">
        <v>23</v>
      </c>
      <c r="BY171" t="s">
        <v>160</v>
      </c>
      <c r="BZ171">
        <v>74351</v>
      </c>
      <c r="CA171">
        <f t="shared" si="44"/>
        <v>11</v>
      </c>
      <c r="CB171">
        <f t="shared" si="45"/>
        <v>2023</v>
      </c>
      <c r="CC171" t="str">
        <f t="shared" si="46"/>
        <v>2023-11</v>
      </c>
    </row>
    <row r="172" spans="1:81" x14ac:dyDescent="0.25">
      <c r="A172" t="s">
        <v>17</v>
      </c>
      <c r="B172" t="s">
        <v>162</v>
      </c>
      <c r="C172" t="s">
        <v>160</v>
      </c>
      <c r="D172">
        <v>46859</v>
      </c>
      <c r="E172">
        <v>5</v>
      </c>
      <c r="P172" t="s">
        <v>5</v>
      </c>
      <c r="Q172" t="s">
        <v>163</v>
      </c>
      <c r="R172">
        <v>1</v>
      </c>
      <c r="AI172" t="s">
        <v>162</v>
      </c>
      <c r="AJ172">
        <v>46859</v>
      </c>
      <c r="AK172" t="s">
        <v>392</v>
      </c>
      <c r="AL172">
        <f>COUNTIF(AI:AI,AK172)</f>
        <v>2</v>
      </c>
      <c r="AM172">
        <f>SUMIF(AI:AI,AK172,AJ:AJ)</f>
        <v>91759</v>
      </c>
      <c r="AP172" t="s">
        <v>23</v>
      </c>
      <c r="AQ172" t="s">
        <v>35</v>
      </c>
      <c r="AS172" t="s">
        <v>287</v>
      </c>
      <c r="AT172">
        <v>89651</v>
      </c>
      <c r="AU172">
        <f t="shared" si="40"/>
        <v>4</v>
      </c>
      <c r="BP172" t="s">
        <v>10</v>
      </c>
      <c r="BQ172" t="s">
        <v>441</v>
      </c>
      <c r="BR172">
        <f t="shared" si="47"/>
        <v>8</v>
      </c>
      <c r="BS172">
        <f t="shared" si="41"/>
        <v>2024</v>
      </c>
      <c r="BT172">
        <v>5</v>
      </c>
      <c r="BU172" t="str">
        <f t="shared" si="42"/>
        <v>2024-8</v>
      </c>
      <c r="BV172">
        <f t="shared" si="43"/>
        <v>0</v>
      </c>
      <c r="BX172" t="s">
        <v>17</v>
      </c>
      <c r="BY172" t="s">
        <v>160</v>
      </c>
      <c r="BZ172">
        <v>46859</v>
      </c>
      <c r="CA172">
        <f t="shared" si="44"/>
        <v>11</v>
      </c>
      <c r="CB172">
        <f t="shared" si="45"/>
        <v>2023</v>
      </c>
      <c r="CC172" t="str">
        <f t="shared" si="46"/>
        <v>2023-11</v>
      </c>
    </row>
    <row r="173" spans="1:81" x14ac:dyDescent="0.25">
      <c r="A173" t="s">
        <v>5</v>
      </c>
      <c r="B173" t="s">
        <v>163</v>
      </c>
      <c r="C173" t="s">
        <v>164</v>
      </c>
      <c r="D173">
        <v>82423</v>
      </c>
      <c r="E173">
        <v>1</v>
      </c>
      <c r="P173" t="s">
        <v>14</v>
      </c>
      <c r="Q173" t="s">
        <v>165</v>
      </c>
      <c r="R173">
        <v>7</v>
      </c>
      <c r="AI173" t="s">
        <v>163</v>
      </c>
      <c r="AJ173">
        <v>82423</v>
      </c>
      <c r="AK173" t="s">
        <v>228</v>
      </c>
      <c r="AL173">
        <f>COUNTIF(AI:AI,AK173)</f>
        <v>2</v>
      </c>
      <c r="AM173">
        <f>SUMIF(AI:AI,AK173,AJ:AJ)</f>
        <v>91313</v>
      </c>
      <c r="AP173" t="s">
        <v>5</v>
      </c>
      <c r="AQ173" t="s">
        <v>171</v>
      </c>
      <c r="AS173" t="s">
        <v>290</v>
      </c>
      <c r="AT173">
        <v>86245</v>
      </c>
      <c r="AU173">
        <f t="shared" si="40"/>
        <v>3</v>
      </c>
      <c r="BP173" t="s">
        <v>10</v>
      </c>
      <c r="BQ173" t="s">
        <v>443</v>
      </c>
      <c r="BR173">
        <f t="shared" si="47"/>
        <v>8</v>
      </c>
      <c r="BS173">
        <f t="shared" si="41"/>
        <v>2024</v>
      </c>
      <c r="BT173">
        <v>1</v>
      </c>
      <c r="BU173" t="str">
        <f t="shared" si="42"/>
        <v>2024-8</v>
      </c>
      <c r="BV173">
        <f t="shared" si="43"/>
        <v>0</v>
      </c>
      <c r="BX173" t="s">
        <v>5</v>
      </c>
      <c r="BY173" t="s">
        <v>164</v>
      </c>
      <c r="BZ173">
        <v>82423</v>
      </c>
      <c r="CA173">
        <f t="shared" si="44"/>
        <v>11</v>
      </c>
      <c r="CB173">
        <f t="shared" si="45"/>
        <v>2023</v>
      </c>
      <c r="CC173" t="str">
        <f t="shared" si="46"/>
        <v>2023-11</v>
      </c>
    </row>
    <row r="174" spans="1:81" x14ac:dyDescent="0.25">
      <c r="A174" t="s">
        <v>14</v>
      </c>
      <c r="B174" t="s">
        <v>165</v>
      </c>
      <c r="C174" t="s">
        <v>164</v>
      </c>
      <c r="D174">
        <v>12159</v>
      </c>
      <c r="E174">
        <v>7</v>
      </c>
      <c r="P174" t="s">
        <v>10</v>
      </c>
      <c r="Q174" t="s">
        <v>166</v>
      </c>
      <c r="R174">
        <v>1</v>
      </c>
      <c r="AI174" t="s">
        <v>165</v>
      </c>
      <c r="AJ174">
        <v>12159</v>
      </c>
      <c r="AK174" t="s">
        <v>154</v>
      </c>
      <c r="AL174">
        <f>COUNTIF(AI:AI,AK174)</f>
        <v>1</v>
      </c>
      <c r="AM174">
        <f>SUMIF(AI:AI,AK174,AJ:AJ)</f>
        <v>90135</v>
      </c>
      <c r="AP174" t="s">
        <v>32</v>
      </c>
      <c r="AQ174" t="s">
        <v>101</v>
      </c>
      <c r="AS174" t="s">
        <v>294</v>
      </c>
      <c r="AT174">
        <v>11526</v>
      </c>
      <c r="AU174">
        <f t="shared" si="40"/>
        <v>3</v>
      </c>
      <c r="BP174" t="s">
        <v>10</v>
      </c>
      <c r="BQ174" t="s">
        <v>446</v>
      </c>
      <c r="BR174">
        <f t="shared" si="47"/>
        <v>8</v>
      </c>
      <c r="BS174">
        <f t="shared" si="41"/>
        <v>2024</v>
      </c>
      <c r="BT174">
        <v>7</v>
      </c>
      <c r="BU174" t="str">
        <f t="shared" si="42"/>
        <v>2024-8</v>
      </c>
      <c r="BV174">
        <f t="shared" si="43"/>
        <v>1</v>
      </c>
      <c r="BX174" t="s">
        <v>14</v>
      </c>
      <c r="BY174" t="s">
        <v>164</v>
      </c>
      <c r="BZ174">
        <v>12159</v>
      </c>
      <c r="CA174">
        <f t="shared" si="44"/>
        <v>11</v>
      </c>
      <c r="CB174">
        <f t="shared" si="45"/>
        <v>2023</v>
      </c>
      <c r="CC174" t="str">
        <f t="shared" si="46"/>
        <v>2023-11</v>
      </c>
    </row>
    <row r="175" spans="1:81" x14ac:dyDescent="0.25">
      <c r="A175" t="s">
        <v>10</v>
      </c>
      <c r="B175" t="s">
        <v>166</v>
      </c>
      <c r="C175" t="s">
        <v>167</v>
      </c>
      <c r="D175">
        <v>18544</v>
      </c>
      <c r="E175">
        <v>1</v>
      </c>
      <c r="P175" t="s">
        <v>14</v>
      </c>
      <c r="Q175" t="s">
        <v>37</v>
      </c>
      <c r="R175">
        <v>8</v>
      </c>
      <c r="AI175" t="s">
        <v>166</v>
      </c>
      <c r="AJ175">
        <v>18544</v>
      </c>
      <c r="AK175" t="s">
        <v>225</v>
      </c>
      <c r="AL175">
        <f>COUNTIF(AI:AI,AK175)</f>
        <v>2</v>
      </c>
      <c r="AM175">
        <f>SUMIF(AI:AI,AK175,AJ:AJ)</f>
        <v>89932</v>
      </c>
      <c r="AP175" t="s">
        <v>14</v>
      </c>
      <c r="AQ175" t="s">
        <v>147</v>
      </c>
      <c r="AS175" t="s">
        <v>296</v>
      </c>
      <c r="AT175">
        <v>99692</v>
      </c>
      <c r="AU175">
        <f t="shared" si="40"/>
        <v>6</v>
      </c>
      <c r="BP175" t="s">
        <v>10</v>
      </c>
      <c r="BQ175" t="s">
        <v>446</v>
      </c>
      <c r="BR175">
        <f t="shared" si="47"/>
        <v>8</v>
      </c>
      <c r="BS175">
        <f t="shared" si="41"/>
        <v>2024</v>
      </c>
      <c r="BT175">
        <v>1</v>
      </c>
      <c r="BU175" t="str">
        <f t="shared" si="42"/>
        <v>2024-8</v>
      </c>
      <c r="BV175">
        <f t="shared" si="43"/>
        <v>0</v>
      </c>
      <c r="BX175" t="s">
        <v>10</v>
      </c>
      <c r="BY175" t="s">
        <v>167</v>
      </c>
      <c r="BZ175">
        <v>18544</v>
      </c>
      <c r="CA175">
        <f t="shared" si="44"/>
        <v>11</v>
      </c>
      <c r="CB175">
        <f t="shared" si="45"/>
        <v>2023</v>
      </c>
      <c r="CC175" t="str">
        <f t="shared" si="46"/>
        <v>2023-11</v>
      </c>
    </row>
    <row r="176" spans="1:81" x14ac:dyDescent="0.25">
      <c r="A176" t="s">
        <v>14</v>
      </c>
      <c r="B176" t="s">
        <v>37</v>
      </c>
      <c r="C176" t="s">
        <v>167</v>
      </c>
      <c r="D176">
        <v>36866</v>
      </c>
      <c r="E176">
        <v>8</v>
      </c>
      <c r="P176" t="s">
        <v>27</v>
      </c>
      <c r="Q176" t="s">
        <v>168</v>
      </c>
      <c r="R176">
        <v>10</v>
      </c>
      <c r="AI176" t="s">
        <v>37</v>
      </c>
      <c r="AJ176">
        <v>36866</v>
      </c>
      <c r="AK176" t="s">
        <v>393</v>
      </c>
      <c r="AL176">
        <f>COUNTIF(AI:AI,AK176)</f>
        <v>1</v>
      </c>
      <c r="AM176">
        <f>SUMIF(AI:AI,AK176,AJ:AJ)</f>
        <v>87879</v>
      </c>
      <c r="AP176" t="s">
        <v>8</v>
      </c>
      <c r="AQ176" t="s">
        <v>34</v>
      </c>
      <c r="AS176" t="s">
        <v>297</v>
      </c>
      <c r="AT176">
        <v>15953</v>
      </c>
      <c r="AU176">
        <f t="shared" si="40"/>
        <v>1</v>
      </c>
      <c r="BP176" t="s">
        <v>14</v>
      </c>
      <c r="BQ176" t="s">
        <v>16</v>
      </c>
      <c r="BR176">
        <f t="shared" si="47"/>
        <v>9</v>
      </c>
      <c r="BS176">
        <f t="shared" si="41"/>
        <v>2023</v>
      </c>
      <c r="BT176">
        <v>8</v>
      </c>
      <c r="BU176" t="str">
        <f t="shared" si="42"/>
        <v>2023-9</v>
      </c>
      <c r="BV176">
        <f t="shared" si="43"/>
        <v>1</v>
      </c>
      <c r="BX176" t="s">
        <v>14</v>
      </c>
      <c r="BY176" t="s">
        <v>167</v>
      </c>
      <c r="BZ176">
        <v>36866</v>
      </c>
      <c r="CA176">
        <f t="shared" si="44"/>
        <v>11</v>
      </c>
      <c r="CB176">
        <f t="shared" si="45"/>
        <v>2023</v>
      </c>
      <c r="CC176" t="str">
        <f t="shared" si="46"/>
        <v>2023-11</v>
      </c>
    </row>
    <row r="177" spans="1:81" x14ac:dyDescent="0.25">
      <c r="A177" t="s">
        <v>27</v>
      </c>
      <c r="B177" t="s">
        <v>168</v>
      </c>
      <c r="C177" t="s">
        <v>167</v>
      </c>
      <c r="D177">
        <v>22988</v>
      </c>
      <c r="E177">
        <v>10</v>
      </c>
      <c r="P177" t="s">
        <v>36</v>
      </c>
      <c r="Q177" t="s">
        <v>42</v>
      </c>
      <c r="R177">
        <v>7</v>
      </c>
      <c r="AI177" t="s">
        <v>168</v>
      </c>
      <c r="AJ177">
        <v>22988</v>
      </c>
      <c r="AK177" t="s">
        <v>63</v>
      </c>
      <c r="AL177">
        <f>COUNTIF(AI:AI,AK177)</f>
        <v>1</v>
      </c>
      <c r="AM177">
        <f>SUMIF(AI:AI,AK177,AJ:AJ)</f>
        <v>86606</v>
      </c>
      <c r="AP177" t="s">
        <v>36</v>
      </c>
      <c r="AQ177" t="s">
        <v>168</v>
      </c>
      <c r="AS177" t="s">
        <v>303</v>
      </c>
      <c r="AT177">
        <v>81393</v>
      </c>
      <c r="AU177">
        <f t="shared" si="40"/>
        <v>2</v>
      </c>
      <c r="BP177" t="s">
        <v>14</v>
      </c>
      <c r="BQ177" t="s">
        <v>43</v>
      </c>
      <c r="BR177">
        <f t="shared" si="47"/>
        <v>9</v>
      </c>
      <c r="BS177">
        <f t="shared" si="41"/>
        <v>2023</v>
      </c>
      <c r="BT177">
        <v>10</v>
      </c>
      <c r="BU177" t="str">
        <f t="shared" si="42"/>
        <v>2023-9</v>
      </c>
      <c r="BV177">
        <f t="shared" si="43"/>
        <v>2</v>
      </c>
      <c r="BX177" t="s">
        <v>27</v>
      </c>
      <c r="BY177" t="s">
        <v>167</v>
      </c>
      <c r="BZ177">
        <v>22988</v>
      </c>
      <c r="CA177">
        <f t="shared" si="44"/>
        <v>11</v>
      </c>
      <c r="CB177">
        <f t="shared" si="45"/>
        <v>2023</v>
      </c>
      <c r="CC177" t="str">
        <f t="shared" si="46"/>
        <v>2023-11</v>
      </c>
    </row>
    <row r="178" spans="1:81" x14ac:dyDescent="0.25">
      <c r="A178" t="s">
        <v>36</v>
      </c>
      <c r="B178" t="s">
        <v>42</v>
      </c>
      <c r="C178" t="s">
        <v>167</v>
      </c>
      <c r="D178">
        <v>46700</v>
      </c>
      <c r="E178">
        <v>7</v>
      </c>
      <c r="P178" t="s">
        <v>33</v>
      </c>
      <c r="Q178" t="s">
        <v>169</v>
      </c>
      <c r="R178">
        <v>8</v>
      </c>
      <c r="AI178" t="s">
        <v>42</v>
      </c>
      <c r="AJ178">
        <v>46700</v>
      </c>
      <c r="AK178" t="s">
        <v>206</v>
      </c>
      <c r="AL178">
        <f>COUNTIF(AI:AI,AK178)</f>
        <v>2</v>
      </c>
      <c r="AM178">
        <f>SUMIF(AI:AI,AK178,AJ:AJ)</f>
        <v>85471</v>
      </c>
      <c r="AP178" t="s">
        <v>27</v>
      </c>
      <c r="AQ178" t="s">
        <v>144</v>
      </c>
      <c r="AS178" t="s">
        <v>307</v>
      </c>
      <c r="AT178">
        <v>57668</v>
      </c>
      <c r="AU178">
        <f t="shared" si="40"/>
        <v>4</v>
      </c>
      <c r="BP178" t="s">
        <v>14</v>
      </c>
      <c r="BQ178" t="s">
        <v>43</v>
      </c>
      <c r="BR178">
        <f t="shared" si="47"/>
        <v>9</v>
      </c>
      <c r="BS178">
        <f t="shared" si="41"/>
        <v>2023</v>
      </c>
      <c r="BT178">
        <v>7</v>
      </c>
      <c r="BU178" t="str">
        <f t="shared" si="42"/>
        <v>2023-9</v>
      </c>
      <c r="BV178">
        <f t="shared" si="43"/>
        <v>1</v>
      </c>
      <c r="BX178" t="s">
        <v>36</v>
      </c>
      <c r="BY178" t="s">
        <v>167</v>
      </c>
      <c r="BZ178">
        <v>46700</v>
      </c>
      <c r="CA178">
        <f t="shared" si="44"/>
        <v>11</v>
      </c>
      <c r="CB178">
        <f t="shared" si="45"/>
        <v>2023</v>
      </c>
      <c r="CC178" t="str">
        <f t="shared" si="46"/>
        <v>2023-11</v>
      </c>
    </row>
    <row r="179" spans="1:81" x14ac:dyDescent="0.25">
      <c r="A179" t="s">
        <v>33</v>
      </c>
      <c r="B179" t="s">
        <v>169</v>
      </c>
      <c r="C179" t="s">
        <v>170</v>
      </c>
      <c r="D179">
        <v>60970</v>
      </c>
      <c r="E179">
        <v>8</v>
      </c>
      <c r="P179" t="s">
        <v>23</v>
      </c>
      <c r="Q179" t="s">
        <v>35</v>
      </c>
      <c r="R179">
        <v>6</v>
      </c>
      <c r="AI179" t="s">
        <v>169</v>
      </c>
      <c r="AJ179">
        <v>60970</v>
      </c>
      <c r="AK179" t="s">
        <v>111</v>
      </c>
      <c r="AL179">
        <f>COUNTIF(AI:AI,AK179)</f>
        <v>4</v>
      </c>
      <c r="AM179">
        <f>SUMIF(AI:AI,AK179,AJ:AJ)</f>
        <v>82528</v>
      </c>
      <c r="AP179" t="s">
        <v>12</v>
      </c>
      <c r="AQ179" t="s">
        <v>88</v>
      </c>
      <c r="AS179" t="s">
        <v>308</v>
      </c>
      <c r="AT179">
        <v>77177</v>
      </c>
      <c r="AU179">
        <f t="shared" si="40"/>
        <v>1</v>
      </c>
      <c r="BP179" t="s">
        <v>14</v>
      </c>
      <c r="BQ179" t="s">
        <v>59</v>
      </c>
      <c r="BR179">
        <f t="shared" si="47"/>
        <v>9</v>
      </c>
      <c r="BS179">
        <f t="shared" si="41"/>
        <v>2023</v>
      </c>
      <c r="BT179">
        <v>8</v>
      </c>
      <c r="BU179" t="str">
        <f t="shared" si="42"/>
        <v>2023-9</v>
      </c>
      <c r="BV179">
        <f t="shared" si="43"/>
        <v>1</v>
      </c>
      <c r="BX179" t="s">
        <v>33</v>
      </c>
      <c r="BY179" t="s">
        <v>170</v>
      </c>
      <c r="BZ179">
        <v>60970</v>
      </c>
      <c r="CA179">
        <f t="shared" si="44"/>
        <v>11</v>
      </c>
      <c r="CB179">
        <f t="shared" si="45"/>
        <v>2023</v>
      </c>
      <c r="CC179" t="str">
        <f t="shared" si="46"/>
        <v>2023-11</v>
      </c>
    </row>
    <row r="180" spans="1:81" x14ac:dyDescent="0.25">
      <c r="A180" t="s">
        <v>23</v>
      </c>
      <c r="B180" t="s">
        <v>35</v>
      </c>
      <c r="C180" t="s">
        <v>170</v>
      </c>
      <c r="D180">
        <v>78696</v>
      </c>
      <c r="E180">
        <v>6</v>
      </c>
      <c r="P180" t="s">
        <v>5</v>
      </c>
      <c r="Q180" t="s">
        <v>171</v>
      </c>
      <c r="R180">
        <v>7</v>
      </c>
      <c r="AI180" t="s">
        <v>35</v>
      </c>
      <c r="AJ180">
        <v>78696</v>
      </c>
      <c r="AK180" t="s">
        <v>163</v>
      </c>
      <c r="AL180">
        <f>COUNTIF(AI:AI,AK180)</f>
        <v>1</v>
      </c>
      <c r="AM180">
        <f>SUMIF(AI:AI,AK180,AJ:AJ)</f>
        <v>82423</v>
      </c>
      <c r="AP180" t="s">
        <v>8</v>
      </c>
      <c r="AQ180" t="s">
        <v>129</v>
      </c>
      <c r="AS180" t="s">
        <v>311</v>
      </c>
      <c r="AT180">
        <v>68339</v>
      </c>
      <c r="AU180">
        <f t="shared" si="40"/>
        <v>1</v>
      </c>
      <c r="BP180" t="s">
        <v>14</v>
      </c>
      <c r="BQ180" t="s">
        <v>73</v>
      </c>
      <c r="BR180">
        <f t="shared" si="47"/>
        <v>9</v>
      </c>
      <c r="BS180">
        <f t="shared" si="41"/>
        <v>2023</v>
      </c>
      <c r="BT180">
        <v>6</v>
      </c>
      <c r="BU180" t="str">
        <f t="shared" si="42"/>
        <v>2023-9</v>
      </c>
      <c r="BV180">
        <f t="shared" si="43"/>
        <v>0</v>
      </c>
      <c r="BX180" t="s">
        <v>23</v>
      </c>
      <c r="BY180" t="s">
        <v>170</v>
      </c>
      <c r="BZ180">
        <v>78696</v>
      </c>
      <c r="CA180">
        <f t="shared" si="44"/>
        <v>11</v>
      </c>
      <c r="CB180">
        <f t="shared" si="45"/>
        <v>2023</v>
      </c>
      <c r="CC180" t="str">
        <f t="shared" si="46"/>
        <v>2023-11</v>
      </c>
    </row>
    <row r="181" spans="1:81" x14ac:dyDescent="0.25">
      <c r="A181" t="s">
        <v>5</v>
      </c>
      <c r="B181" t="s">
        <v>171</v>
      </c>
      <c r="C181" t="s">
        <v>170</v>
      </c>
      <c r="D181">
        <v>54889</v>
      </c>
      <c r="E181">
        <v>7</v>
      </c>
      <c r="P181" t="s">
        <v>32</v>
      </c>
      <c r="Q181" t="s">
        <v>101</v>
      </c>
      <c r="R181">
        <v>7</v>
      </c>
      <c r="AI181" t="s">
        <v>171</v>
      </c>
      <c r="AJ181">
        <v>54889</v>
      </c>
      <c r="AK181" t="s">
        <v>139</v>
      </c>
      <c r="AL181">
        <f>COUNTIF(AI:AI,AK181)</f>
        <v>2</v>
      </c>
      <c r="AM181">
        <f>SUMIF(AI:AI,AK181,AJ:AJ)</f>
        <v>80433</v>
      </c>
      <c r="AP181" t="s">
        <v>33</v>
      </c>
      <c r="AQ181" t="s">
        <v>173</v>
      </c>
      <c r="AS181" t="s">
        <v>316</v>
      </c>
      <c r="AT181">
        <v>47710</v>
      </c>
      <c r="AU181">
        <f t="shared" si="40"/>
        <v>2</v>
      </c>
      <c r="BP181" t="s">
        <v>14</v>
      </c>
      <c r="BQ181" t="s">
        <v>80</v>
      </c>
      <c r="BR181">
        <f t="shared" si="47"/>
        <v>9</v>
      </c>
      <c r="BS181">
        <f t="shared" si="41"/>
        <v>2023</v>
      </c>
      <c r="BT181">
        <v>7</v>
      </c>
      <c r="BU181" t="str">
        <f t="shared" si="42"/>
        <v>2023-9</v>
      </c>
      <c r="BV181">
        <f t="shared" si="43"/>
        <v>1</v>
      </c>
      <c r="BX181" t="s">
        <v>5</v>
      </c>
      <c r="BY181" t="s">
        <v>170</v>
      </c>
      <c r="BZ181">
        <v>54889</v>
      </c>
      <c r="CA181">
        <f t="shared" si="44"/>
        <v>11</v>
      </c>
      <c r="CB181">
        <f t="shared" si="45"/>
        <v>2023</v>
      </c>
      <c r="CC181" t="str">
        <f t="shared" si="46"/>
        <v>2023-11</v>
      </c>
    </row>
    <row r="182" spans="1:81" x14ac:dyDescent="0.25">
      <c r="A182" t="s">
        <v>32</v>
      </c>
      <c r="B182" t="s">
        <v>101</v>
      </c>
      <c r="C182" t="s">
        <v>170</v>
      </c>
      <c r="D182">
        <v>19972</v>
      </c>
      <c r="E182">
        <v>7</v>
      </c>
      <c r="P182" t="s">
        <v>14</v>
      </c>
      <c r="Q182" t="s">
        <v>147</v>
      </c>
      <c r="R182">
        <v>8</v>
      </c>
      <c r="AI182" t="s">
        <v>101</v>
      </c>
      <c r="AJ182">
        <v>19972</v>
      </c>
      <c r="AK182" t="s">
        <v>226</v>
      </c>
      <c r="AL182">
        <f>COUNTIF(AI:AI,AK182)</f>
        <v>1</v>
      </c>
      <c r="AM182">
        <f>SUMIF(AI:AI,AK182,AJ:AJ)</f>
        <v>79157</v>
      </c>
      <c r="AP182" t="s">
        <v>32</v>
      </c>
      <c r="AQ182" t="s">
        <v>174</v>
      </c>
      <c r="AS182" t="s">
        <v>319</v>
      </c>
      <c r="AT182">
        <v>96206</v>
      </c>
      <c r="AU182">
        <f t="shared" si="40"/>
        <v>5</v>
      </c>
      <c r="BP182" t="s">
        <v>14</v>
      </c>
      <c r="BQ182" t="s">
        <v>86</v>
      </c>
      <c r="BR182">
        <f t="shared" si="47"/>
        <v>9</v>
      </c>
      <c r="BS182">
        <f t="shared" si="41"/>
        <v>2023</v>
      </c>
      <c r="BT182">
        <v>7</v>
      </c>
      <c r="BU182" t="str">
        <f t="shared" si="42"/>
        <v>2023-9</v>
      </c>
      <c r="BV182">
        <f t="shared" si="43"/>
        <v>1</v>
      </c>
      <c r="BX182" t="s">
        <v>32</v>
      </c>
      <c r="BY182" t="s">
        <v>170</v>
      </c>
      <c r="BZ182">
        <v>19972</v>
      </c>
      <c r="CA182">
        <f t="shared" si="44"/>
        <v>11</v>
      </c>
      <c r="CB182">
        <f t="shared" si="45"/>
        <v>2023</v>
      </c>
      <c r="CC182" t="str">
        <f t="shared" si="46"/>
        <v>2023-11</v>
      </c>
    </row>
    <row r="183" spans="1:81" x14ac:dyDescent="0.25">
      <c r="A183" t="s">
        <v>14</v>
      </c>
      <c r="B183" t="s">
        <v>147</v>
      </c>
      <c r="C183" t="s">
        <v>170</v>
      </c>
      <c r="D183">
        <v>58737</v>
      </c>
      <c r="E183">
        <v>8</v>
      </c>
      <c r="P183" t="s">
        <v>8</v>
      </c>
      <c r="Q183" t="s">
        <v>34</v>
      </c>
      <c r="R183">
        <v>8</v>
      </c>
      <c r="AI183" t="s">
        <v>147</v>
      </c>
      <c r="AJ183">
        <v>58737</v>
      </c>
      <c r="AK183" t="s">
        <v>151</v>
      </c>
      <c r="AL183">
        <f>COUNTIF(AI:AI,AK183)</f>
        <v>2</v>
      </c>
      <c r="AM183">
        <f>SUMIF(AI:AI,AK183,AJ:AJ)</f>
        <v>77347</v>
      </c>
      <c r="AP183" t="s">
        <v>36</v>
      </c>
      <c r="AQ183" t="s">
        <v>175</v>
      </c>
      <c r="AS183" t="s">
        <v>325</v>
      </c>
      <c r="AT183">
        <v>52312</v>
      </c>
      <c r="AU183">
        <f t="shared" si="40"/>
        <v>3</v>
      </c>
      <c r="BP183" t="s">
        <v>14</v>
      </c>
      <c r="BQ183" t="s">
        <v>86</v>
      </c>
      <c r="BR183">
        <f t="shared" si="47"/>
        <v>9</v>
      </c>
      <c r="BS183">
        <f t="shared" si="41"/>
        <v>2023</v>
      </c>
      <c r="BT183">
        <v>8</v>
      </c>
      <c r="BU183" t="str">
        <f t="shared" si="42"/>
        <v>2023-9</v>
      </c>
      <c r="BV183">
        <f t="shared" si="43"/>
        <v>1</v>
      </c>
      <c r="BX183" t="s">
        <v>14</v>
      </c>
      <c r="BY183" t="s">
        <v>170</v>
      </c>
      <c r="BZ183">
        <v>58737</v>
      </c>
      <c r="CA183">
        <f t="shared" si="44"/>
        <v>11</v>
      </c>
      <c r="CB183">
        <f t="shared" si="45"/>
        <v>2023</v>
      </c>
      <c r="CC183" t="str">
        <f t="shared" si="46"/>
        <v>2023-11</v>
      </c>
    </row>
    <row r="184" spans="1:81" x14ac:dyDescent="0.25">
      <c r="A184" t="s">
        <v>8</v>
      </c>
      <c r="B184" t="s">
        <v>34</v>
      </c>
      <c r="C184" t="s">
        <v>170</v>
      </c>
      <c r="D184">
        <v>91657</v>
      </c>
      <c r="E184">
        <v>8</v>
      </c>
      <c r="P184" t="s">
        <v>36</v>
      </c>
      <c r="Q184" t="s">
        <v>168</v>
      </c>
      <c r="R184">
        <v>1</v>
      </c>
      <c r="AI184" t="s">
        <v>34</v>
      </c>
      <c r="AJ184">
        <v>91657</v>
      </c>
      <c r="AK184" t="s">
        <v>369</v>
      </c>
      <c r="AL184">
        <f>COUNTIF(AI:AI,AK184)</f>
        <v>2</v>
      </c>
      <c r="AM184">
        <f>SUMIF(AI:AI,AK184,AJ:AJ)</f>
        <v>76974</v>
      </c>
      <c r="AP184" t="s">
        <v>36</v>
      </c>
      <c r="AQ184" t="s">
        <v>53</v>
      </c>
      <c r="AS184" t="s">
        <v>327</v>
      </c>
      <c r="AT184">
        <v>45847</v>
      </c>
      <c r="AU184">
        <f t="shared" si="40"/>
        <v>5</v>
      </c>
      <c r="BP184" t="s">
        <v>14</v>
      </c>
      <c r="BQ184" t="s">
        <v>94</v>
      </c>
      <c r="BR184">
        <f t="shared" si="47"/>
        <v>9</v>
      </c>
      <c r="BS184">
        <f t="shared" si="41"/>
        <v>2023</v>
      </c>
      <c r="BT184">
        <v>8</v>
      </c>
      <c r="BU184" t="str">
        <f t="shared" si="42"/>
        <v>2023-9</v>
      </c>
      <c r="BV184">
        <f t="shared" si="43"/>
        <v>1</v>
      </c>
      <c r="BX184" t="s">
        <v>8</v>
      </c>
      <c r="BY184" t="s">
        <v>170</v>
      </c>
      <c r="BZ184">
        <v>91657</v>
      </c>
      <c r="CA184">
        <f t="shared" si="44"/>
        <v>11</v>
      </c>
      <c r="CB184">
        <f t="shared" si="45"/>
        <v>2023</v>
      </c>
      <c r="CC184" t="str">
        <f t="shared" si="46"/>
        <v>2023-11</v>
      </c>
    </row>
    <row r="185" spans="1:81" x14ac:dyDescent="0.25">
      <c r="A185" t="s">
        <v>36</v>
      </c>
      <c r="B185" t="s">
        <v>168</v>
      </c>
      <c r="C185" t="s">
        <v>172</v>
      </c>
      <c r="D185">
        <v>53810</v>
      </c>
      <c r="E185">
        <v>1</v>
      </c>
      <c r="P185" t="s">
        <v>27</v>
      </c>
      <c r="Q185" t="s">
        <v>144</v>
      </c>
      <c r="R185">
        <v>7</v>
      </c>
      <c r="AI185" t="s">
        <v>168</v>
      </c>
      <c r="AJ185">
        <v>53810</v>
      </c>
      <c r="AK185" t="s">
        <v>278</v>
      </c>
      <c r="AL185">
        <f>COUNTIF(AI:AI,AK185)</f>
        <v>1</v>
      </c>
      <c r="AM185">
        <f>SUMIF(AI:AI,AK185,AJ:AJ)</f>
        <v>73054</v>
      </c>
      <c r="AP185" t="s">
        <v>20</v>
      </c>
      <c r="AQ185" t="s">
        <v>25</v>
      </c>
      <c r="AS185" t="s">
        <v>334</v>
      </c>
      <c r="AT185">
        <v>26311</v>
      </c>
      <c r="AU185">
        <f t="shared" si="40"/>
        <v>3</v>
      </c>
      <c r="BP185" t="s">
        <v>14</v>
      </c>
      <c r="BQ185" t="s">
        <v>99</v>
      </c>
      <c r="BR185">
        <f t="shared" si="47"/>
        <v>9</v>
      </c>
      <c r="BS185">
        <f t="shared" si="41"/>
        <v>2023</v>
      </c>
      <c r="BT185">
        <v>1</v>
      </c>
      <c r="BU185" t="str">
        <f t="shared" si="42"/>
        <v>2023-9</v>
      </c>
      <c r="BV185">
        <f t="shared" si="43"/>
        <v>0</v>
      </c>
      <c r="BX185" t="s">
        <v>36</v>
      </c>
      <c r="BY185" t="s">
        <v>172</v>
      </c>
      <c r="BZ185">
        <v>53810</v>
      </c>
      <c r="CA185">
        <f t="shared" si="44"/>
        <v>11</v>
      </c>
      <c r="CB185">
        <f t="shared" si="45"/>
        <v>2023</v>
      </c>
      <c r="CC185" t="str">
        <f t="shared" si="46"/>
        <v>2023-11</v>
      </c>
    </row>
    <row r="186" spans="1:81" x14ac:dyDescent="0.25">
      <c r="A186" t="s">
        <v>27</v>
      </c>
      <c r="B186" t="s">
        <v>144</v>
      </c>
      <c r="C186" t="s">
        <v>172</v>
      </c>
      <c r="D186">
        <v>85589</v>
      </c>
      <c r="E186">
        <v>7</v>
      </c>
      <c r="P186" t="s">
        <v>12</v>
      </c>
      <c r="Q186" t="s">
        <v>88</v>
      </c>
      <c r="R186">
        <v>7</v>
      </c>
      <c r="AI186" t="s">
        <v>144</v>
      </c>
      <c r="AJ186">
        <v>85589</v>
      </c>
      <c r="AK186" t="s">
        <v>451</v>
      </c>
      <c r="AL186">
        <f>COUNTIF(AI:AI,AK186)</f>
        <v>1</v>
      </c>
      <c r="AM186">
        <f>SUMIF(AI:AI,AK186,AJ:AJ)</f>
        <v>71474</v>
      </c>
      <c r="AP186" t="s">
        <v>36</v>
      </c>
      <c r="AQ186" t="s">
        <v>177</v>
      </c>
      <c r="AS186" t="s">
        <v>336</v>
      </c>
      <c r="AT186">
        <v>21847</v>
      </c>
      <c r="AU186">
        <f t="shared" si="40"/>
        <v>2</v>
      </c>
      <c r="BP186" t="s">
        <v>14</v>
      </c>
      <c r="BQ186" t="s">
        <v>108</v>
      </c>
      <c r="BR186">
        <f t="shared" si="47"/>
        <v>10</v>
      </c>
      <c r="BS186">
        <f t="shared" si="41"/>
        <v>2023</v>
      </c>
      <c r="BT186">
        <v>7</v>
      </c>
      <c r="BU186" t="str">
        <f t="shared" si="42"/>
        <v>2023-10</v>
      </c>
      <c r="BV186">
        <f t="shared" si="43"/>
        <v>1</v>
      </c>
      <c r="BX186" t="s">
        <v>27</v>
      </c>
      <c r="BY186" t="s">
        <v>172</v>
      </c>
      <c r="BZ186">
        <v>85589</v>
      </c>
      <c r="CA186">
        <f t="shared" si="44"/>
        <v>11</v>
      </c>
      <c r="CB186">
        <f t="shared" si="45"/>
        <v>2023</v>
      </c>
      <c r="CC186" t="str">
        <f t="shared" si="46"/>
        <v>2023-11</v>
      </c>
    </row>
    <row r="187" spans="1:81" x14ac:dyDescent="0.25">
      <c r="A187" t="s">
        <v>12</v>
      </c>
      <c r="B187" t="s">
        <v>88</v>
      </c>
      <c r="C187" t="s">
        <v>172</v>
      </c>
      <c r="D187">
        <v>58650</v>
      </c>
      <c r="E187">
        <v>7</v>
      </c>
      <c r="P187" t="s">
        <v>8</v>
      </c>
      <c r="Q187" t="s">
        <v>129</v>
      </c>
      <c r="R187">
        <v>1</v>
      </c>
      <c r="AI187" t="s">
        <v>88</v>
      </c>
      <c r="AJ187">
        <v>58650</v>
      </c>
      <c r="AK187" t="s">
        <v>212</v>
      </c>
      <c r="AL187">
        <f>COUNTIF(AI:AI,AK187)</f>
        <v>2</v>
      </c>
      <c r="AM187">
        <f>SUMIF(AI:AI,AK187,AJ:AJ)</f>
        <v>68868</v>
      </c>
      <c r="AP187" t="s">
        <v>17</v>
      </c>
      <c r="AQ187" t="s">
        <v>100</v>
      </c>
      <c r="AS187" t="s">
        <v>341</v>
      </c>
      <c r="AT187">
        <v>38227</v>
      </c>
      <c r="AU187">
        <f t="shared" si="40"/>
        <v>3</v>
      </c>
      <c r="BP187" t="s">
        <v>14</v>
      </c>
      <c r="BQ187" t="s">
        <v>117</v>
      </c>
      <c r="BR187">
        <f t="shared" si="47"/>
        <v>10</v>
      </c>
      <c r="BS187">
        <f t="shared" si="41"/>
        <v>2023</v>
      </c>
      <c r="BT187">
        <v>7</v>
      </c>
      <c r="BU187" t="str">
        <f t="shared" si="42"/>
        <v>2023-10</v>
      </c>
      <c r="BV187">
        <f t="shared" si="43"/>
        <v>1</v>
      </c>
      <c r="BX187" t="s">
        <v>12</v>
      </c>
      <c r="BY187" t="s">
        <v>172</v>
      </c>
      <c r="BZ187">
        <v>58650</v>
      </c>
      <c r="CA187">
        <f t="shared" si="44"/>
        <v>11</v>
      </c>
      <c r="CB187">
        <f t="shared" si="45"/>
        <v>2023</v>
      </c>
      <c r="CC187" t="str">
        <f t="shared" si="46"/>
        <v>2023-11</v>
      </c>
    </row>
    <row r="188" spans="1:81" x14ac:dyDescent="0.25">
      <c r="A188" t="s">
        <v>8</v>
      </c>
      <c r="B188" t="s">
        <v>129</v>
      </c>
      <c r="C188" t="s">
        <v>172</v>
      </c>
      <c r="D188">
        <v>83330</v>
      </c>
      <c r="E188">
        <v>1</v>
      </c>
      <c r="P188" t="s">
        <v>33</v>
      </c>
      <c r="Q188" t="s">
        <v>173</v>
      </c>
      <c r="R188">
        <v>9</v>
      </c>
      <c r="AI188" t="s">
        <v>129</v>
      </c>
      <c r="AJ188">
        <v>83330</v>
      </c>
      <c r="AK188" t="s">
        <v>311</v>
      </c>
      <c r="AL188">
        <f>COUNTIF(AI:AI,AK188)</f>
        <v>1</v>
      </c>
      <c r="AM188">
        <f>SUMIF(AI:AI,AK188,AJ:AJ)</f>
        <v>68339</v>
      </c>
      <c r="AP188" t="s">
        <v>10</v>
      </c>
      <c r="AQ188" t="s">
        <v>180</v>
      </c>
      <c r="AS188" t="s">
        <v>352</v>
      </c>
      <c r="AT188">
        <v>62932</v>
      </c>
      <c r="AU188">
        <f t="shared" si="40"/>
        <v>5</v>
      </c>
      <c r="BP188" t="s">
        <v>14</v>
      </c>
      <c r="BQ188" t="s">
        <v>117</v>
      </c>
      <c r="BR188">
        <f t="shared" si="47"/>
        <v>10</v>
      </c>
      <c r="BS188">
        <f t="shared" si="41"/>
        <v>2023</v>
      </c>
      <c r="BT188">
        <v>1</v>
      </c>
      <c r="BU188" t="str">
        <f t="shared" si="42"/>
        <v>2023-10</v>
      </c>
      <c r="BV188">
        <f t="shared" si="43"/>
        <v>0</v>
      </c>
      <c r="BX188" t="s">
        <v>8</v>
      </c>
      <c r="BY188" t="s">
        <v>172</v>
      </c>
      <c r="BZ188">
        <v>83330</v>
      </c>
      <c r="CA188">
        <f t="shared" si="44"/>
        <v>11</v>
      </c>
      <c r="CB188">
        <f t="shared" si="45"/>
        <v>2023</v>
      </c>
      <c r="CC188" t="str">
        <f t="shared" si="46"/>
        <v>2023-11</v>
      </c>
    </row>
    <row r="189" spans="1:81" x14ac:dyDescent="0.25">
      <c r="A189" t="s">
        <v>33</v>
      </c>
      <c r="B189" t="s">
        <v>173</v>
      </c>
      <c r="C189" t="s">
        <v>172</v>
      </c>
      <c r="D189">
        <v>93535</v>
      </c>
      <c r="E189">
        <v>9</v>
      </c>
      <c r="P189" t="s">
        <v>32</v>
      </c>
      <c r="Q189" t="s">
        <v>174</v>
      </c>
      <c r="R189">
        <v>6</v>
      </c>
      <c r="AI189" t="s">
        <v>173</v>
      </c>
      <c r="AJ189">
        <v>93535</v>
      </c>
      <c r="AK189" t="s">
        <v>364</v>
      </c>
      <c r="AL189">
        <f>COUNTIF(AI:AI,AK189)</f>
        <v>2</v>
      </c>
      <c r="AM189">
        <f>SUMIF(AI:AI,AK189,AJ:AJ)</f>
        <v>66592</v>
      </c>
      <c r="AP189" t="s">
        <v>36</v>
      </c>
      <c r="AQ189" t="s">
        <v>110</v>
      </c>
      <c r="AS189" t="s">
        <v>361</v>
      </c>
      <c r="AT189">
        <v>51719</v>
      </c>
      <c r="AU189">
        <f t="shared" si="40"/>
        <v>1</v>
      </c>
      <c r="BP189" t="s">
        <v>14</v>
      </c>
      <c r="BQ189" t="s">
        <v>123</v>
      </c>
      <c r="BR189">
        <f t="shared" si="47"/>
        <v>10</v>
      </c>
      <c r="BS189">
        <f t="shared" si="41"/>
        <v>2023</v>
      </c>
      <c r="BT189">
        <v>9</v>
      </c>
      <c r="BU189" t="str">
        <f t="shared" si="42"/>
        <v>2023-10</v>
      </c>
      <c r="BV189">
        <f t="shared" si="43"/>
        <v>2</v>
      </c>
      <c r="BX189" t="s">
        <v>33</v>
      </c>
      <c r="BY189" t="s">
        <v>172</v>
      </c>
      <c r="BZ189">
        <v>93535</v>
      </c>
      <c r="CA189">
        <f t="shared" si="44"/>
        <v>11</v>
      </c>
      <c r="CB189">
        <f t="shared" si="45"/>
        <v>2023</v>
      </c>
      <c r="CC189" t="str">
        <f t="shared" si="46"/>
        <v>2023-11</v>
      </c>
    </row>
    <row r="190" spans="1:81" x14ac:dyDescent="0.25">
      <c r="A190" t="s">
        <v>32</v>
      </c>
      <c r="B190" t="s">
        <v>174</v>
      </c>
      <c r="C190" t="s">
        <v>172</v>
      </c>
      <c r="D190">
        <v>44197</v>
      </c>
      <c r="E190">
        <v>6</v>
      </c>
      <c r="P190" t="s">
        <v>36</v>
      </c>
      <c r="Q190" t="s">
        <v>175</v>
      </c>
      <c r="R190">
        <v>5</v>
      </c>
      <c r="AI190" t="s">
        <v>174</v>
      </c>
      <c r="AJ190">
        <v>44197</v>
      </c>
      <c r="AK190" t="s">
        <v>152</v>
      </c>
      <c r="AL190">
        <f>COUNTIF(AI:AI,AK190)</f>
        <v>2</v>
      </c>
      <c r="AM190">
        <f>SUMIF(AI:AI,AK190,AJ:AJ)</f>
        <v>62598</v>
      </c>
      <c r="AP190" t="s">
        <v>33</v>
      </c>
      <c r="AQ190" t="s">
        <v>161</v>
      </c>
      <c r="AS190" t="s">
        <v>364</v>
      </c>
      <c r="AT190">
        <v>54141</v>
      </c>
      <c r="AU190">
        <f t="shared" si="40"/>
        <v>2</v>
      </c>
      <c r="BP190" t="s">
        <v>14</v>
      </c>
      <c r="BQ190" t="s">
        <v>123</v>
      </c>
      <c r="BR190">
        <f t="shared" si="47"/>
        <v>10</v>
      </c>
      <c r="BS190">
        <f t="shared" si="41"/>
        <v>2023</v>
      </c>
      <c r="BT190">
        <v>6</v>
      </c>
      <c r="BU190" t="str">
        <f t="shared" si="42"/>
        <v>2023-10</v>
      </c>
      <c r="BV190">
        <f t="shared" si="43"/>
        <v>0</v>
      </c>
      <c r="BX190" t="s">
        <v>32</v>
      </c>
      <c r="BY190" t="s">
        <v>172</v>
      </c>
      <c r="BZ190">
        <v>44197</v>
      </c>
      <c r="CA190">
        <f t="shared" si="44"/>
        <v>11</v>
      </c>
      <c r="CB190">
        <f t="shared" si="45"/>
        <v>2023</v>
      </c>
      <c r="CC190" t="str">
        <f t="shared" si="46"/>
        <v>2023-11</v>
      </c>
    </row>
    <row r="191" spans="1:81" x14ac:dyDescent="0.25">
      <c r="A191" t="s">
        <v>36</v>
      </c>
      <c r="B191" t="s">
        <v>175</v>
      </c>
      <c r="C191" t="s">
        <v>176</v>
      </c>
      <c r="D191">
        <v>45774</v>
      </c>
      <c r="E191">
        <v>5</v>
      </c>
      <c r="P191" t="s">
        <v>36</v>
      </c>
      <c r="Q191" t="s">
        <v>53</v>
      </c>
      <c r="R191">
        <v>9</v>
      </c>
      <c r="AI191" t="s">
        <v>175</v>
      </c>
      <c r="AJ191">
        <v>45774</v>
      </c>
      <c r="AK191" t="s">
        <v>434</v>
      </c>
      <c r="AL191">
        <f>COUNTIF(AI:AI,AK191)</f>
        <v>1</v>
      </c>
      <c r="AM191">
        <f>SUMIF(AI:AI,AK191,AJ:AJ)</f>
        <v>62214</v>
      </c>
      <c r="AP191" t="s">
        <v>27</v>
      </c>
      <c r="AQ191" t="s">
        <v>181</v>
      </c>
      <c r="AS191" t="s">
        <v>369</v>
      </c>
      <c r="AT191">
        <v>59371</v>
      </c>
      <c r="AU191">
        <f t="shared" si="40"/>
        <v>2</v>
      </c>
      <c r="BP191" t="s">
        <v>14</v>
      </c>
      <c r="BQ191" t="s">
        <v>141</v>
      </c>
      <c r="BR191">
        <f t="shared" si="47"/>
        <v>10</v>
      </c>
      <c r="BS191">
        <f t="shared" si="41"/>
        <v>2023</v>
      </c>
      <c r="BT191">
        <v>5</v>
      </c>
      <c r="BU191" t="str">
        <f t="shared" si="42"/>
        <v>2023-10</v>
      </c>
      <c r="BV191">
        <f t="shared" si="43"/>
        <v>0</v>
      </c>
      <c r="BX191" t="s">
        <v>36</v>
      </c>
      <c r="BY191" t="s">
        <v>176</v>
      </c>
      <c r="BZ191">
        <v>45774</v>
      </c>
      <c r="CA191">
        <f t="shared" si="44"/>
        <v>11</v>
      </c>
      <c r="CB191">
        <f t="shared" si="45"/>
        <v>2023</v>
      </c>
      <c r="CC191" t="str">
        <f t="shared" si="46"/>
        <v>2023-11</v>
      </c>
    </row>
    <row r="192" spans="1:81" x14ac:dyDescent="0.25">
      <c r="A192" t="s">
        <v>36</v>
      </c>
      <c r="B192" t="s">
        <v>53</v>
      </c>
      <c r="C192" t="s">
        <v>176</v>
      </c>
      <c r="D192">
        <v>82180</v>
      </c>
      <c r="E192">
        <v>9</v>
      </c>
      <c r="P192" t="s">
        <v>20</v>
      </c>
      <c r="Q192" t="s">
        <v>25</v>
      </c>
      <c r="R192">
        <v>6</v>
      </c>
      <c r="AI192" t="s">
        <v>53</v>
      </c>
      <c r="AJ192">
        <v>82180</v>
      </c>
      <c r="AK192" t="s">
        <v>316</v>
      </c>
      <c r="AL192">
        <f>COUNTIF(AI:AI,AK192)</f>
        <v>2</v>
      </c>
      <c r="AM192">
        <f>SUMIF(AI:AI,AK192,AJ:AJ)</f>
        <v>58807</v>
      </c>
      <c r="AP192" t="s">
        <v>32</v>
      </c>
      <c r="AQ192" t="s">
        <v>182</v>
      </c>
      <c r="AS192" t="s">
        <v>373</v>
      </c>
      <c r="AT192">
        <v>55373</v>
      </c>
      <c r="AU192">
        <f t="shared" si="40"/>
        <v>1</v>
      </c>
      <c r="BP192" t="s">
        <v>14</v>
      </c>
      <c r="BQ192" t="s">
        <v>141</v>
      </c>
      <c r="BR192">
        <f t="shared" si="47"/>
        <v>10</v>
      </c>
      <c r="BS192">
        <f t="shared" si="41"/>
        <v>2023</v>
      </c>
      <c r="BT192">
        <v>9</v>
      </c>
      <c r="BU192" t="str">
        <f t="shared" si="42"/>
        <v>2023-10</v>
      </c>
      <c r="BV192">
        <f t="shared" si="43"/>
        <v>2</v>
      </c>
      <c r="BX192" t="s">
        <v>36</v>
      </c>
      <c r="BY192" t="s">
        <v>176</v>
      </c>
      <c r="BZ192">
        <v>82180</v>
      </c>
      <c r="CA192">
        <f t="shared" si="44"/>
        <v>11</v>
      </c>
      <c r="CB192">
        <f t="shared" si="45"/>
        <v>2023</v>
      </c>
      <c r="CC192" t="str">
        <f t="shared" si="46"/>
        <v>2023-11</v>
      </c>
    </row>
    <row r="193" spans="1:81" x14ac:dyDescent="0.25">
      <c r="A193" t="s">
        <v>20</v>
      </c>
      <c r="B193" t="s">
        <v>25</v>
      </c>
      <c r="C193" t="s">
        <v>176</v>
      </c>
      <c r="D193">
        <v>13269</v>
      </c>
      <c r="E193">
        <v>6</v>
      </c>
      <c r="P193" t="s">
        <v>36</v>
      </c>
      <c r="Q193" t="s">
        <v>177</v>
      </c>
      <c r="R193">
        <v>4</v>
      </c>
      <c r="AI193" t="s">
        <v>25</v>
      </c>
      <c r="AJ193">
        <v>13269</v>
      </c>
      <c r="AK193" t="s">
        <v>373</v>
      </c>
      <c r="AL193">
        <f>COUNTIF(AI:AI,AK193)</f>
        <v>1</v>
      </c>
      <c r="AM193">
        <f>SUMIF(AI:AI,AK193,AJ:AJ)</f>
        <v>55373</v>
      </c>
      <c r="AP193" t="s">
        <v>27</v>
      </c>
      <c r="AQ193" t="s">
        <v>89</v>
      </c>
      <c r="AS193" t="s">
        <v>384</v>
      </c>
      <c r="AT193">
        <v>46574</v>
      </c>
      <c r="AU193">
        <f t="shared" si="40"/>
        <v>1</v>
      </c>
      <c r="BP193" t="s">
        <v>14</v>
      </c>
      <c r="BQ193" t="s">
        <v>146</v>
      </c>
      <c r="BR193">
        <f t="shared" si="47"/>
        <v>10</v>
      </c>
      <c r="BS193">
        <f t="shared" si="41"/>
        <v>2023</v>
      </c>
      <c r="BT193">
        <v>6</v>
      </c>
      <c r="BU193" t="str">
        <f t="shared" si="42"/>
        <v>2023-10</v>
      </c>
      <c r="BV193">
        <f t="shared" si="43"/>
        <v>0</v>
      </c>
      <c r="BX193" t="s">
        <v>20</v>
      </c>
      <c r="BY193" t="s">
        <v>176</v>
      </c>
      <c r="BZ193">
        <v>13269</v>
      </c>
      <c r="CA193">
        <f t="shared" si="44"/>
        <v>11</v>
      </c>
      <c r="CB193">
        <f t="shared" si="45"/>
        <v>2023</v>
      </c>
      <c r="CC193" t="str">
        <f t="shared" si="46"/>
        <v>2023-11</v>
      </c>
    </row>
    <row r="194" spans="1:81" x14ac:dyDescent="0.25">
      <c r="A194" t="s">
        <v>36</v>
      </c>
      <c r="B194" t="s">
        <v>177</v>
      </c>
      <c r="C194" t="s">
        <v>178</v>
      </c>
      <c r="D194">
        <v>42281</v>
      </c>
      <c r="E194">
        <v>4</v>
      </c>
      <c r="P194" t="s">
        <v>17</v>
      </c>
      <c r="Q194" t="s">
        <v>100</v>
      </c>
      <c r="R194">
        <v>7</v>
      </c>
      <c r="AI194" t="s">
        <v>177</v>
      </c>
      <c r="AJ194">
        <v>42281</v>
      </c>
      <c r="AK194" t="s">
        <v>361</v>
      </c>
      <c r="AL194">
        <f>COUNTIF(AI:AI,AK194)</f>
        <v>1</v>
      </c>
      <c r="AM194">
        <f>SUMIF(AI:AI,AK194,AJ:AJ)</f>
        <v>51719</v>
      </c>
      <c r="AP194" t="s">
        <v>17</v>
      </c>
      <c r="AQ194" t="s">
        <v>183</v>
      </c>
      <c r="AS194" t="s">
        <v>392</v>
      </c>
      <c r="AT194">
        <v>55148</v>
      </c>
      <c r="AU194">
        <f t="shared" si="40"/>
        <v>2</v>
      </c>
      <c r="BP194" t="s">
        <v>14</v>
      </c>
      <c r="BQ194" t="s">
        <v>159</v>
      </c>
      <c r="BR194">
        <f t="shared" si="47"/>
        <v>10</v>
      </c>
      <c r="BS194">
        <f t="shared" si="41"/>
        <v>2023</v>
      </c>
      <c r="BT194">
        <v>4</v>
      </c>
      <c r="BU194" t="str">
        <f t="shared" si="42"/>
        <v>2023-10</v>
      </c>
      <c r="BV194">
        <f t="shared" si="43"/>
        <v>0</v>
      </c>
      <c r="BX194" t="s">
        <v>36</v>
      </c>
      <c r="BY194" t="s">
        <v>178</v>
      </c>
      <c r="BZ194">
        <v>42281</v>
      </c>
      <c r="CA194">
        <f t="shared" si="44"/>
        <v>11</v>
      </c>
      <c r="CB194">
        <f t="shared" si="45"/>
        <v>2023</v>
      </c>
      <c r="CC194" t="str">
        <f t="shared" si="46"/>
        <v>2023-11</v>
      </c>
    </row>
    <row r="195" spans="1:81" x14ac:dyDescent="0.25">
      <c r="A195" t="s">
        <v>17</v>
      </c>
      <c r="B195" t="s">
        <v>100</v>
      </c>
      <c r="C195" t="s">
        <v>179</v>
      </c>
      <c r="D195">
        <v>24896</v>
      </c>
      <c r="E195">
        <v>7</v>
      </c>
      <c r="P195" t="s">
        <v>10</v>
      </c>
      <c r="Q195" t="s">
        <v>180</v>
      </c>
      <c r="R195">
        <v>8</v>
      </c>
      <c r="AI195" t="s">
        <v>100</v>
      </c>
      <c r="AJ195">
        <v>24896</v>
      </c>
      <c r="AK195" t="s">
        <v>384</v>
      </c>
      <c r="AL195">
        <f>COUNTIF(AI:AI,AK195)</f>
        <v>1</v>
      </c>
      <c r="AM195">
        <f>SUMIF(AI:AI,AK195,AJ:AJ)</f>
        <v>46574</v>
      </c>
      <c r="AP195" t="s">
        <v>32</v>
      </c>
      <c r="AQ195" t="s">
        <v>184</v>
      </c>
      <c r="AS195" t="s">
        <v>393</v>
      </c>
      <c r="AT195">
        <v>87879</v>
      </c>
      <c r="AU195">
        <f t="shared" ref="AU195:AU199" si="48">COUNTIF(AQ:AQ,AS195)</f>
        <v>1</v>
      </c>
      <c r="BP195" t="s">
        <v>14</v>
      </c>
      <c r="BQ195" t="s">
        <v>164</v>
      </c>
      <c r="BR195">
        <f t="shared" si="47"/>
        <v>11</v>
      </c>
      <c r="BS195">
        <f t="shared" ref="BS195:BS258" si="49">YEAR(BQ195)</f>
        <v>2023</v>
      </c>
      <c r="BT195">
        <v>7</v>
      </c>
      <c r="BU195" t="str">
        <f t="shared" ref="BU195:BU258" si="50">BS195&amp;"-"&amp;BR195</f>
        <v>2023-11</v>
      </c>
      <c r="BV195">
        <f t="shared" ref="BV195:BV258" si="51">IF(BT195&lt;7,0,IF(BT195&lt;9,1,2))</f>
        <v>1</v>
      </c>
      <c r="BX195" t="s">
        <v>17</v>
      </c>
      <c r="BY195" t="s">
        <v>179</v>
      </c>
      <c r="BZ195">
        <v>24896</v>
      </c>
      <c r="CA195">
        <f t="shared" ref="CA195:CA258" si="52">MONTH(BY195)</f>
        <v>11</v>
      </c>
      <c r="CB195">
        <f t="shared" ref="CB195:CB258" si="53">YEAR(BY195)</f>
        <v>2023</v>
      </c>
      <c r="CC195" t="str">
        <f t="shared" ref="CC195:CC258" si="54">CB195&amp;"-"&amp;CA195</f>
        <v>2023-11</v>
      </c>
    </row>
    <row r="196" spans="1:81" x14ac:dyDescent="0.25">
      <c r="A196" t="s">
        <v>10</v>
      </c>
      <c r="B196" t="s">
        <v>180</v>
      </c>
      <c r="C196" t="s">
        <v>179</v>
      </c>
      <c r="D196">
        <v>33773</v>
      </c>
      <c r="E196">
        <v>8</v>
      </c>
      <c r="P196" t="s">
        <v>36</v>
      </c>
      <c r="Q196" t="s">
        <v>110</v>
      </c>
      <c r="R196">
        <v>9</v>
      </c>
      <c r="AI196" t="s">
        <v>180</v>
      </c>
      <c r="AJ196">
        <v>33773</v>
      </c>
      <c r="AK196" t="s">
        <v>175</v>
      </c>
      <c r="AL196">
        <f>COUNTIF(AI:AI,AK196)</f>
        <v>1</v>
      </c>
      <c r="AM196">
        <f>SUMIF(AI:AI,AK196,AJ:AJ)</f>
        <v>45774</v>
      </c>
      <c r="AP196" t="s">
        <v>5</v>
      </c>
      <c r="AQ196" t="s">
        <v>186</v>
      </c>
      <c r="AS196" t="s">
        <v>396</v>
      </c>
      <c r="AT196">
        <v>10858</v>
      </c>
      <c r="AU196">
        <f t="shared" si="48"/>
        <v>5</v>
      </c>
      <c r="BP196" t="s">
        <v>14</v>
      </c>
      <c r="BQ196" t="s">
        <v>167</v>
      </c>
      <c r="BR196">
        <f t="shared" si="47"/>
        <v>11</v>
      </c>
      <c r="BS196">
        <f t="shared" si="49"/>
        <v>2023</v>
      </c>
      <c r="BT196">
        <v>8</v>
      </c>
      <c r="BU196" t="str">
        <f t="shared" si="50"/>
        <v>2023-11</v>
      </c>
      <c r="BV196">
        <f t="shared" si="51"/>
        <v>1</v>
      </c>
      <c r="BX196" t="s">
        <v>10</v>
      </c>
      <c r="BY196" t="s">
        <v>179</v>
      </c>
      <c r="BZ196">
        <v>33773</v>
      </c>
      <c r="CA196">
        <f t="shared" si="52"/>
        <v>11</v>
      </c>
      <c r="CB196">
        <f t="shared" si="53"/>
        <v>2023</v>
      </c>
      <c r="CC196" t="str">
        <f t="shared" si="54"/>
        <v>2023-11</v>
      </c>
    </row>
    <row r="197" spans="1:81" x14ac:dyDescent="0.25">
      <c r="A197" t="s">
        <v>36</v>
      </c>
      <c r="B197" t="s">
        <v>110</v>
      </c>
      <c r="C197" t="s">
        <v>179</v>
      </c>
      <c r="D197">
        <v>38128</v>
      </c>
      <c r="E197">
        <v>9</v>
      </c>
      <c r="P197" t="s">
        <v>33</v>
      </c>
      <c r="Q197" t="s">
        <v>161</v>
      </c>
      <c r="R197">
        <v>5</v>
      </c>
      <c r="AI197" t="s">
        <v>110</v>
      </c>
      <c r="AJ197">
        <v>38128</v>
      </c>
      <c r="AK197" t="s">
        <v>445</v>
      </c>
      <c r="AL197">
        <f>COUNTIF(AI:AI,AK197)</f>
        <v>1</v>
      </c>
      <c r="AM197">
        <f>SUMIF(AI:AI,AK197,AJ:AJ)</f>
        <v>42749</v>
      </c>
      <c r="AP197" t="s">
        <v>32</v>
      </c>
      <c r="AQ197" t="s">
        <v>188</v>
      </c>
      <c r="AS197" t="s">
        <v>434</v>
      </c>
      <c r="AT197">
        <v>62214</v>
      </c>
      <c r="AU197">
        <f t="shared" si="48"/>
        <v>1</v>
      </c>
      <c r="BP197" t="s">
        <v>14</v>
      </c>
      <c r="BQ197" t="s">
        <v>170</v>
      </c>
      <c r="BR197">
        <f t="shared" si="47"/>
        <v>11</v>
      </c>
      <c r="BS197">
        <f t="shared" si="49"/>
        <v>2023</v>
      </c>
      <c r="BT197">
        <v>9</v>
      </c>
      <c r="BU197" t="str">
        <f t="shared" si="50"/>
        <v>2023-11</v>
      </c>
      <c r="BV197">
        <f t="shared" si="51"/>
        <v>2</v>
      </c>
      <c r="BX197" t="s">
        <v>36</v>
      </c>
      <c r="BY197" t="s">
        <v>179</v>
      </c>
      <c r="BZ197">
        <v>38128</v>
      </c>
      <c r="CA197">
        <f t="shared" si="52"/>
        <v>11</v>
      </c>
      <c r="CB197">
        <f t="shared" si="53"/>
        <v>2023</v>
      </c>
      <c r="CC197" t="str">
        <f t="shared" si="54"/>
        <v>2023-11</v>
      </c>
    </row>
    <row r="198" spans="1:81" x14ac:dyDescent="0.25">
      <c r="A198" t="s">
        <v>33</v>
      </c>
      <c r="B198" t="s">
        <v>161</v>
      </c>
      <c r="C198" t="s">
        <v>179</v>
      </c>
      <c r="D198">
        <v>21124</v>
      </c>
      <c r="E198">
        <v>5</v>
      </c>
      <c r="P198" t="s">
        <v>14</v>
      </c>
      <c r="Q198" t="s">
        <v>72</v>
      </c>
      <c r="R198">
        <v>4</v>
      </c>
      <c r="AI198" t="s">
        <v>161</v>
      </c>
      <c r="AJ198">
        <v>21124</v>
      </c>
      <c r="AK198" t="s">
        <v>297</v>
      </c>
      <c r="AL198">
        <f>COUNTIF(AI:AI,AK198)</f>
        <v>1</v>
      </c>
      <c r="AM198">
        <f>SUMIF(AI:AI,AK198,AJ:AJ)</f>
        <v>15953</v>
      </c>
      <c r="AP198" t="s">
        <v>33</v>
      </c>
      <c r="AQ198" t="s">
        <v>190</v>
      </c>
      <c r="AS198" t="s">
        <v>445</v>
      </c>
      <c r="AT198">
        <v>42749</v>
      </c>
      <c r="AU198">
        <f t="shared" si="48"/>
        <v>1</v>
      </c>
      <c r="BP198" t="s">
        <v>14</v>
      </c>
      <c r="BQ198" t="s">
        <v>179</v>
      </c>
      <c r="BR198">
        <f t="shared" si="47"/>
        <v>11</v>
      </c>
      <c r="BS198">
        <f t="shared" si="49"/>
        <v>2023</v>
      </c>
      <c r="BT198">
        <v>5</v>
      </c>
      <c r="BU198" t="str">
        <f t="shared" si="50"/>
        <v>2023-11</v>
      </c>
      <c r="BV198">
        <f t="shared" si="51"/>
        <v>0</v>
      </c>
      <c r="BX198" t="s">
        <v>33</v>
      </c>
      <c r="BY198" t="s">
        <v>179</v>
      </c>
      <c r="BZ198">
        <v>21124</v>
      </c>
      <c r="CA198">
        <f t="shared" si="52"/>
        <v>11</v>
      </c>
      <c r="CB198">
        <f t="shared" si="53"/>
        <v>2023</v>
      </c>
      <c r="CC198" t="str">
        <f t="shared" si="54"/>
        <v>2023-11</v>
      </c>
    </row>
    <row r="199" spans="1:81" x14ac:dyDescent="0.25">
      <c r="A199" t="s">
        <v>14</v>
      </c>
      <c r="B199" t="s">
        <v>72</v>
      </c>
      <c r="C199" t="s">
        <v>179</v>
      </c>
      <c r="D199">
        <v>18274</v>
      </c>
      <c r="E199">
        <v>4</v>
      </c>
      <c r="P199" t="s">
        <v>27</v>
      </c>
      <c r="Q199" t="s">
        <v>181</v>
      </c>
      <c r="R199">
        <v>6</v>
      </c>
      <c r="AI199" t="s">
        <v>72</v>
      </c>
      <c r="AJ199">
        <v>18274</v>
      </c>
      <c r="AK199" t="s">
        <v>193</v>
      </c>
      <c r="AL199">
        <f>COUNTIF(AI:AI,AK199)</f>
        <v>1</v>
      </c>
      <c r="AM199">
        <f>SUMIF(AI:AI,AK199,AJ:AJ)</f>
        <v>10026</v>
      </c>
      <c r="AP199" t="s">
        <v>36</v>
      </c>
      <c r="AQ199" t="s">
        <v>191</v>
      </c>
      <c r="AS199" t="s">
        <v>451</v>
      </c>
      <c r="AT199">
        <v>71474</v>
      </c>
      <c r="AU199">
        <f t="shared" si="48"/>
        <v>1</v>
      </c>
      <c r="BP199" t="s">
        <v>14</v>
      </c>
      <c r="BQ199" t="s">
        <v>192</v>
      </c>
      <c r="BR199">
        <f t="shared" si="47"/>
        <v>11</v>
      </c>
      <c r="BS199">
        <f t="shared" si="49"/>
        <v>2023</v>
      </c>
      <c r="BT199">
        <v>4</v>
      </c>
      <c r="BU199" t="str">
        <f t="shared" si="50"/>
        <v>2023-11</v>
      </c>
      <c r="BV199">
        <f t="shared" si="51"/>
        <v>0</v>
      </c>
      <c r="BX199" t="s">
        <v>14</v>
      </c>
      <c r="BY199" t="s">
        <v>179</v>
      </c>
      <c r="BZ199">
        <v>18274</v>
      </c>
      <c r="CA199">
        <f t="shared" si="52"/>
        <v>11</v>
      </c>
      <c r="CB199">
        <f t="shared" si="53"/>
        <v>2023</v>
      </c>
      <c r="CC199" t="str">
        <f t="shared" si="54"/>
        <v>2023-11</v>
      </c>
    </row>
    <row r="200" spans="1:81" x14ac:dyDescent="0.25">
      <c r="A200" t="s">
        <v>27</v>
      </c>
      <c r="B200" t="s">
        <v>181</v>
      </c>
      <c r="C200" t="s">
        <v>179</v>
      </c>
      <c r="D200">
        <v>92257</v>
      </c>
      <c r="E200">
        <v>6</v>
      </c>
      <c r="P200" t="s">
        <v>32</v>
      </c>
      <c r="Q200" t="s">
        <v>182</v>
      </c>
      <c r="R200">
        <v>6</v>
      </c>
      <c r="AI200" t="s">
        <v>181</v>
      </c>
      <c r="AJ200">
        <v>92257</v>
      </c>
      <c r="AL200">
        <f>COUNTIF(AI:AI,AK200)</f>
        <v>0</v>
      </c>
      <c r="AM200">
        <f>SUMIF(AI:AI,AK200,AJ:AJ)</f>
        <v>0</v>
      </c>
      <c r="AP200" t="s">
        <v>20</v>
      </c>
      <c r="AQ200" t="s">
        <v>93</v>
      </c>
      <c r="BP200" t="s">
        <v>14</v>
      </c>
      <c r="BQ200" t="s">
        <v>192</v>
      </c>
      <c r="BR200">
        <f t="shared" si="47"/>
        <v>11</v>
      </c>
      <c r="BS200">
        <f t="shared" si="49"/>
        <v>2023</v>
      </c>
      <c r="BT200">
        <v>6</v>
      </c>
      <c r="BU200" t="str">
        <f t="shared" si="50"/>
        <v>2023-11</v>
      </c>
      <c r="BV200">
        <f t="shared" si="51"/>
        <v>0</v>
      </c>
      <c r="BX200" t="s">
        <v>27</v>
      </c>
      <c r="BY200" t="s">
        <v>179</v>
      </c>
      <c r="BZ200">
        <v>92257</v>
      </c>
      <c r="CA200">
        <f t="shared" si="52"/>
        <v>11</v>
      </c>
      <c r="CB200">
        <f t="shared" si="53"/>
        <v>2023</v>
      </c>
      <c r="CC200" t="str">
        <f t="shared" si="54"/>
        <v>2023-11</v>
      </c>
    </row>
    <row r="201" spans="1:81" x14ac:dyDescent="0.25">
      <c r="A201" t="s">
        <v>32</v>
      </c>
      <c r="B201" t="s">
        <v>182</v>
      </c>
      <c r="C201" t="s">
        <v>179</v>
      </c>
      <c r="D201">
        <v>65278</v>
      </c>
      <c r="E201">
        <v>6</v>
      </c>
      <c r="P201" t="s">
        <v>27</v>
      </c>
      <c r="Q201" t="s">
        <v>89</v>
      </c>
      <c r="R201">
        <v>8</v>
      </c>
      <c r="AI201" t="s">
        <v>182</v>
      </c>
      <c r="AJ201">
        <v>65278</v>
      </c>
      <c r="AL201">
        <f>COUNTIF(AI:AI,AK201)</f>
        <v>0</v>
      </c>
      <c r="AM201">
        <f>SUMIF(AI:AI,AK201,AJ:AJ)</f>
        <v>0</v>
      </c>
      <c r="AP201" t="s">
        <v>27</v>
      </c>
      <c r="AQ201" t="s">
        <v>51</v>
      </c>
      <c r="BP201" t="s">
        <v>14</v>
      </c>
      <c r="BQ201" t="s">
        <v>194</v>
      </c>
      <c r="BR201">
        <f t="shared" si="47"/>
        <v>11</v>
      </c>
      <c r="BS201">
        <f t="shared" si="49"/>
        <v>2023</v>
      </c>
      <c r="BT201">
        <v>6</v>
      </c>
      <c r="BU201" t="str">
        <f t="shared" si="50"/>
        <v>2023-11</v>
      </c>
      <c r="BV201">
        <f t="shared" si="51"/>
        <v>0</v>
      </c>
      <c r="BX201" t="s">
        <v>32</v>
      </c>
      <c r="BY201" t="s">
        <v>179</v>
      </c>
      <c r="BZ201">
        <v>65278</v>
      </c>
      <c r="CA201">
        <f t="shared" si="52"/>
        <v>11</v>
      </c>
      <c r="CB201">
        <f t="shared" si="53"/>
        <v>2023</v>
      </c>
      <c r="CC201" t="str">
        <f t="shared" si="54"/>
        <v>2023-11</v>
      </c>
    </row>
    <row r="202" spans="1:81" x14ac:dyDescent="0.25">
      <c r="A202" t="s">
        <v>27</v>
      </c>
      <c r="B202" t="s">
        <v>89</v>
      </c>
      <c r="C202" t="s">
        <v>179</v>
      </c>
      <c r="D202">
        <v>81908</v>
      </c>
      <c r="E202">
        <v>8</v>
      </c>
      <c r="P202" t="s">
        <v>17</v>
      </c>
      <c r="Q202" t="s">
        <v>183</v>
      </c>
      <c r="R202">
        <v>7</v>
      </c>
      <c r="AI202" t="s">
        <v>89</v>
      </c>
      <c r="AJ202">
        <v>81908</v>
      </c>
      <c r="AL202">
        <f>COUNTIF(AI:AI,AK202)</f>
        <v>0</v>
      </c>
      <c r="AM202">
        <f>SUMIF(AI:AI,AK202,AJ:AJ)</f>
        <v>0</v>
      </c>
      <c r="AP202" t="s">
        <v>14</v>
      </c>
      <c r="AQ202" t="s">
        <v>21</v>
      </c>
      <c r="BP202" t="s">
        <v>14</v>
      </c>
      <c r="BQ202" t="s">
        <v>218</v>
      </c>
      <c r="BR202">
        <f t="shared" si="47"/>
        <v>12</v>
      </c>
      <c r="BS202">
        <f t="shared" si="49"/>
        <v>2023</v>
      </c>
      <c r="BT202">
        <v>8</v>
      </c>
      <c r="BU202" t="str">
        <f t="shared" si="50"/>
        <v>2023-12</v>
      </c>
      <c r="BV202">
        <f t="shared" si="51"/>
        <v>1</v>
      </c>
      <c r="BX202" t="s">
        <v>27</v>
      </c>
      <c r="BY202" t="s">
        <v>179</v>
      </c>
      <c r="BZ202">
        <v>81908</v>
      </c>
      <c r="CA202">
        <f t="shared" si="52"/>
        <v>11</v>
      </c>
      <c r="CB202">
        <f t="shared" si="53"/>
        <v>2023</v>
      </c>
      <c r="CC202" t="str">
        <f t="shared" si="54"/>
        <v>2023-11</v>
      </c>
    </row>
    <row r="203" spans="1:81" x14ac:dyDescent="0.25">
      <c r="A203" t="s">
        <v>17</v>
      </c>
      <c r="B203" t="s">
        <v>183</v>
      </c>
      <c r="C203" t="s">
        <v>179</v>
      </c>
      <c r="D203">
        <v>18479</v>
      </c>
      <c r="E203">
        <v>7</v>
      </c>
      <c r="P203" t="s">
        <v>32</v>
      </c>
      <c r="Q203" t="s">
        <v>184</v>
      </c>
      <c r="R203">
        <v>7</v>
      </c>
      <c r="AI203" t="s">
        <v>183</v>
      </c>
      <c r="AJ203">
        <v>18479</v>
      </c>
      <c r="AL203">
        <f>COUNTIF(AI:AI,AK203)</f>
        <v>0</v>
      </c>
      <c r="AM203">
        <f>SUMIF(AI:AI,AK203,AJ:AJ)</f>
        <v>0</v>
      </c>
      <c r="AP203" t="s">
        <v>14</v>
      </c>
      <c r="AQ203" t="s">
        <v>110</v>
      </c>
      <c r="BP203" t="s">
        <v>14</v>
      </c>
      <c r="BQ203" t="s">
        <v>221</v>
      </c>
      <c r="BR203">
        <f t="shared" si="47"/>
        <v>12</v>
      </c>
      <c r="BS203">
        <f t="shared" si="49"/>
        <v>2023</v>
      </c>
      <c r="BT203">
        <v>7</v>
      </c>
      <c r="BU203" t="str">
        <f t="shared" si="50"/>
        <v>2023-12</v>
      </c>
      <c r="BV203">
        <f t="shared" si="51"/>
        <v>1</v>
      </c>
      <c r="BX203" t="s">
        <v>17</v>
      </c>
      <c r="BY203" t="s">
        <v>179</v>
      </c>
      <c r="BZ203">
        <v>18479</v>
      </c>
      <c r="CA203">
        <f t="shared" si="52"/>
        <v>11</v>
      </c>
      <c r="CB203">
        <f t="shared" si="53"/>
        <v>2023</v>
      </c>
      <c r="CC203" t="str">
        <f t="shared" si="54"/>
        <v>2023-11</v>
      </c>
    </row>
    <row r="204" spans="1:81" x14ac:dyDescent="0.25">
      <c r="A204" t="s">
        <v>32</v>
      </c>
      <c r="B204" t="s">
        <v>184</v>
      </c>
      <c r="C204" t="s">
        <v>185</v>
      </c>
      <c r="D204">
        <v>97546</v>
      </c>
      <c r="E204">
        <v>7</v>
      </c>
      <c r="P204" t="s">
        <v>5</v>
      </c>
      <c r="Q204" t="s">
        <v>186</v>
      </c>
      <c r="R204">
        <v>5</v>
      </c>
      <c r="AI204" t="s">
        <v>184</v>
      </c>
      <c r="AJ204">
        <v>97546</v>
      </c>
      <c r="AL204">
        <f>COUNTIF(AI:AI,AK204)</f>
        <v>0</v>
      </c>
      <c r="AM204">
        <f>SUMIF(AI:AI,AK204,AJ:AJ)</f>
        <v>0</v>
      </c>
      <c r="AP204" t="s">
        <v>12</v>
      </c>
      <c r="AQ204" t="s">
        <v>193</v>
      </c>
      <c r="BP204" t="s">
        <v>14</v>
      </c>
      <c r="BQ204" t="s">
        <v>221</v>
      </c>
      <c r="BR204">
        <f t="shared" si="47"/>
        <v>12</v>
      </c>
      <c r="BS204">
        <f t="shared" si="49"/>
        <v>2023</v>
      </c>
      <c r="BT204">
        <v>7</v>
      </c>
      <c r="BU204" t="str">
        <f t="shared" si="50"/>
        <v>2023-12</v>
      </c>
      <c r="BV204">
        <f t="shared" si="51"/>
        <v>1</v>
      </c>
      <c r="BX204" t="s">
        <v>32</v>
      </c>
      <c r="BY204" t="s">
        <v>185</v>
      </c>
      <c r="BZ204">
        <v>97546</v>
      </c>
      <c r="CA204">
        <f t="shared" si="52"/>
        <v>11</v>
      </c>
      <c r="CB204">
        <f t="shared" si="53"/>
        <v>2023</v>
      </c>
      <c r="CC204" t="str">
        <f t="shared" si="54"/>
        <v>2023-11</v>
      </c>
    </row>
    <row r="205" spans="1:81" x14ac:dyDescent="0.25">
      <c r="A205" t="s">
        <v>5</v>
      </c>
      <c r="B205" t="s">
        <v>186</v>
      </c>
      <c r="C205" t="s">
        <v>187</v>
      </c>
      <c r="D205">
        <v>72508</v>
      </c>
      <c r="E205">
        <v>5</v>
      </c>
      <c r="P205" t="s">
        <v>32</v>
      </c>
      <c r="Q205" t="s">
        <v>188</v>
      </c>
      <c r="R205">
        <v>2</v>
      </c>
      <c r="AI205" t="s">
        <v>186</v>
      </c>
      <c r="AJ205">
        <v>72508</v>
      </c>
      <c r="AL205">
        <f>COUNTIF(AI:AI,AK205)</f>
        <v>0</v>
      </c>
      <c r="AM205">
        <f>SUMIF(AI:AI,AK205,AJ:AJ)</f>
        <v>0</v>
      </c>
      <c r="AP205" t="s">
        <v>23</v>
      </c>
      <c r="AQ205" t="s">
        <v>195</v>
      </c>
      <c r="BP205" t="s">
        <v>14</v>
      </c>
      <c r="BQ205" t="s">
        <v>221</v>
      </c>
      <c r="BR205">
        <f t="shared" si="47"/>
        <v>12</v>
      </c>
      <c r="BS205">
        <f t="shared" si="49"/>
        <v>2023</v>
      </c>
      <c r="BT205">
        <v>5</v>
      </c>
      <c r="BU205" t="str">
        <f t="shared" si="50"/>
        <v>2023-12</v>
      </c>
      <c r="BV205">
        <f t="shared" si="51"/>
        <v>0</v>
      </c>
      <c r="BX205" t="s">
        <v>5</v>
      </c>
      <c r="BY205" t="s">
        <v>187</v>
      </c>
      <c r="BZ205">
        <v>72508</v>
      </c>
      <c r="CA205">
        <f t="shared" si="52"/>
        <v>11</v>
      </c>
      <c r="CB205">
        <f t="shared" si="53"/>
        <v>2023</v>
      </c>
      <c r="CC205" t="str">
        <f t="shared" si="54"/>
        <v>2023-11</v>
      </c>
    </row>
    <row r="206" spans="1:81" x14ac:dyDescent="0.25">
      <c r="A206" t="s">
        <v>32</v>
      </c>
      <c r="B206" t="s">
        <v>188</v>
      </c>
      <c r="C206" t="s">
        <v>189</v>
      </c>
      <c r="D206">
        <v>82828</v>
      </c>
      <c r="E206">
        <v>2</v>
      </c>
      <c r="P206" t="s">
        <v>33</v>
      </c>
      <c r="Q206" t="s">
        <v>190</v>
      </c>
      <c r="R206">
        <v>8</v>
      </c>
      <c r="AI206" t="s">
        <v>188</v>
      </c>
      <c r="AJ206">
        <v>82828</v>
      </c>
      <c r="AL206">
        <f>COUNTIF(AI:AI,AK206)</f>
        <v>0</v>
      </c>
      <c r="AM206">
        <f>SUMIF(AI:AI,AK206,AJ:AJ)</f>
        <v>0</v>
      </c>
      <c r="AP206" t="s">
        <v>12</v>
      </c>
      <c r="AQ206" t="s">
        <v>196</v>
      </c>
      <c r="BP206" t="s">
        <v>14</v>
      </c>
      <c r="BQ206" t="s">
        <v>223</v>
      </c>
      <c r="BR206">
        <f t="shared" si="47"/>
        <v>12</v>
      </c>
      <c r="BS206">
        <f t="shared" si="49"/>
        <v>2023</v>
      </c>
      <c r="BT206">
        <v>2</v>
      </c>
      <c r="BU206" t="str">
        <f t="shared" si="50"/>
        <v>2023-12</v>
      </c>
      <c r="BV206">
        <f t="shared" si="51"/>
        <v>0</v>
      </c>
      <c r="BX206" t="s">
        <v>32</v>
      </c>
      <c r="BY206" t="s">
        <v>189</v>
      </c>
      <c r="BZ206">
        <v>82828</v>
      </c>
      <c r="CA206">
        <f t="shared" si="52"/>
        <v>11</v>
      </c>
      <c r="CB206">
        <f t="shared" si="53"/>
        <v>2023</v>
      </c>
      <c r="CC206" t="str">
        <f t="shared" si="54"/>
        <v>2023-11</v>
      </c>
    </row>
    <row r="207" spans="1:81" x14ac:dyDescent="0.25">
      <c r="A207" t="s">
        <v>33</v>
      </c>
      <c r="B207" t="s">
        <v>190</v>
      </c>
      <c r="C207" t="s">
        <v>189</v>
      </c>
      <c r="D207">
        <v>28924</v>
      </c>
      <c r="E207">
        <v>8</v>
      </c>
      <c r="P207" t="s">
        <v>36</v>
      </c>
      <c r="Q207" t="s">
        <v>191</v>
      </c>
      <c r="R207">
        <v>9</v>
      </c>
      <c r="AI207" t="s">
        <v>190</v>
      </c>
      <c r="AJ207">
        <v>28924</v>
      </c>
      <c r="AL207">
        <f>COUNTIF(AI:AI,AK207)</f>
        <v>0</v>
      </c>
      <c r="AM207">
        <f>SUMIF(AI:AI,AK207,AJ:AJ)</f>
        <v>0</v>
      </c>
      <c r="AP207" t="s">
        <v>32</v>
      </c>
      <c r="AQ207" t="s">
        <v>89</v>
      </c>
      <c r="BP207" t="s">
        <v>14</v>
      </c>
      <c r="BQ207" t="s">
        <v>227</v>
      </c>
      <c r="BR207">
        <f t="shared" si="47"/>
        <v>12</v>
      </c>
      <c r="BS207">
        <f t="shared" si="49"/>
        <v>2023</v>
      </c>
      <c r="BT207">
        <v>8</v>
      </c>
      <c r="BU207" t="str">
        <f t="shared" si="50"/>
        <v>2023-12</v>
      </c>
      <c r="BV207">
        <f t="shared" si="51"/>
        <v>1</v>
      </c>
      <c r="BX207" t="s">
        <v>33</v>
      </c>
      <c r="BY207" t="s">
        <v>189</v>
      </c>
      <c r="BZ207">
        <v>28924</v>
      </c>
      <c r="CA207">
        <f t="shared" si="52"/>
        <v>11</v>
      </c>
      <c r="CB207">
        <f t="shared" si="53"/>
        <v>2023</v>
      </c>
      <c r="CC207" t="str">
        <f t="shared" si="54"/>
        <v>2023-11</v>
      </c>
    </row>
    <row r="208" spans="1:81" x14ac:dyDescent="0.25">
      <c r="A208" t="s">
        <v>36</v>
      </c>
      <c r="B208" t="s">
        <v>191</v>
      </c>
      <c r="C208" t="s">
        <v>189</v>
      </c>
      <c r="D208">
        <v>81688</v>
      </c>
      <c r="E208">
        <v>9</v>
      </c>
      <c r="P208" t="s">
        <v>20</v>
      </c>
      <c r="Q208" t="s">
        <v>93</v>
      </c>
      <c r="R208">
        <v>5</v>
      </c>
      <c r="AI208" t="s">
        <v>191</v>
      </c>
      <c r="AJ208">
        <v>81688</v>
      </c>
      <c r="AL208">
        <f>COUNTIF(AI:AI,AK208)</f>
        <v>0</v>
      </c>
      <c r="AM208">
        <f>SUMIF(AI:AI,AK208,AJ:AJ)</f>
        <v>0</v>
      </c>
      <c r="AP208" t="s">
        <v>10</v>
      </c>
      <c r="AQ208" t="s">
        <v>169</v>
      </c>
      <c r="BP208" t="s">
        <v>14</v>
      </c>
      <c r="BQ208" t="s">
        <v>234</v>
      </c>
      <c r="BR208">
        <f t="shared" si="47"/>
        <v>12</v>
      </c>
      <c r="BS208">
        <f t="shared" si="49"/>
        <v>2023</v>
      </c>
      <c r="BT208">
        <v>9</v>
      </c>
      <c r="BU208" t="str">
        <f t="shared" si="50"/>
        <v>2023-12</v>
      </c>
      <c r="BV208">
        <f t="shared" si="51"/>
        <v>2</v>
      </c>
      <c r="BX208" t="s">
        <v>36</v>
      </c>
      <c r="BY208" t="s">
        <v>189</v>
      </c>
      <c r="BZ208">
        <v>81688</v>
      </c>
      <c r="CA208">
        <f t="shared" si="52"/>
        <v>11</v>
      </c>
      <c r="CB208">
        <f t="shared" si="53"/>
        <v>2023</v>
      </c>
      <c r="CC208" t="str">
        <f t="shared" si="54"/>
        <v>2023-11</v>
      </c>
    </row>
    <row r="209" spans="1:81" x14ac:dyDescent="0.25">
      <c r="A209" t="s">
        <v>20</v>
      </c>
      <c r="B209" t="s">
        <v>93</v>
      </c>
      <c r="C209" t="s">
        <v>192</v>
      </c>
      <c r="D209">
        <v>45461</v>
      </c>
      <c r="E209">
        <v>5</v>
      </c>
      <c r="P209" t="s">
        <v>27</v>
      </c>
      <c r="Q209" t="s">
        <v>51</v>
      </c>
      <c r="R209">
        <v>8</v>
      </c>
      <c r="AI209" t="s">
        <v>93</v>
      </c>
      <c r="AJ209">
        <v>45461</v>
      </c>
      <c r="AL209">
        <f>COUNTIF(AI:AI,AK209)</f>
        <v>0</v>
      </c>
      <c r="AM209">
        <f>SUMIF(AI:AI,AK209,AJ:AJ)</f>
        <v>0</v>
      </c>
      <c r="AP209" t="s">
        <v>36</v>
      </c>
      <c r="AQ209" t="s">
        <v>197</v>
      </c>
      <c r="BP209" t="s">
        <v>14</v>
      </c>
      <c r="BQ209" t="s">
        <v>235</v>
      </c>
      <c r="BR209">
        <f t="shared" si="47"/>
        <v>12</v>
      </c>
      <c r="BS209">
        <f t="shared" si="49"/>
        <v>2023</v>
      </c>
      <c r="BT209">
        <v>5</v>
      </c>
      <c r="BU209" t="str">
        <f t="shared" si="50"/>
        <v>2023-12</v>
      </c>
      <c r="BV209">
        <f t="shared" si="51"/>
        <v>0</v>
      </c>
      <c r="BX209" t="s">
        <v>20</v>
      </c>
      <c r="BY209" t="s">
        <v>192</v>
      </c>
      <c r="BZ209">
        <v>45461</v>
      </c>
      <c r="CA209">
        <f t="shared" si="52"/>
        <v>11</v>
      </c>
      <c r="CB209">
        <f t="shared" si="53"/>
        <v>2023</v>
      </c>
      <c r="CC209" t="str">
        <f t="shared" si="54"/>
        <v>2023-11</v>
      </c>
    </row>
    <row r="210" spans="1:81" x14ac:dyDescent="0.25">
      <c r="A210" t="s">
        <v>27</v>
      </c>
      <c r="B210" t="s">
        <v>51</v>
      </c>
      <c r="C210" t="s">
        <v>192</v>
      </c>
      <c r="D210">
        <v>80382</v>
      </c>
      <c r="E210">
        <v>8</v>
      </c>
      <c r="P210" t="s">
        <v>14</v>
      </c>
      <c r="Q210" t="s">
        <v>21</v>
      </c>
      <c r="R210">
        <v>3</v>
      </c>
      <c r="AI210" t="s">
        <v>51</v>
      </c>
      <c r="AJ210">
        <v>80382</v>
      </c>
      <c r="AL210">
        <f>COUNTIF(AI:AI,AK210)</f>
        <v>0</v>
      </c>
      <c r="AM210">
        <f>SUMIF(AI:AI,AK210,AJ:AJ)</f>
        <v>0</v>
      </c>
      <c r="AP210" t="s">
        <v>23</v>
      </c>
      <c r="AQ210" t="s">
        <v>116</v>
      </c>
      <c r="BP210" t="s">
        <v>14</v>
      </c>
      <c r="BQ210" t="s">
        <v>243</v>
      </c>
      <c r="BR210">
        <f t="shared" si="47"/>
        <v>12</v>
      </c>
      <c r="BS210">
        <f t="shared" si="49"/>
        <v>2023</v>
      </c>
      <c r="BT210">
        <v>8</v>
      </c>
      <c r="BU210" t="str">
        <f t="shared" si="50"/>
        <v>2023-12</v>
      </c>
      <c r="BV210">
        <f t="shared" si="51"/>
        <v>1</v>
      </c>
      <c r="BX210" t="s">
        <v>27</v>
      </c>
      <c r="BY210" t="s">
        <v>192</v>
      </c>
      <c r="BZ210">
        <v>80382</v>
      </c>
      <c r="CA210">
        <f t="shared" si="52"/>
        <v>11</v>
      </c>
      <c r="CB210">
        <f t="shared" si="53"/>
        <v>2023</v>
      </c>
      <c r="CC210" t="str">
        <f t="shared" si="54"/>
        <v>2023-11</v>
      </c>
    </row>
    <row r="211" spans="1:81" x14ac:dyDescent="0.25">
      <c r="A211" t="s">
        <v>14</v>
      </c>
      <c r="B211" t="s">
        <v>21</v>
      </c>
      <c r="C211" t="s">
        <v>192</v>
      </c>
      <c r="D211">
        <v>15568</v>
      </c>
      <c r="E211">
        <v>3</v>
      </c>
      <c r="P211" t="s">
        <v>14</v>
      </c>
      <c r="Q211" t="s">
        <v>110</v>
      </c>
      <c r="R211">
        <v>7</v>
      </c>
      <c r="AI211" t="s">
        <v>21</v>
      </c>
      <c r="AJ211">
        <v>15568</v>
      </c>
      <c r="AL211">
        <f>COUNTIF(AI:AI,AK211)</f>
        <v>0</v>
      </c>
      <c r="AM211">
        <f>SUMIF(AI:AI,AK211,AJ:AJ)</f>
        <v>0</v>
      </c>
      <c r="AP211" t="s">
        <v>23</v>
      </c>
      <c r="AQ211" t="s">
        <v>181</v>
      </c>
      <c r="BP211" t="s">
        <v>14</v>
      </c>
      <c r="BQ211" t="s">
        <v>265</v>
      </c>
      <c r="BR211">
        <f t="shared" si="47"/>
        <v>1</v>
      </c>
      <c r="BS211">
        <f t="shared" si="49"/>
        <v>2024</v>
      </c>
      <c r="BT211">
        <v>3</v>
      </c>
      <c r="BU211" t="str">
        <f t="shared" si="50"/>
        <v>2024-1</v>
      </c>
      <c r="BV211">
        <f t="shared" si="51"/>
        <v>0</v>
      </c>
      <c r="BX211" t="s">
        <v>14</v>
      </c>
      <c r="BY211" t="s">
        <v>192</v>
      </c>
      <c r="BZ211">
        <v>15568</v>
      </c>
      <c r="CA211">
        <f t="shared" si="52"/>
        <v>11</v>
      </c>
      <c r="CB211">
        <f t="shared" si="53"/>
        <v>2023</v>
      </c>
      <c r="CC211" t="str">
        <f t="shared" si="54"/>
        <v>2023-11</v>
      </c>
    </row>
    <row r="212" spans="1:81" x14ac:dyDescent="0.25">
      <c r="A212" t="s">
        <v>14</v>
      </c>
      <c r="B212" t="s">
        <v>110</v>
      </c>
      <c r="C212" t="s">
        <v>192</v>
      </c>
      <c r="D212">
        <v>84605</v>
      </c>
      <c r="E212">
        <v>7</v>
      </c>
      <c r="P212" t="s">
        <v>12</v>
      </c>
      <c r="Q212" t="s">
        <v>193</v>
      </c>
      <c r="R212">
        <v>2</v>
      </c>
      <c r="AI212" t="s">
        <v>110</v>
      </c>
      <c r="AJ212">
        <v>84605</v>
      </c>
      <c r="AL212">
        <f>COUNTIF(AI:AI,AK212)</f>
        <v>0</v>
      </c>
      <c r="AM212">
        <f>SUMIF(AI:AI,AK212,AJ:AJ)</f>
        <v>0</v>
      </c>
      <c r="AP212" t="s">
        <v>36</v>
      </c>
      <c r="AQ212" t="s">
        <v>82</v>
      </c>
      <c r="BP212" t="s">
        <v>14</v>
      </c>
      <c r="BQ212" t="s">
        <v>272</v>
      </c>
      <c r="BR212">
        <f t="shared" si="47"/>
        <v>1</v>
      </c>
      <c r="BS212">
        <f t="shared" si="49"/>
        <v>2024</v>
      </c>
      <c r="BT212">
        <v>7</v>
      </c>
      <c r="BU212" t="str">
        <f t="shared" si="50"/>
        <v>2024-1</v>
      </c>
      <c r="BV212">
        <f t="shared" si="51"/>
        <v>1</v>
      </c>
      <c r="BX212" t="s">
        <v>14</v>
      </c>
      <c r="BY212" t="s">
        <v>192</v>
      </c>
      <c r="BZ212">
        <v>84605</v>
      </c>
      <c r="CA212">
        <f t="shared" si="52"/>
        <v>11</v>
      </c>
      <c r="CB212">
        <f t="shared" si="53"/>
        <v>2023</v>
      </c>
      <c r="CC212" t="str">
        <f t="shared" si="54"/>
        <v>2023-11</v>
      </c>
    </row>
    <row r="213" spans="1:81" x14ac:dyDescent="0.25">
      <c r="A213" t="s">
        <v>12</v>
      </c>
      <c r="B213" t="s">
        <v>193</v>
      </c>
      <c r="C213" t="s">
        <v>194</v>
      </c>
      <c r="D213">
        <v>10026</v>
      </c>
      <c r="E213">
        <v>2</v>
      </c>
      <c r="P213" t="s">
        <v>23</v>
      </c>
      <c r="Q213" t="s">
        <v>195</v>
      </c>
      <c r="R213">
        <v>5</v>
      </c>
      <c r="AI213" t="s">
        <v>193</v>
      </c>
      <c r="AJ213">
        <v>10026</v>
      </c>
      <c r="AL213">
        <f>COUNTIF(AI:AI,AK213)</f>
        <v>0</v>
      </c>
      <c r="AM213">
        <f>SUMIF(AI:AI,AK213,AJ:AJ)</f>
        <v>0</v>
      </c>
      <c r="AP213" t="s">
        <v>14</v>
      </c>
      <c r="AQ213" t="s">
        <v>180</v>
      </c>
      <c r="BP213" t="s">
        <v>14</v>
      </c>
      <c r="BQ213" t="s">
        <v>282</v>
      </c>
      <c r="BR213">
        <f t="shared" si="47"/>
        <v>1</v>
      </c>
      <c r="BS213">
        <f t="shared" si="49"/>
        <v>2024</v>
      </c>
      <c r="BT213">
        <v>2</v>
      </c>
      <c r="BU213" t="str">
        <f t="shared" si="50"/>
        <v>2024-1</v>
      </c>
      <c r="BV213">
        <f t="shared" si="51"/>
        <v>0</v>
      </c>
      <c r="BX213" t="s">
        <v>12</v>
      </c>
      <c r="BY213" t="s">
        <v>194</v>
      </c>
      <c r="BZ213">
        <v>10026</v>
      </c>
      <c r="CA213">
        <f t="shared" si="52"/>
        <v>11</v>
      </c>
      <c r="CB213">
        <f t="shared" si="53"/>
        <v>2023</v>
      </c>
      <c r="CC213" t="str">
        <f t="shared" si="54"/>
        <v>2023-11</v>
      </c>
    </row>
    <row r="214" spans="1:81" x14ac:dyDescent="0.25">
      <c r="A214" t="s">
        <v>23</v>
      </c>
      <c r="B214" t="s">
        <v>195</v>
      </c>
      <c r="C214" t="s">
        <v>194</v>
      </c>
      <c r="D214">
        <v>69567</v>
      </c>
      <c r="E214">
        <v>5</v>
      </c>
      <c r="P214" t="s">
        <v>12</v>
      </c>
      <c r="Q214" t="s">
        <v>196</v>
      </c>
      <c r="R214">
        <v>5</v>
      </c>
      <c r="AI214" t="s">
        <v>195</v>
      </c>
      <c r="AJ214">
        <v>69567</v>
      </c>
      <c r="AL214">
        <f>COUNTIF(AI:AI,AK214)</f>
        <v>0</v>
      </c>
      <c r="AM214">
        <f>SUMIF(AI:AI,AK214,AJ:AJ)</f>
        <v>0</v>
      </c>
      <c r="AP214" t="s">
        <v>17</v>
      </c>
      <c r="AQ214" t="s">
        <v>57</v>
      </c>
      <c r="BP214" t="s">
        <v>14</v>
      </c>
      <c r="BQ214" t="s">
        <v>285</v>
      </c>
      <c r="BR214">
        <f t="shared" si="47"/>
        <v>2</v>
      </c>
      <c r="BS214">
        <f t="shared" si="49"/>
        <v>2024</v>
      </c>
      <c r="BT214">
        <v>5</v>
      </c>
      <c r="BU214" t="str">
        <f t="shared" si="50"/>
        <v>2024-2</v>
      </c>
      <c r="BV214">
        <f t="shared" si="51"/>
        <v>0</v>
      </c>
      <c r="BX214" t="s">
        <v>23</v>
      </c>
      <c r="BY214" t="s">
        <v>194</v>
      </c>
      <c r="BZ214">
        <v>69567</v>
      </c>
      <c r="CA214">
        <f t="shared" si="52"/>
        <v>11</v>
      </c>
      <c r="CB214">
        <f t="shared" si="53"/>
        <v>2023</v>
      </c>
      <c r="CC214" t="str">
        <f t="shared" si="54"/>
        <v>2023-11</v>
      </c>
    </row>
    <row r="215" spans="1:81" x14ac:dyDescent="0.25">
      <c r="A215" t="s">
        <v>12</v>
      </c>
      <c r="B215" t="s">
        <v>196</v>
      </c>
      <c r="C215" t="s">
        <v>194</v>
      </c>
      <c r="D215">
        <v>97118</v>
      </c>
      <c r="E215">
        <v>5</v>
      </c>
      <c r="P215" t="s">
        <v>32</v>
      </c>
      <c r="Q215" t="s">
        <v>89</v>
      </c>
      <c r="R215">
        <v>8</v>
      </c>
      <c r="AI215" t="s">
        <v>196</v>
      </c>
      <c r="AJ215">
        <v>97118</v>
      </c>
      <c r="AL215">
        <f>COUNTIF(AI:AI,AK215)</f>
        <v>0</v>
      </c>
      <c r="AM215">
        <f>SUMIF(AI:AI,AK215,AJ:AJ)</f>
        <v>0</v>
      </c>
      <c r="AP215" t="s">
        <v>10</v>
      </c>
      <c r="AQ215" t="s">
        <v>199</v>
      </c>
      <c r="BP215" t="s">
        <v>14</v>
      </c>
      <c r="BQ215" t="s">
        <v>285</v>
      </c>
      <c r="BR215">
        <f t="shared" ref="BR215:BR278" si="55">MONTH(BQ215)</f>
        <v>2</v>
      </c>
      <c r="BS215">
        <f t="shared" si="49"/>
        <v>2024</v>
      </c>
      <c r="BT215">
        <v>5</v>
      </c>
      <c r="BU215" t="str">
        <f t="shared" si="50"/>
        <v>2024-2</v>
      </c>
      <c r="BV215">
        <f t="shared" si="51"/>
        <v>0</v>
      </c>
      <c r="BX215" t="s">
        <v>12</v>
      </c>
      <c r="BY215" t="s">
        <v>194</v>
      </c>
      <c r="BZ215">
        <v>97118</v>
      </c>
      <c r="CA215">
        <f t="shared" si="52"/>
        <v>11</v>
      </c>
      <c r="CB215">
        <f t="shared" si="53"/>
        <v>2023</v>
      </c>
      <c r="CC215" t="str">
        <f t="shared" si="54"/>
        <v>2023-11</v>
      </c>
    </row>
    <row r="216" spans="1:81" x14ac:dyDescent="0.25">
      <c r="A216" t="s">
        <v>32</v>
      </c>
      <c r="B216" t="s">
        <v>89</v>
      </c>
      <c r="C216" t="s">
        <v>194</v>
      </c>
      <c r="D216">
        <v>76588</v>
      </c>
      <c r="E216">
        <v>8</v>
      </c>
      <c r="P216" t="s">
        <v>10</v>
      </c>
      <c r="Q216" t="s">
        <v>169</v>
      </c>
      <c r="R216">
        <v>8</v>
      </c>
      <c r="AI216" t="s">
        <v>89</v>
      </c>
      <c r="AJ216">
        <v>76588</v>
      </c>
      <c r="AL216">
        <f>COUNTIF(AI:AI,AK216)</f>
        <v>0</v>
      </c>
      <c r="AM216">
        <f>SUMIF(AI:AI,AK216,AJ:AJ)</f>
        <v>0</v>
      </c>
      <c r="AP216" t="s">
        <v>12</v>
      </c>
      <c r="AQ216" t="s">
        <v>197</v>
      </c>
      <c r="BP216" t="s">
        <v>14</v>
      </c>
      <c r="BQ216" t="s">
        <v>291</v>
      </c>
      <c r="BR216">
        <f t="shared" si="55"/>
        <v>2</v>
      </c>
      <c r="BS216">
        <f t="shared" si="49"/>
        <v>2024</v>
      </c>
      <c r="BT216">
        <v>8</v>
      </c>
      <c r="BU216" t="str">
        <f t="shared" si="50"/>
        <v>2024-2</v>
      </c>
      <c r="BV216">
        <f t="shared" si="51"/>
        <v>1</v>
      </c>
      <c r="BX216" t="s">
        <v>32</v>
      </c>
      <c r="BY216" t="s">
        <v>194</v>
      </c>
      <c r="BZ216">
        <v>76588</v>
      </c>
      <c r="CA216">
        <f t="shared" si="52"/>
        <v>11</v>
      </c>
      <c r="CB216">
        <f t="shared" si="53"/>
        <v>2023</v>
      </c>
      <c r="CC216" t="str">
        <f t="shared" si="54"/>
        <v>2023-11</v>
      </c>
    </row>
    <row r="217" spans="1:81" x14ac:dyDescent="0.25">
      <c r="A217" t="s">
        <v>10</v>
      </c>
      <c r="B217" t="s">
        <v>169</v>
      </c>
      <c r="C217" t="s">
        <v>194</v>
      </c>
      <c r="D217">
        <v>61185</v>
      </c>
      <c r="E217">
        <v>8</v>
      </c>
      <c r="P217" t="s">
        <v>36</v>
      </c>
      <c r="Q217" t="s">
        <v>197</v>
      </c>
      <c r="R217">
        <v>8</v>
      </c>
      <c r="AI217" t="s">
        <v>169</v>
      </c>
      <c r="AJ217">
        <v>61185</v>
      </c>
      <c r="AL217">
        <f>COUNTIF(AI:AI,AK217)</f>
        <v>0</v>
      </c>
      <c r="AM217">
        <f>SUMIF(AI:AI,AK217,AJ:AJ)</f>
        <v>0</v>
      </c>
      <c r="AP217" t="s">
        <v>32</v>
      </c>
      <c r="AQ217" t="s">
        <v>48</v>
      </c>
      <c r="BP217" t="s">
        <v>14</v>
      </c>
      <c r="BQ217" t="s">
        <v>301</v>
      </c>
      <c r="BR217">
        <f t="shared" si="55"/>
        <v>2</v>
      </c>
      <c r="BS217">
        <f t="shared" si="49"/>
        <v>2024</v>
      </c>
      <c r="BT217">
        <v>8</v>
      </c>
      <c r="BU217" t="str">
        <f t="shared" si="50"/>
        <v>2024-2</v>
      </c>
      <c r="BV217">
        <f t="shared" si="51"/>
        <v>1</v>
      </c>
      <c r="BX217" t="s">
        <v>10</v>
      </c>
      <c r="BY217" t="s">
        <v>194</v>
      </c>
      <c r="BZ217">
        <v>61185</v>
      </c>
      <c r="CA217">
        <f t="shared" si="52"/>
        <v>11</v>
      </c>
      <c r="CB217">
        <f t="shared" si="53"/>
        <v>2023</v>
      </c>
      <c r="CC217" t="str">
        <f t="shared" si="54"/>
        <v>2023-11</v>
      </c>
    </row>
    <row r="218" spans="1:81" x14ac:dyDescent="0.25">
      <c r="A218" t="s">
        <v>36</v>
      </c>
      <c r="B218" t="s">
        <v>197</v>
      </c>
      <c r="C218" t="s">
        <v>194</v>
      </c>
      <c r="D218">
        <v>40342</v>
      </c>
      <c r="E218">
        <v>8</v>
      </c>
      <c r="P218" t="s">
        <v>23</v>
      </c>
      <c r="Q218" t="s">
        <v>116</v>
      </c>
      <c r="R218">
        <v>7</v>
      </c>
      <c r="AI218" t="s">
        <v>197</v>
      </c>
      <c r="AJ218">
        <v>40342</v>
      </c>
      <c r="AL218">
        <f>COUNTIF(AI:AI,AK218)</f>
        <v>0</v>
      </c>
      <c r="AM218">
        <f>SUMIF(AI:AI,AK218,AJ:AJ)</f>
        <v>0</v>
      </c>
      <c r="AP218" t="s">
        <v>33</v>
      </c>
      <c r="AQ218" t="s">
        <v>202</v>
      </c>
      <c r="BP218" t="s">
        <v>14</v>
      </c>
      <c r="BQ218" t="s">
        <v>310</v>
      </c>
      <c r="BR218">
        <f t="shared" si="55"/>
        <v>2</v>
      </c>
      <c r="BS218">
        <f t="shared" si="49"/>
        <v>2024</v>
      </c>
      <c r="BT218">
        <v>8</v>
      </c>
      <c r="BU218" t="str">
        <f t="shared" si="50"/>
        <v>2024-2</v>
      </c>
      <c r="BV218">
        <f t="shared" si="51"/>
        <v>1</v>
      </c>
      <c r="BX218" t="s">
        <v>36</v>
      </c>
      <c r="BY218" t="s">
        <v>194</v>
      </c>
      <c r="BZ218">
        <v>40342</v>
      </c>
      <c r="CA218">
        <f t="shared" si="52"/>
        <v>11</v>
      </c>
      <c r="CB218">
        <f t="shared" si="53"/>
        <v>2023</v>
      </c>
      <c r="CC218" t="str">
        <f t="shared" si="54"/>
        <v>2023-11</v>
      </c>
    </row>
    <row r="219" spans="1:81" x14ac:dyDescent="0.25">
      <c r="A219" t="s">
        <v>23</v>
      </c>
      <c r="B219" t="s">
        <v>116</v>
      </c>
      <c r="C219" t="s">
        <v>194</v>
      </c>
      <c r="D219">
        <v>42285</v>
      </c>
      <c r="E219">
        <v>7</v>
      </c>
      <c r="P219" t="s">
        <v>23</v>
      </c>
      <c r="Q219" t="s">
        <v>181</v>
      </c>
      <c r="R219">
        <v>3</v>
      </c>
      <c r="AI219" t="s">
        <v>116</v>
      </c>
      <c r="AJ219">
        <v>42285</v>
      </c>
      <c r="AL219">
        <f>COUNTIF(AI:AI,AK219)</f>
        <v>0</v>
      </c>
      <c r="AM219">
        <f>SUMIF(AI:AI,AK219,AJ:AJ)</f>
        <v>0</v>
      </c>
      <c r="AP219" t="s">
        <v>12</v>
      </c>
      <c r="AQ219" t="s">
        <v>135</v>
      </c>
      <c r="BP219" t="s">
        <v>14</v>
      </c>
      <c r="BQ219" t="s">
        <v>310</v>
      </c>
      <c r="BR219">
        <f t="shared" si="55"/>
        <v>2</v>
      </c>
      <c r="BS219">
        <f t="shared" si="49"/>
        <v>2024</v>
      </c>
      <c r="BT219">
        <v>7</v>
      </c>
      <c r="BU219" t="str">
        <f t="shared" si="50"/>
        <v>2024-2</v>
      </c>
      <c r="BV219">
        <f t="shared" si="51"/>
        <v>1</v>
      </c>
      <c r="BX219" t="s">
        <v>23</v>
      </c>
      <c r="BY219" t="s">
        <v>194</v>
      </c>
      <c r="BZ219">
        <v>42285</v>
      </c>
      <c r="CA219">
        <f t="shared" si="52"/>
        <v>11</v>
      </c>
      <c r="CB219">
        <f t="shared" si="53"/>
        <v>2023</v>
      </c>
      <c r="CC219" t="str">
        <f t="shared" si="54"/>
        <v>2023-11</v>
      </c>
    </row>
    <row r="220" spans="1:81" x14ac:dyDescent="0.25">
      <c r="A220" t="s">
        <v>23</v>
      </c>
      <c r="B220" t="s">
        <v>181</v>
      </c>
      <c r="C220" t="s">
        <v>194</v>
      </c>
      <c r="D220">
        <v>69820</v>
      </c>
      <c r="E220">
        <v>3</v>
      </c>
      <c r="P220" t="s">
        <v>36</v>
      </c>
      <c r="Q220" t="s">
        <v>82</v>
      </c>
      <c r="R220">
        <v>3</v>
      </c>
      <c r="AI220" t="s">
        <v>181</v>
      </c>
      <c r="AJ220">
        <v>69820</v>
      </c>
      <c r="AL220">
        <f>COUNTIF(AI:AI,AK220)</f>
        <v>0</v>
      </c>
      <c r="AM220">
        <f>SUMIF(AI:AI,AK220,AJ:AJ)</f>
        <v>0</v>
      </c>
      <c r="AP220" t="s">
        <v>33</v>
      </c>
      <c r="AQ220" t="s">
        <v>203</v>
      </c>
      <c r="BP220" t="s">
        <v>14</v>
      </c>
      <c r="BQ220" t="s">
        <v>315</v>
      </c>
      <c r="BR220">
        <f t="shared" si="55"/>
        <v>3</v>
      </c>
      <c r="BS220">
        <f t="shared" si="49"/>
        <v>2024</v>
      </c>
      <c r="BT220">
        <v>3</v>
      </c>
      <c r="BU220" t="str">
        <f t="shared" si="50"/>
        <v>2024-3</v>
      </c>
      <c r="BV220">
        <f t="shared" si="51"/>
        <v>0</v>
      </c>
      <c r="BX220" t="s">
        <v>23</v>
      </c>
      <c r="BY220" t="s">
        <v>194</v>
      </c>
      <c r="BZ220">
        <v>69820</v>
      </c>
      <c r="CA220">
        <f t="shared" si="52"/>
        <v>11</v>
      </c>
      <c r="CB220">
        <f t="shared" si="53"/>
        <v>2023</v>
      </c>
      <c r="CC220" t="str">
        <f t="shared" si="54"/>
        <v>2023-11</v>
      </c>
    </row>
    <row r="221" spans="1:81" x14ac:dyDescent="0.25">
      <c r="A221" t="s">
        <v>36</v>
      </c>
      <c r="B221" t="s">
        <v>82</v>
      </c>
      <c r="C221" t="s">
        <v>194</v>
      </c>
      <c r="D221">
        <v>28128</v>
      </c>
      <c r="E221">
        <v>3</v>
      </c>
      <c r="P221" t="s">
        <v>8</v>
      </c>
      <c r="Q221" t="s">
        <v>35</v>
      </c>
      <c r="R221">
        <v>1</v>
      </c>
      <c r="AI221" t="s">
        <v>82</v>
      </c>
      <c r="AJ221">
        <v>28128</v>
      </c>
      <c r="AL221">
        <f>COUNTIF(AI:AI,AK221)</f>
        <v>0</v>
      </c>
      <c r="AM221">
        <f>SUMIF(AI:AI,AK221,AJ:AJ)</f>
        <v>0</v>
      </c>
      <c r="AP221" t="s">
        <v>8</v>
      </c>
      <c r="AQ221" t="s">
        <v>19</v>
      </c>
      <c r="BP221" t="s">
        <v>14</v>
      </c>
      <c r="BQ221" t="s">
        <v>328</v>
      </c>
      <c r="BR221">
        <f t="shared" si="55"/>
        <v>3</v>
      </c>
      <c r="BS221">
        <f t="shared" si="49"/>
        <v>2024</v>
      </c>
      <c r="BT221">
        <v>3</v>
      </c>
      <c r="BU221" t="str">
        <f t="shared" si="50"/>
        <v>2024-3</v>
      </c>
      <c r="BV221">
        <f t="shared" si="51"/>
        <v>0</v>
      </c>
      <c r="BX221" t="s">
        <v>36</v>
      </c>
      <c r="BY221" t="s">
        <v>194</v>
      </c>
      <c r="BZ221">
        <v>28128</v>
      </c>
      <c r="CA221">
        <f t="shared" si="52"/>
        <v>11</v>
      </c>
      <c r="CB221">
        <f t="shared" si="53"/>
        <v>2023</v>
      </c>
      <c r="CC221" t="str">
        <f t="shared" si="54"/>
        <v>2023-11</v>
      </c>
    </row>
    <row r="222" spans="1:81" x14ac:dyDescent="0.25">
      <c r="A222" t="s">
        <v>8</v>
      </c>
      <c r="B222" t="s">
        <v>35</v>
      </c>
      <c r="C222" t="s">
        <v>194</v>
      </c>
      <c r="D222">
        <v>45223</v>
      </c>
      <c r="E222">
        <v>1</v>
      </c>
      <c r="P222" t="s">
        <v>14</v>
      </c>
      <c r="Q222" t="s">
        <v>180</v>
      </c>
      <c r="R222">
        <v>3</v>
      </c>
      <c r="AI222" t="s">
        <v>35</v>
      </c>
      <c r="AJ222">
        <v>45223</v>
      </c>
      <c r="AL222">
        <f>COUNTIF(AI:AI,AK222)</f>
        <v>0</v>
      </c>
      <c r="AM222">
        <f>SUMIF(AI:AI,AK222,AJ:AJ)</f>
        <v>0</v>
      </c>
      <c r="AP222" t="s">
        <v>20</v>
      </c>
      <c r="AQ222" t="s">
        <v>74</v>
      </c>
      <c r="BP222" t="s">
        <v>14</v>
      </c>
      <c r="BQ222" t="s">
        <v>333</v>
      </c>
      <c r="BR222">
        <f t="shared" si="55"/>
        <v>3</v>
      </c>
      <c r="BS222">
        <f t="shared" si="49"/>
        <v>2024</v>
      </c>
      <c r="BT222">
        <v>1</v>
      </c>
      <c r="BU222" t="str">
        <f t="shared" si="50"/>
        <v>2024-3</v>
      </c>
      <c r="BV222">
        <f t="shared" si="51"/>
        <v>0</v>
      </c>
      <c r="BX222" t="s">
        <v>8</v>
      </c>
      <c r="BY222" t="s">
        <v>194</v>
      </c>
      <c r="BZ222">
        <v>45223</v>
      </c>
      <c r="CA222">
        <f t="shared" si="52"/>
        <v>11</v>
      </c>
      <c r="CB222">
        <f t="shared" si="53"/>
        <v>2023</v>
      </c>
      <c r="CC222" t="str">
        <f t="shared" si="54"/>
        <v>2023-11</v>
      </c>
    </row>
    <row r="223" spans="1:81" x14ac:dyDescent="0.25">
      <c r="A223" t="s">
        <v>14</v>
      </c>
      <c r="B223" t="s">
        <v>180</v>
      </c>
      <c r="C223" t="s">
        <v>194</v>
      </c>
      <c r="D223">
        <v>25431</v>
      </c>
      <c r="E223">
        <v>3</v>
      </c>
      <c r="P223" t="s">
        <v>17</v>
      </c>
      <c r="Q223" t="s">
        <v>57</v>
      </c>
      <c r="R223">
        <v>7</v>
      </c>
      <c r="AI223" t="s">
        <v>180</v>
      </c>
      <c r="AJ223">
        <v>25431</v>
      </c>
      <c r="AL223">
        <f>COUNTIF(AI:AI,AK223)</f>
        <v>0</v>
      </c>
      <c r="AM223">
        <f>SUMIF(AI:AI,AK223,AJ:AJ)</f>
        <v>0</v>
      </c>
      <c r="AP223" t="s">
        <v>23</v>
      </c>
      <c r="AQ223" t="s">
        <v>202</v>
      </c>
      <c r="BP223" t="s">
        <v>14</v>
      </c>
      <c r="BQ223" t="s">
        <v>335</v>
      </c>
      <c r="BR223">
        <f t="shared" si="55"/>
        <v>3</v>
      </c>
      <c r="BS223">
        <f t="shared" si="49"/>
        <v>2024</v>
      </c>
      <c r="BT223">
        <v>3</v>
      </c>
      <c r="BU223" t="str">
        <f t="shared" si="50"/>
        <v>2024-3</v>
      </c>
      <c r="BV223">
        <f t="shared" si="51"/>
        <v>0</v>
      </c>
      <c r="BX223" t="s">
        <v>14</v>
      </c>
      <c r="BY223" t="s">
        <v>194</v>
      </c>
      <c r="BZ223">
        <v>25431</v>
      </c>
      <c r="CA223">
        <f t="shared" si="52"/>
        <v>11</v>
      </c>
      <c r="CB223">
        <f t="shared" si="53"/>
        <v>2023</v>
      </c>
      <c r="CC223" t="str">
        <f t="shared" si="54"/>
        <v>2023-11</v>
      </c>
    </row>
    <row r="224" spans="1:81" x14ac:dyDescent="0.25">
      <c r="A224" t="s">
        <v>17</v>
      </c>
      <c r="B224" t="s">
        <v>57</v>
      </c>
      <c r="C224" t="s">
        <v>198</v>
      </c>
      <c r="D224">
        <v>79022</v>
      </c>
      <c r="E224">
        <v>7</v>
      </c>
      <c r="P224" t="s">
        <v>10</v>
      </c>
      <c r="Q224" t="s">
        <v>199</v>
      </c>
      <c r="R224">
        <v>7</v>
      </c>
      <c r="AI224" t="s">
        <v>57</v>
      </c>
      <c r="AJ224">
        <v>79022</v>
      </c>
      <c r="AL224">
        <f>COUNTIF(AI:AI,AK224)</f>
        <v>0</v>
      </c>
      <c r="AM224">
        <f>SUMIF(AI:AI,AK224,AJ:AJ)</f>
        <v>0</v>
      </c>
      <c r="AP224" t="s">
        <v>36</v>
      </c>
      <c r="AQ224" t="s">
        <v>88</v>
      </c>
      <c r="BP224" t="s">
        <v>14</v>
      </c>
      <c r="BQ224" t="s">
        <v>339</v>
      </c>
      <c r="BR224">
        <f t="shared" si="55"/>
        <v>3</v>
      </c>
      <c r="BS224">
        <f t="shared" si="49"/>
        <v>2024</v>
      </c>
      <c r="BT224">
        <v>7</v>
      </c>
      <c r="BU224" t="str">
        <f t="shared" si="50"/>
        <v>2024-3</v>
      </c>
      <c r="BV224">
        <f t="shared" si="51"/>
        <v>1</v>
      </c>
      <c r="BX224" t="s">
        <v>17</v>
      </c>
      <c r="BY224" t="s">
        <v>198</v>
      </c>
      <c r="BZ224">
        <v>79022</v>
      </c>
      <c r="CA224">
        <f t="shared" si="52"/>
        <v>11</v>
      </c>
      <c r="CB224">
        <f t="shared" si="53"/>
        <v>2023</v>
      </c>
      <c r="CC224" t="str">
        <f t="shared" si="54"/>
        <v>2023-11</v>
      </c>
    </row>
    <row r="225" spans="1:81" x14ac:dyDescent="0.25">
      <c r="A225" t="s">
        <v>10</v>
      </c>
      <c r="B225" t="s">
        <v>199</v>
      </c>
      <c r="C225" t="s">
        <v>200</v>
      </c>
      <c r="D225">
        <v>42065</v>
      </c>
      <c r="E225">
        <v>7</v>
      </c>
      <c r="P225" t="s">
        <v>12</v>
      </c>
      <c r="Q225" t="s">
        <v>197</v>
      </c>
      <c r="R225">
        <v>9</v>
      </c>
      <c r="AI225" t="s">
        <v>199</v>
      </c>
      <c r="AJ225">
        <v>42065</v>
      </c>
      <c r="AL225">
        <f>COUNTIF(AI:AI,AK225)</f>
        <v>0</v>
      </c>
      <c r="AM225">
        <f>SUMIF(AI:AI,AK225,AJ:AJ)</f>
        <v>0</v>
      </c>
      <c r="AP225" t="s">
        <v>36</v>
      </c>
      <c r="AQ225" t="s">
        <v>132</v>
      </c>
      <c r="BP225" t="s">
        <v>14</v>
      </c>
      <c r="BQ225" t="s">
        <v>348</v>
      </c>
      <c r="BR225">
        <f t="shared" si="55"/>
        <v>4</v>
      </c>
      <c r="BS225">
        <f t="shared" si="49"/>
        <v>2024</v>
      </c>
      <c r="BT225">
        <v>7</v>
      </c>
      <c r="BU225" t="str">
        <f t="shared" si="50"/>
        <v>2024-4</v>
      </c>
      <c r="BV225">
        <f t="shared" si="51"/>
        <v>1</v>
      </c>
      <c r="BX225" t="s">
        <v>10</v>
      </c>
      <c r="BY225" t="s">
        <v>200</v>
      </c>
      <c r="BZ225">
        <v>42065</v>
      </c>
      <c r="CA225">
        <f t="shared" si="52"/>
        <v>11</v>
      </c>
      <c r="CB225">
        <f t="shared" si="53"/>
        <v>2023</v>
      </c>
      <c r="CC225" t="str">
        <f t="shared" si="54"/>
        <v>2023-11</v>
      </c>
    </row>
    <row r="226" spans="1:81" x14ac:dyDescent="0.25">
      <c r="A226" t="s">
        <v>12</v>
      </c>
      <c r="B226" t="s">
        <v>197</v>
      </c>
      <c r="C226" t="s">
        <v>200</v>
      </c>
      <c r="D226">
        <v>75739</v>
      </c>
      <c r="E226">
        <v>9</v>
      </c>
      <c r="P226" t="s">
        <v>32</v>
      </c>
      <c r="Q226" t="s">
        <v>48</v>
      </c>
      <c r="R226">
        <v>9</v>
      </c>
      <c r="AI226" t="s">
        <v>197</v>
      </c>
      <c r="AJ226">
        <v>75739</v>
      </c>
      <c r="AL226">
        <f>COUNTIF(AI:AI,AK226)</f>
        <v>0</v>
      </c>
      <c r="AM226">
        <f>SUMIF(AI:AI,AK226,AJ:AJ)</f>
        <v>0</v>
      </c>
      <c r="AP226" t="s">
        <v>36</v>
      </c>
      <c r="AQ226" t="s">
        <v>48</v>
      </c>
      <c r="BP226" t="s">
        <v>14</v>
      </c>
      <c r="BQ226" t="s">
        <v>351</v>
      </c>
      <c r="BR226">
        <f t="shared" si="55"/>
        <v>4</v>
      </c>
      <c r="BS226">
        <f t="shared" si="49"/>
        <v>2024</v>
      </c>
      <c r="BT226">
        <v>9</v>
      </c>
      <c r="BU226" t="str">
        <f t="shared" si="50"/>
        <v>2024-4</v>
      </c>
      <c r="BV226">
        <f t="shared" si="51"/>
        <v>2</v>
      </c>
      <c r="BX226" t="s">
        <v>12</v>
      </c>
      <c r="BY226" t="s">
        <v>200</v>
      </c>
      <c r="BZ226">
        <v>75739</v>
      </c>
      <c r="CA226">
        <f t="shared" si="52"/>
        <v>11</v>
      </c>
      <c r="CB226">
        <f t="shared" si="53"/>
        <v>2023</v>
      </c>
      <c r="CC226" t="str">
        <f t="shared" si="54"/>
        <v>2023-11</v>
      </c>
    </row>
    <row r="227" spans="1:81" x14ac:dyDescent="0.25">
      <c r="A227" t="s">
        <v>32</v>
      </c>
      <c r="B227" t="s">
        <v>48</v>
      </c>
      <c r="C227" t="s">
        <v>201</v>
      </c>
      <c r="D227">
        <v>88318</v>
      </c>
      <c r="E227">
        <v>9</v>
      </c>
      <c r="P227" t="s">
        <v>33</v>
      </c>
      <c r="Q227" t="s">
        <v>202</v>
      </c>
      <c r="R227">
        <v>10</v>
      </c>
      <c r="AI227" t="s">
        <v>48</v>
      </c>
      <c r="AJ227">
        <v>88318</v>
      </c>
      <c r="AL227">
        <f>COUNTIF(AI:AI,AK227)</f>
        <v>0</v>
      </c>
      <c r="AM227">
        <f>SUMIF(AI:AI,AK227,AJ:AJ)</f>
        <v>0</v>
      </c>
      <c r="AP227" t="s">
        <v>17</v>
      </c>
      <c r="AQ227" t="s">
        <v>206</v>
      </c>
      <c r="BP227" t="s">
        <v>14</v>
      </c>
      <c r="BQ227" t="s">
        <v>351</v>
      </c>
      <c r="BR227">
        <f t="shared" si="55"/>
        <v>4</v>
      </c>
      <c r="BS227">
        <f t="shared" si="49"/>
        <v>2024</v>
      </c>
      <c r="BT227">
        <v>9</v>
      </c>
      <c r="BU227" t="str">
        <f t="shared" si="50"/>
        <v>2024-4</v>
      </c>
      <c r="BV227">
        <f t="shared" si="51"/>
        <v>2</v>
      </c>
      <c r="BX227" t="s">
        <v>32</v>
      </c>
      <c r="BY227" t="s">
        <v>201</v>
      </c>
      <c r="BZ227">
        <v>88318</v>
      </c>
      <c r="CA227">
        <f t="shared" si="52"/>
        <v>11</v>
      </c>
      <c r="CB227">
        <f t="shared" si="53"/>
        <v>2023</v>
      </c>
      <c r="CC227" t="str">
        <f t="shared" si="54"/>
        <v>2023-11</v>
      </c>
    </row>
    <row r="228" spans="1:81" x14ac:dyDescent="0.25">
      <c r="A228" t="s">
        <v>33</v>
      </c>
      <c r="B228" t="s">
        <v>202</v>
      </c>
      <c r="C228" t="s">
        <v>201</v>
      </c>
      <c r="D228">
        <v>56134</v>
      </c>
      <c r="E228">
        <v>10</v>
      </c>
      <c r="P228" t="s">
        <v>12</v>
      </c>
      <c r="Q228" t="s">
        <v>135</v>
      </c>
      <c r="R228">
        <v>4</v>
      </c>
      <c r="AI228" t="s">
        <v>202</v>
      </c>
      <c r="AJ228">
        <v>56134</v>
      </c>
      <c r="AL228">
        <f>COUNTIF(AI:AI,AK228)</f>
        <v>0</v>
      </c>
      <c r="AM228">
        <f>SUMIF(AI:AI,AK228,AJ:AJ)</f>
        <v>0</v>
      </c>
      <c r="AP228" t="s">
        <v>36</v>
      </c>
      <c r="AQ228" t="s">
        <v>26</v>
      </c>
      <c r="BP228" t="s">
        <v>14</v>
      </c>
      <c r="BQ228" t="s">
        <v>351</v>
      </c>
      <c r="BR228">
        <f t="shared" si="55"/>
        <v>4</v>
      </c>
      <c r="BS228">
        <f t="shared" si="49"/>
        <v>2024</v>
      </c>
      <c r="BT228">
        <v>10</v>
      </c>
      <c r="BU228" t="str">
        <f t="shared" si="50"/>
        <v>2024-4</v>
      </c>
      <c r="BV228">
        <f t="shared" si="51"/>
        <v>2</v>
      </c>
      <c r="BX228" t="s">
        <v>33</v>
      </c>
      <c r="BY228" t="s">
        <v>201</v>
      </c>
      <c r="BZ228">
        <v>56134</v>
      </c>
      <c r="CA228">
        <f t="shared" si="52"/>
        <v>11</v>
      </c>
      <c r="CB228">
        <f t="shared" si="53"/>
        <v>2023</v>
      </c>
      <c r="CC228" t="str">
        <f t="shared" si="54"/>
        <v>2023-11</v>
      </c>
    </row>
    <row r="229" spans="1:81" x14ac:dyDescent="0.25">
      <c r="A229" t="s">
        <v>12</v>
      </c>
      <c r="B229" t="s">
        <v>135</v>
      </c>
      <c r="C229" t="s">
        <v>201</v>
      </c>
      <c r="D229">
        <v>25652</v>
      </c>
      <c r="E229">
        <v>4</v>
      </c>
      <c r="P229" t="s">
        <v>33</v>
      </c>
      <c r="Q229" t="s">
        <v>203</v>
      </c>
      <c r="R229">
        <v>7</v>
      </c>
      <c r="AI229" t="s">
        <v>135</v>
      </c>
      <c r="AJ229">
        <v>25652</v>
      </c>
      <c r="AL229">
        <f>COUNTIF(AI:AI,AK229)</f>
        <v>0</v>
      </c>
      <c r="AM229">
        <f>SUMIF(AI:AI,AK229,AJ:AJ)</f>
        <v>0</v>
      </c>
      <c r="AP229" t="s">
        <v>32</v>
      </c>
      <c r="AQ229" t="s">
        <v>143</v>
      </c>
      <c r="BP229" t="s">
        <v>14</v>
      </c>
      <c r="BQ229" t="s">
        <v>351</v>
      </c>
      <c r="BR229">
        <f t="shared" si="55"/>
        <v>4</v>
      </c>
      <c r="BS229">
        <f t="shared" si="49"/>
        <v>2024</v>
      </c>
      <c r="BT229">
        <v>4</v>
      </c>
      <c r="BU229" t="str">
        <f t="shared" si="50"/>
        <v>2024-4</v>
      </c>
      <c r="BV229">
        <f t="shared" si="51"/>
        <v>0</v>
      </c>
      <c r="BX229" t="s">
        <v>12</v>
      </c>
      <c r="BY229" t="s">
        <v>201</v>
      </c>
      <c r="BZ229">
        <v>25652</v>
      </c>
      <c r="CA229">
        <f t="shared" si="52"/>
        <v>11</v>
      </c>
      <c r="CB229">
        <f t="shared" si="53"/>
        <v>2023</v>
      </c>
      <c r="CC229" t="str">
        <f t="shared" si="54"/>
        <v>2023-11</v>
      </c>
    </row>
    <row r="230" spans="1:81" x14ac:dyDescent="0.25">
      <c r="A230" t="s">
        <v>33</v>
      </c>
      <c r="B230" t="s">
        <v>203</v>
      </c>
      <c r="C230" t="s">
        <v>204</v>
      </c>
      <c r="D230">
        <v>32316</v>
      </c>
      <c r="E230">
        <v>7</v>
      </c>
      <c r="P230" t="s">
        <v>8</v>
      </c>
      <c r="Q230" t="s">
        <v>19</v>
      </c>
      <c r="R230">
        <v>5</v>
      </c>
      <c r="AI230" t="s">
        <v>203</v>
      </c>
      <c r="AJ230">
        <v>32316</v>
      </c>
      <c r="AL230">
        <f>COUNTIF(AI:AI,AK230)</f>
        <v>0</v>
      </c>
      <c r="AM230">
        <f>SUMIF(AI:AI,AK230,AJ:AJ)</f>
        <v>0</v>
      </c>
      <c r="AP230" t="s">
        <v>10</v>
      </c>
      <c r="AQ230" t="s">
        <v>90</v>
      </c>
      <c r="BP230" t="s">
        <v>14</v>
      </c>
      <c r="BQ230" t="s">
        <v>357</v>
      </c>
      <c r="BR230">
        <f t="shared" si="55"/>
        <v>4</v>
      </c>
      <c r="BS230">
        <f t="shared" si="49"/>
        <v>2024</v>
      </c>
      <c r="BT230">
        <v>7</v>
      </c>
      <c r="BU230" t="str">
        <f t="shared" si="50"/>
        <v>2024-4</v>
      </c>
      <c r="BV230">
        <f t="shared" si="51"/>
        <v>1</v>
      </c>
      <c r="BX230" t="s">
        <v>33</v>
      </c>
      <c r="BY230" t="s">
        <v>204</v>
      </c>
      <c r="BZ230">
        <v>32316</v>
      </c>
      <c r="CA230">
        <f t="shared" si="52"/>
        <v>11</v>
      </c>
      <c r="CB230">
        <f t="shared" si="53"/>
        <v>2023</v>
      </c>
      <c r="CC230" t="str">
        <f t="shared" si="54"/>
        <v>2023-11</v>
      </c>
    </row>
    <row r="231" spans="1:81" x14ac:dyDescent="0.25">
      <c r="A231" t="s">
        <v>8</v>
      </c>
      <c r="B231" t="s">
        <v>19</v>
      </c>
      <c r="C231" t="s">
        <v>204</v>
      </c>
      <c r="D231">
        <v>39905</v>
      </c>
      <c r="E231">
        <v>5</v>
      </c>
      <c r="P231" t="s">
        <v>20</v>
      </c>
      <c r="Q231" t="s">
        <v>74</v>
      </c>
      <c r="R231">
        <v>7</v>
      </c>
      <c r="AI231" t="s">
        <v>19</v>
      </c>
      <c r="AJ231">
        <v>39905</v>
      </c>
      <c r="AL231">
        <f>COUNTIF(AI:AI,AK231)</f>
        <v>0</v>
      </c>
      <c r="AM231">
        <f>SUMIF(AI:AI,AK231,AJ:AJ)</f>
        <v>0</v>
      </c>
      <c r="AP231" t="s">
        <v>23</v>
      </c>
      <c r="AQ231" t="s">
        <v>98</v>
      </c>
      <c r="BP231" t="s">
        <v>14</v>
      </c>
      <c r="BQ231" t="s">
        <v>357</v>
      </c>
      <c r="BR231">
        <f t="shared" si="55"/>
        <v>4</v>
      </c>
      <c r="BS231">
        <f t="shared" si="49"/>
        <v>2024</v>
      </c>
      <c r="BT231">
        <v>5</v>
      </c>
      <c r="BU231" t="str">
        <f t="shared" si="50"/>
        <v>2024-4</v>
      </c>
      <c r="BV231">
        <f t="shared" si="51"/>
        <v>0</v>
      </c>
      <c r="BX231" t="s">
        <v>8</v>
      </c>
      <c r="BY231" t="s">
        <v>204</v>
      </c>
      <c r="BZ231">
        <v>39905</v>
      </c>
      <c r="CA231">
        <f t="shared" si="52"/>
        <v>11</v>
      </c>
      <c r="CB231">
        <f t="shared" si="53"/>
        <v>2023</v>
      </c>
      <c r="CC231" t="str">
        <f t="shared" si="54"/>
        <v>2023-11</v>
      </c>
    </row>
    <row r="232" spans="1:81" x14ac:dyDescent="0.25">
      <c r="A232" t="s">
        <v>20</v>
      </c>
      <c r="B232" t="s">
        <v>74</v>
      </c>
      <c r="C232" t="s">
        <v>205</v>
      </c>
      <c r="D232">
        <v>62332</v>
      </c>
      <c r="E232">
        <v>7</v>
      </c>
      <c r="P232" t="s">
        <v>23</v>
      </c>
      <c r="Q232" t="s">
        <v>202</v>
      </c>
      <c r="R232">
        <v>3</v>
      </c>
      <c r="AI232" t="s">
        <v>74</v>
      </c>
      <c r="AJ232">
        <v>62332</v>
      </c>
      <c r="AL232">
        <f>COUNTIF(AI:AI,AK232)</f>
        <v>0</v>
      </c>
      <c r="AM232">
        <f>SUMIF(AI:AI,AK232,AJ:AJ)</f>
        <v>0</v>
      </c>
      <c r="AP232" t="s">
        <v>17</v>
      </c>
      <c r="AQ232" t="s">
        <v>19</v>
      </c>
      <c r="BP232" t="s">
        <v>14</v>
      </c>
      <c r="BQ232" t="s">
        <v>366</v>
      </c>
      <c r="BR232">
        <f t="shared" si="55"/>
        <v>5</v>
      </c>
      <c r="BS232">
        <f t="shared" si="49"/>
        <v>2024</v>
      </c>
      <c r="BT232">
        <v>7</v>
      </c>
      <c r="BU232" t="str">
        <f t="shared" si="50"/>
        <v>2024-5</v>
      </c>
      <c r="BV232">
        <f t="shared" si="51"/>
        <v>1</v>
      </c>
      <c r="BX232" t="s">
        <v>20</v>
      </c>
      <c r="BY232" t="s">
        <v>205</v>
      </c>
      <c r="BZ232">
        <v>62332</v>
      </c>
      <c r="CA232">
        <f t="shared" si="52"/>
        <v>11</v>
      </c>
      <c r="CB232">
        <f t="shared" si="53"/>
        <v>2023</v>
      </c>
      <c r="CC232" t="str">
        <f t="shared" si="54"/>
        <v>2023-11</v>
      </c>
    </row>
    <row r="233" spans="1:81" x14ac:dyDescent="0.25">
      <c r="A233" t="s">
        <v>23</v>
      </c>
      <c r="B233" t="s">
        <v>202</v>
      </c>
      <c r="C233" t="s">
        <v>205</v>
      </c>
      <c r="D233">
        <v>11890</v>
      </c>
      <c r="E233">
        <v>3</v>
      </c>
      <c r="P233" t="s">
        <v>36</v>
      </c>
      <c r="Q233" t="s">
        <v>88</v>
      </c>
      <c r="R233">
        <v>9</v>
      </c>
      <c r="AI233" t="s">
        <v>202</v>
      </c>
      <c r="AJ233">
        <v>11890</v>
      </c>
      <c r="AL233">
        <f>COUNTIF(AI:AI,AK233)</f>
        <v>0</v>
      </c>
      <c r="AM233">
        <f>SUMIF(AI:AI,AK233,AJ:AJ)</f>
        <v>0</v>
      </c>
      <c r="AP233" t="s">
        <v>20</v>
      </c>
      <c r="AQ233" t="s">
        <v>110</v>
      </c>
      <c r="BP233" t="s">
        <v>14</v>
      </c>
      <c r="BQ233" t="s">
        <v>367</v>
      </c>
      <c r="BR233">
        <f t="shared" si="55"/>
        <v>5</v>
      </c>
      <c r="BS233">
        <f t="shared" si="49"/>
        <v>2024</v>
      </c>
      <c r="BT233">
        <v>3</v>
      </c>
      <c r="BU233" t="str">
        <f t="shared" si="50"/>
        <v>2024-5</v>
      </c>
      <c r="BV233">
        <f t="shared" si="51"/>
        <v>0</v>
      </c>
      <c r="BX233" t="s">
        <v>23</v>
      </c>
      <c r="BY233" t="s">
        <v>205</v>
      </c>
      <c r="BZ233">
        <v>11890</v>
      </c>
      <c r="CA233">
        <f t="shared" si="52"/>
        <v>11</v>
      </c>
      <c r="CB233">
        <f t="shared" si="53"/>
        <v>2023</v>
      </c>
      <c r="CC233" t="str">
        <f t="shared" si="54"/>
        <v>2023-11</v>
      </c>
    </row>
    <row r="234" spans="1:81" x14ac:dyDescent="0.25">
      <c r="A234" t="s">
        <v>36</v>
      </c>
      <c r="B234" t="s">
        <v>88</v>
      </c>
      <c r="C234" t="s">
        <v>205</v>
      </c>
      <c r="D234">
        <v>53074</v>
      </c>
      <c r="E234">
        <v>9</v>
      </c>
      <c r="P234" t="s">
        <v>36</v>
      </c>
      <c r="Q234" t="s">
        <v>132</v>
      </c>
      <c r="R234">
        <v>9</v>
      </c>
      <c r="AI234" t="s">
        <v>88</v>
      </c>
      <c r="AJ234">
        <v>53074</v>
      </c>
      <c r="AL234">
        <f>COUNTIF(AI:AI,AK234)</f>
        <v>0</v>
      </c>
      <c r="AM234">
        <f>SUMIF(AI:AI,AK234,AJ:AJ)</f>
        <v>0</v>
      </c>
      <c r="AP234" t="s">
        <v>8</v>
      </c>
      <c r="AQ234" t="s">
        <v>196</v>
      </c>
      <c r="BP234" t="s">
        <v>14</v>
      </c>
      <c r="BQ234" t="s">
        <v>372</v>
      </c>
      <c r="BR234">
        <f t="shared" si="55"/>
        <v>5</v>
      </c>
      <c r="BS234">
        <f t="shared" si="49"/>
        <v>2024</v>
      </c>
      <c r="BT234">
        <v>9</v>
      </c>
      <c r="BU234" t="str">
        <f t="shared" si="50"/>
        <v>2024-5</v>
      </c>
      <c r="BV234">
        <f t="shared" si="51"/>
        <v>2</v>
      </c>
      <c r="BX234" t="s">
        <v>36</v>
      </c>
      <c r="BY234" t="s">
        <v>205</v>
      </c>
      <c r="BZ234">
        <v>53074</v>
      </c>
      <c r="CA234">
        <f t="shared" si="52"/>
        <v>11</v>
      </c>
      <c r="CB234">
        <f t="shared" si="53"/>
        <v>2023</v>
      </c>
      <c r="CC234" t="str">
        <f t="shared" si="54"/>
        <v>2023-11</v>
      </c>
    </row>
    <row r="235" spans="1:81" x14ac:dyDescent="0.25">
      <c r="A235" t="s">
        <v>36</v>
      </c>
      <c r="B235" t="s">
        <v>132</v>
      </c>
      <c r="C235" t="s">
        <v>205</v>
      </c>
      <c r="D235">
        <v>56274</v>
      </c>
      <c r="E235">
        <v>9</v>
      </c>
      <c r="P235" t="s">
        <v>36</v>
      </c>
      <c r="Q235" t="s">
        <v>48</v>
      </c>
      <c r="R235">
        <v>9</v>
      </c>
      <c r="AI235" t="s">
        <v>132</v>
      </c>
      <c r="AJ235">
        <v>56274</v>
      </c>
      <c r="AL235">
        <f>COUNTIF(AI:AI,AK235)</f>
        <v>0</v>
      </c>
      <c r="AM235">
        <f>SUMIF(AI:AI,AK235,AJ:AJ)</f>
        <v>0</v>
      </c>
      <c r="AP235" t="s">
        <v>12</v>
      </c>
      <c r="AQ235" t="s">
        <v>177</v>
      </c>
      <c r="BP235" t="s">
        <v>14</v>
      </c>
      <c r="BQ235" t="s">
        <v>383</v>
      </c>
      <c r="BR235">
        <f t="shared" si="55"/>
        <v>5</v>
      </c>
      <c r="BS235">
        <f t="shared" si="49"/>
        <v>2024</v>
      </c>
      <c r="BT235">
        <v>9</v>
      </c>
      <c r="BU235" t="str">
        <f t="shared" si="50"/>
        <v>2024-5</v>
      </c>
      <c r="BV235">
        <f t="shared" si="51"/>
        <v>2</v>
      </c>
      <c r="BX235" t="s">
        <v>36</v>
      </c>
      <c r="BY235" t="s">
        <v>205</v>
      </c>
      <c r="BZ235">
        <v>56274</v>
      </c>
      <c r="CA235">
        <f t="shared" si="52"/>
        <v>11</v>
      </c>
      <c r="CB235">
        <f t="shared" si="53"/>
        <v>2023</v>
      </c>
      <c r="CC235" t="str">
        <f t="shared" si="54"/>
        <v>2023-11</v>
      </c>
    </row>
    <row r="236" spans="1:81" x14ac:dyDescent="0.25">
      <c r="A236" t="s">
        <v>36</v>
      </c>
      <c r="B236" t="s">
        <v>48</v>
      </c>
      <c r="C236" t="s">
        <v>205</v>
      </c>
      <c r="D236">
        <v>91606</v>
      </c>
      <c r="E236">
        <v>9</v>
      </c>
      <c r="P236" t="s">
        <v>17</v>
      </c>
      <c r="Q236" t="s">
        <v>206</v>
      </c>
      <c r="R236">
        <v>3</v>
      </c>
      <c r="AI236" t="s">
        <v>48</v>
      </c>
      <c r="AJ236">
        <v>91606</v>
      </c>
      <c r="AL236">
        <f>COUNTIF(AI:AI,AK236)</f>
        <v>0</v>
      </c>
      <c r="AM236">
        <f>SUMIF(AI:AI,AK236,AJ:AJ)</f>
        <v>0</v>
      </c>
      <c r="AP236" t="s">
        <v>33</v>
      </c>
      <c r="AQ236" t="s">
        <v>44</v>
      </c>
      <c r="BP236" t="s">
        <v>14</v>
      </c>
      <c r="BQ236" t="s">
        <v>385</v>
      </c>
      <c r="BR236">
        <f t="shared" si="55"/>
        <v>5</v>
      </c>
      <c r="BS236">
        <f t="shared" si="49"/>
        <v>2024</v>
      </c>
      <c r="BT236">
        <v>9</v>
      </c>
      <c r="BU236" t="str">
        <f t="shared" si="50"/>
        <v>2024-5</v>
      </c>
      <c r="BV236">
        <f t="shared" si="51"/>
        <v>2</v>
      </c>
      <c r="BX236" t="s">
        <v>36</v>
      </c>
      <c r="BY236" t="s">
        <v>205</v>
      </c>
      <c r="BZ236">
        <v>91606</v>
      </c>
      <c r="CA236">
        <f t="shared" si="52"/>
        <v>11</v>
      </c>
      <c r="CB236">
        <f t="shared" si="53"/>
        <v>2023</v>
      </c>
      <c r="CC236" t="str">
        <f t="shared" si="54"/>
        <v>2023-11</v>
      </c>
    </row>
    <row r="237" spans="1:81" x14ac:dyDescent="0.25">
      <c r="A237" t="s">
        <v>17</v>
      </c>
      <c r="B237" t="s">
        <v>206</v>
      </c>
      <c r="C237" t="s">
        <v>207</v>
      </c>
      <c r="D237">
        <v>53006</v>
      </c>
      <c r="E237">
        <v>3</v>
      </c>
      <c r="P237" t="s">
        <v>36</v>
      </c>
      <c r="Q237" t="s">
        <v>26</v>
      </c>
      <c r="R237">
        <v>5</v>
      </c>
      <c r="AI237" t="s">
        <v>206</v>
      </c>
      <c r="AJ237">
        <v>53006</v>
      </c>
      <c r="AL237">
        <f>COUNTIF(AI:AI,AK237)</f>
        <v>0</v>
      </c>
      <c r="AM237">
        <f>SUMIF(AI:AI,AK237,AJ:AJ)</f>
        <v>0</v>
      </c>
      <c r="AP237" t="s">
        <v>5</v>
      </c>
      <c r="AQ237" t="s">
        <v>212</v>
      </c>
      <c r="BP237" t="s">
        <v>14</v>
      </c>
      <c r="BQ237" t="s">
        <v>386</v>
      </c>
      <c r="BR237">
        <f t="shared" si="55"/>
        <v>5</v>
      </c>
      <c r="BS237">
        <f t="shared" si="49"/>
        <v>2024</v>
      </c>
      <c r="BT237">
        <v>3</v>
      </c>
      <c r="BU237" t="str">
        <f t="shared" si="50"/>
        <v>2024-5</v>
      </c>
      <c r="BV237">
        <f t="shared" si="51"/>
        <v>0</v>
      </c>
      <c r="BX237" t="s">
        <v>17</v>
      </c>
      <c r="BY237" t="s">
        <v>207</v>
      </c>
      <c r="BZ237">
        <v>53006</v>
      </c>
      <c r="CA237">
        <f t="shared" si="52"/>
        <v>11</v>
      </c>
      <c r="CB237">
        <f t="shared" si="53"/>
        <v>2023</v>
      </c>
      <c r="CC237" t="str">
        <f t="shared" si="54"/>
        <v>2023-11</v>
      </c>
    </row>
    <row r="238" spans="1:81" x14ac:dyDescent="0.25">
      <c r="A238" t="s">
        <v>36</v>
      </c>
      <c r="B238" t="s">
        <v>26</v>
      </c>
      <c r="C238" t="s">
        <v>208</v>
      </c>
      <c r="D238">
        <v>43730</v>
      </c>
      <c r="E238">
        <v>5</v>
      </c>
      <c r="P238" t="s">
        <v>32</v>
      </c>
      <c r="Q238" t="s">
        <v>143</v>
      </c>
      <c r="R238">
        <v>3</v>
      </c>
      <c r="AI238" t="s">
        <v>26</v>
      </c>
      <c r="AJ238">
        <v>43730</v>
      </c>
      <c r="AL238">
        <f>COUNTIF(AI:AI,AK238)</f>
        <v>0</v>
      </c>
      <c r="AM238">
        <f>SUMIF(AI:AI,AK238,AJ:AJ)</f>
        <v>0</v>
      </c>
      <c r="AP238" t="s">
        <v>17</v>
      </c>
      <c r="AQ238" t="s">
        <v>213</v>
      </c>
      <c r="BP238" t="s">
        <v>14</v>
      </c>
      <c r="BQ238" t="s">
        <v>389</v>
      </c>
      <c r="BR238">
        <f t="shared" si="55"/>
        <v>6</v>
      </c>
      <c r="BS238">
        <f t="shared" si="49"/>
        <v>2024</v>
      </c>
      <c r="BT238">
        <v>5</v>
      </c>
      <c r="BU238" t="str">
        <f t="shared" si="50"/>
        <v>2024-6</v>
      </c>
      <c r="BV238">
        <f t="shared" si="51"/>
        <v>0</v>
      </c>
      <c r="BX238" t="s">
        <v>36</v>
      </c>
      <c r="BY238" t="s">
        <v>208</v>
      </c>
      <c r="BZ238">
        <v>43730</v>
      </c>
      <c r="CA238">
        <f t="shared" si="52"/>
        <v>11</v>
      </c>
      <c r="CB238">
        <f t="shared" si="53"/>
        <v>2023</v>
      </c>
      <c r="CC238" t="str">
        <f t="shared" si="54"/>
        <v>2023-11</v>
      </c>
    </row>
    <row r="239" spans="1:81" x14ac:dyDescent="0.25">
      <c r="A239" t="s">
        <v>32</v>
      </c>
      <c r="B239" t="s">
        <v>143</v>
      </c>
      <c r="C239" t="s">
        <v>208</v>
      </c>
      <c r="D239">
        <v>72266</v>
      </c>
      <c r="E239">
        <v>3</v>
      </c>
      <c r="P239" t="s">
        <v>10</v>
      </c>
      <c r="Q239" t="s">
        <v>90</v>
      </c>
      <c r="R239">
        <v>9</v>
      </c>
      <c r="AI239" t="s">
        <v>143</v>
      </c>
      <c r="AJ239">
        <v>72266</v>
      </c>
      <c r="AL239">
        <f>COUNTIF(AI:AI,AK239)</f>
        <v>0</v>
      </c>
      <c r="AM239">
        <f>SUMIF(AI:AI,AK239,AJ:AJ)</f>
        <v>0</v>
      </c>
      <c r="AP239" t="s">
        <v>32</v>
      </c>
      <c r="AQ239" t="s">
        <v>91</v>
      </c>
      <c r="BP239" t="s">
        <v>14</v>
      </c>
      <c r="BQ239" t="s">
        <v>397</v>
      </c>
      <c r="BR239">
        <f t="shared" si="55"/>
        <v>6</v>
      </c>
      <c r="BS239">
        <f t="shared" si="49"/>
        <v>2024</v>
      </c>
      <c r="BT239">
        <v>3</v>
      </c>
      <c r="BU239" t="str">
        <f t="shared" si="50"/>
        <v>2024-6</v>
      </c>
      <c r="BV239">
        <f t="shared" si="51"/>
        <v>0</v>
      </c>
      <c r="BX239" t="s">
        <v>32</v>
      </c>
      <c r="BY239" t="s">
        <v>208</v>
      </c>
      <c r="BZ239">
        <v>72266</v>
      </c>
      <c r="CA239">
        <f t="shared" si="52"/>
        <v>11</v>
      </c>
      <c r="CB239">
        <f t="shared" si="53"/>
        <v>2023</v>
      </c>
      <c r="CC239" t="str">
        <f t="shared" si="54"/>
        <v>2023-11</v>
      </c>
    </row>
    <row r="240" spans="1:81" x14ac:dyDescent="0.25">
      <c r="A240" t="s">
        <v>10</v>
      </c>
      <c r="B240" t="s">
        <v>90</v>
      </c>
      <c r="C240" t="s">
        <v>209</v>
      </c>
      <c r="D240">
        <v>57313</v>
      </c>
      <c r="E240">
        <v>9</v>
      </c>
      <c r="P240" t="s">
        <v>23</v>
      </c>
      <c r="Q240" t="s">
        <v>98</v>
      </c>
      <c r="R240">
        <v>8</v>
      </c>
      <c r="AI240" t="s">
        <v>90</v>
      </c>
      <c r="AJ240">
        <v>57313</v>
      </c>
      <c r="AL240">
        <f>COUNTIF(AI:AI,AK240)</f>
        <v>0</v>
      </c>
      <c r="AM240">
        <f>SUMIF(AI:AI,AK240,AJ:AJ)</f>
        <v>0</v>
      </c>
      <c r="AP240" t="s">
        <v>33</v>
      </c>
      <c r="AQ240" t="s">
        <v>214</v>
      </c>
      <c r="BP240" t="s">
        <v>14</v>
      </c>
      <c r="BQ240" t="s">
        <v>398</v>
      </c>
      <c r="BR240">
        <f t="shared" si="55"/>
        <v>6</v>
      </c>
      <c r="BS240">
        <f t="shared" si="49"/>
        <v>2024</v>
      </c>
      <c r="BT240">
        <v>9</v>
      </c>
      <c r="BU240" t="str">
        <f t="shared" si="50"/>
        <v>2024-6</v>
      </c>
      <c r="BV240">
        <f t="shared" si="51"/>
        <v>2</v>
      </c>
      <c r="BX240" t="s">
        <v>10</v>
      </c>
      <c r="BY240" t="s">
        <v>209</v>
      </c>
      <c r="BZ240">
        <v>57313</v>
      </c>
      <c r="CA240">
        <f t="shared" si="52"/>
        <v>11</v>
      </c>
      <c r="CB240">
        <f t="shared" si="53"/>
        <v>2023</v>
      </c>
      <c r="CC240" t="str">
        <f t="shared" si="54"/>
        <v>2023-11</v>
      </c>
    </row>
    <row r="241" spans="1:81" x14ac:dyDescent="0.25">
      <c r="A241" t="s">
        <v>23</v>
      </c>
      <c r="B241" t="s">
        <v>98</v>
      </c>
      <c r="C241" t="s">
        <v>210</v>
      </c>
      <c r="D241">
        <v>41961</v>
      </c>
      <c r="E241">
        <v>8</v>
      </c>
      <c r="P241" t="s">
        <v>17</v>
      </c>
      <c r="Q241" t="s">
        <v>19</v>
      </c>
      <c r="R241">
        <v>9</v>
      </c>
      <c r="AI241" t="s">
        <v>98</v>
      </c>
      <c r="AJ241">
        <v>41961</v>
      </c>
      <c r="AL241">
        <f>COUNTIF(AI:AI,AK241)</f>
        <v>0</v>
      </c>
      <c r="AM241">
        <f>SUMIF(AI:AI,AK241,AJ:AJ)</f>
        <v>0</v>
      </c>
      <c r="AP241" t="s">
        <v>27</v>
      </c>
      <c r="AQ241" t="s">
        <v>215</v>
      </c>
      <c r="BP241" t="s">
        <v>14</v>
      </c>
      <c r="BQ241" t="s">
        <v>409</v>
      </c>
      <c r="BR241">
        <f t="shared" si="55"/>
        <v>7</v>
      </c>
      <c r="BS241">
        <f t="shared" si="49"/>
        <v>2024</v>
      </c>
      <c r="BT241">
        <v>8</v>
      </c>
      <c r="BU241" t="str">
        <f t="shared" si="50"/>
        <v>2024-7</v>
      </c>
      <c r="BV241">
        <f t="shared" si="51"/>
        <v>1</v>
      </c>
      <c r="BX241" t="s">
        <v>23</v>
      </c>
      <c r="BY241" t="s">
        <v>210</v>
      </c>
      <c r="BZ241">
        <v>41961</v>
      </c>
      <c r="CA241">
        <f t="shared" si="52"/>
        <v>12</v>
      </c>
      <c r="CB241">
        <f t="shared" si="53"/>
        <v>2023</v>
      </c>
      <c r="CC241" t="str">
        <f t="shared" si="54"/>
        <v>2023-12</v>
      </c>
    </row>
    <row r="242" spans="1:81" x14ac:dyDescent="0.25">
      <c r="A242" t="s">
        <v>17</v>
      </c>
      <c r="B242" t="s">
        <v>19</v>
      </c>
      <c r="C242" t="s">
        <v>210</v>
      </c>
      <c r="D242">
        <v>48804</v>
      </c>
      <c r="E242">
        <v>9</v>
      </c>
      <c r="P242" t="s">
        <v>20</v>
      </c>
      <c r="Q242" t="s">
        <v>110</v>
      </c>
      <c r="R242">
        <v>8</v>
      </c>
      <c r="AI242" t="s">
        <v>19</v>
      </c>
      <c r="AJ242">
        <v>48804</v>
      </c>
      <c r="AL242">
        <f>COUNTIF(AI:AI,AK242)</f>
        <v>0</v>
      </c>
      <c r="AM242">
        <f>SUMIF(AI:AI,AK242,AJ:AJ)</f>
        <v>0</v>
      </c>
      <c r="AP242" t="s">
        <v>12</v>
      </c>
      <c r="AQ242" t="s">
        <v>161</v>
      </c>
      <c r="BP242" t="s">
        <v>14</v>
      </c>
      <c r="BQ242" t="s">
        <v>409</v>
      </c>
      <c r="BR242">
        <f t="shared" si="55"/>
        <v>7</v>
      </c>
      <c r="BS242">
        <f t="shared" si="49"/>
        <v>2024</v>
      </c>
      <c r="BT242">
        <v>9</v>
      </c>
      <c r="BU242" t="str">
        <f t="shared" si="50"/>
        <v>2024-7</v>
      </c>
      <c r="BV242">
        <f t="shared" si="51"/>
        <v>2</v>
      </c>
      <c r="BX242" t="s">
        <v>17</v>
      </c>
      <c r="BY242" t="s">
        <v>210</v>
      </c>
      <c r="BZ242">
        <v>48804</v>
      </c>
      <c r="CA242">
        <f t="shared" si="52"/>
        <v>12</v>
      </c>
      <c r="CB242">
        <f t="shared" si="53"/>
        <v>2023</v>
      </c>
      <c r="CC242" t="str">
        <f t="shared" si="54"/>
        <v>2023-12</v>
      </c>
    </row>
    <row r="243" spans="1:81" x14ac:dyDescent="0.25">
      <c r="A243" t="s">
        <v>20</v>
      </c>
      <c r="B243" t="s">
        <v>110</v>
      </c>
      <c r="C243" t="s">
        <v>210</v>
      </c>
      <c r="D243">
        <v>50182</v>
      </c>
      <c r="E243">
        <v>8</v>
      </c>
      <c r="P243" t="s">
        <v>8</v>
      </c>
      <c r="Q243" t="s">
        <v>196</v>
      </c>
      <c r="R243">
        <v>10</v>
      </c>
      <c r="AI243" t="s">
        <v>110</v>
      </c>
      <c r="AJ243">
        <v>50182</v>
      </c>
      <c r="AL243">
        <f>COUNTIF(AI:AI,AK243)</f>
        <v>0</v>
      </c>
      <c r="AM243">
        <f>SUMIF(AI:AI,AK243,AJ:AJ)</f>
        <v>0</v>
      </c>
      <c r="AP243" t="s">
        <v>8</v>
      </c>
      <c r="AQ243" t="s">
        <v>216</v>
      </c>
      <c r="BP243" t="s">
        <v>14</v>
      </c>
      <c r="BQ243" t="s">
        <v>413</v>
      </c>
      <c r="BR243">
        <f t="shared" si="55"/>
        <v>7</v>
      </c>
      <c r="BS243">
        <f t="shared" si="49"/>
        <v>2024</v>
      </c>
      <c r="BT243">
        <v>8</v>
      </c>
      <c r="BU243" t="str">
        <f t="shared" si="50"/>
        <v>2024-7</v>
      </c>
      <c r="BV243">
        <f t="shared" si="51"/>
        <v>1</v>
      </c>
      <c r="BX243" t="s">
        <v>20</v>
      </c>
      <c r="BY243" t="s">
        <v>210</v>
      </c>
      <c r="BZ243">
        <v>50182</v>
      </c>
      <c r="CA243">
        <f t="shared" si="52"/>
        <v>12</v>
      </c>
      <c r="CB243">
        <f t="shared" si="53"/>
        <v>2023</v>
      </c>
      <c r="CC243" t="str">
        <f t="shared" si="54"/>
        <v>2023-12</v>
      </c>
    </row>
    <row r="244" spans="1:81" x14ac:dyDescent="0.25">
      <c r="A244" t="s">
        <v>8</v>
      </c>
      <c r="B244" t="s">
        <v>196</v>
      </c>
      <c r="C244" t="s">
        <v>210</v>
      </c>
      <c r="D244">
        <v>32347</v>
      </c>
      <c r="E244">
        <v>10</v>
      </c>
      <c r="P244" t="s">
        <v>12</v>
      </c>
      <c r="Q244" t="s">
        <v>177</v>
      </c>
      <c r="R244">
        <v>4</v>
      </c>
      <c r="AI244" t="s">
        <v>196</v>
      </c>
      <c r="AJ244">
        <v>32347</v>
      </c>
      <c r="AL244">
        <f>COUNTIF(AI:AI,AK244)</f>
        <v>0</v>
      </c>
      <c r="AM244">
        <f>SUMIF(AI:AI,AK244,AJ:AJ)</f>
        <v>0</v>
      </c>
      <c r="AP244" t="s">
        <v>10</v>
      </c>
      <c r="AQ244" t="s">
        <v>39</v>
      </c>
      <c r="BP244" t="s">
        <v>14</v>
      </c>
      <c r="BQ244" t="s">
        <v>422</v>
      </c>
      <c r="BR244">
        <f t="shared" si="55"/>
        <v>7</v>
      </c>
      <c r="BS244">
        <f t="shared" si="49"/>
        <v>2024</v>
      </c>
      <c r="BT244">
        <v>10</v>
      </c>
      <c r="BU244" t="str">
        <f t="shared" si="50"/>
        <v>2024-7</v>
      </c>
      <c r="BV244">
        <f t="shared" si="51"/>
        <v>2</v>
      </c>
      <c r="BX244" t="s">
        <v>8</v>
      </c>
      <c r="BY244" t="s">
        <v>210</v>
      </c>
      <c r="BZ244">
        <v>32347</v>
      </c>
      <c r="CA244">
        <f t="shared" si="52"/>
        <v>12</v>
      </c>
      <c r="CB244">
        <f t="shared" si="53"/>
        <v>2023</v>
      </c>
      <c r="CC244" t="str">
        <f t="shared" si="54"/>
        <v>2023-12</v>
      </c>
    </row>
    <row r="245" spans="1:81" x14ac:dyDescent="0.25">
      <c r="A245" t="s">
        <v>12</v>
      </c>
      <c r="B245" t="s">
        <v>177</v>
      </c>
      <c r="C245" t="s">
        <v>211</v>
      </c>
      <c r="D245">
        <v>72201</v>
      </c>
      <c r="E245">
        <v>4</v>
      </c>
      <c r="P245" t="s">
        <v>33</v>
      </c>
      <c r="Q245" t="s">
        <v>44</v>
      </c>
      <c r="R245">
        <v>7</v>
      </c>
      <c r="AI245" t="s">
        <v>177</v>
      </c>
      <c r="AJ245">
        <v>72201</v>
      </c>
      <c r="AL245">
        <f>COUNTIF(AI:AI,AK245)</f>
        <v>0</v>
      </c>
      <c r="AM245">
        <f>SUMIF(AI:AI,AK245,AJ:AJ)</f>
        <v>0</v>
      </c>
      <c r="AP245" t="s">
        <v>33</v>
      </c>
      <c r="AQ245" t="s">
        <v>216</v>
      </c>
      <c r="BP245" t="s">
        <v>14</v>
      </c>
      <c r="BQ245" t="s">
        <v>426</v>
      </c>
      <c r="BR245">
        <f t="shared" si="55"/>
        <v>7</v>
      </c>
      <c r="BS245">
        <f t="shared" si="49"/>
        <v>2024</v>
      </c>
      <c r="BT245">
        <v>4</v>
      </c>
      <c r="BU245" t="str">
        <f t="shared" si="50"/>
        <v>2024-7</v>
      </c>
      <c r="BV245">
        <f t="shared" si="51"/>
        <v>0</v>
      </c>
      <c r="BX245" t="s">
        <v>12</v>
      </c>
      <c r="BY245" t="s">
        <v>211</v>
      </c>
      <c r="BZ245">
        <v>72201</v>
      </c>
      <c r="CA245">
        <f t="shared" si="52"/>
        <v>12</v>
      </c>
      <c r="CB245">
        <f t="shared" si="53"/>
        <v>2023</v>
      </c>
      <c r="CC245" t="str">
        <f t="shared" si="54"/>
        <v>2023-12</v>
      </c>
    </row>
    <row r="246" spans="1:81" x14ac:dyDescent="0.25">
      <c r="A246" t="s">
        <v>33</v>
      </c>
      <c r="B246" t="s">
        <v>44</v>
      </c>
      <c r="C246" t="s">
        <v>211</v>
      </c>
      <c r="D246">
        <v>37434</v>
      </c>
      <c r="E246">
        <v>7</v>
      </c>
      <c r="P246" t="s">
        <v>5</v>
      </c>
      <c r="Q246" t="s">
        <v>212</v>
      </c>
      <c r="R246">
        <v>2</v>
      </c>
      <c r="AI246" t="s">
        <v>44</v>
      </c>
      <c r="AJ246">
        <v>37434</v>
      </c>
      <c r="AL246">
        <f>COUNTIF(AI:AI,AK246)</f>
        <v>0</v>
      </c>
      <c r="AM246">
        <f>SUMIF(AI:AI,AK246,AJ:AJ)</f>
        <v>0</v>
      </c>
      <c r="AP246" t="s">
        <v>12</v>
      </c>
      <c r="AQ246" t="s">
        <v>98</v>
      </c>
      <c r="BP246" t="s">
        <v>14</v>
      </c>
      <c r="BQ246" t="s">
        <v>426</v>
      </c>
      <c r="BR246">
        <f t="shared" si="55"/>
        <v>7</v>
      </c>
      <c r="BS246">
        <f t="shared" si="49"/>
        <v>2024</v>
      </c>
      <c r="BT246">
        <v>7</v>
      </c>
      <c r="BU246" t="str">
        <f t="shared" si="50"/>
        <v>2024-7</v>
      </c>
      <c r="BV246">
        <f t="shared" si="51"/>
        <v>1</v>
      </c>
      <c r="BX246" t="s">
        <v>33</v>
      </c>
      <c r="BY246" t="s">
        <v>211</v>
      </c>
      <c r="BZ246">
        <v>37434</v>
      </c>
      <c r="CA246">
        <f t="shared" si="52"/>
        <v>12</v>
      </c>
      <c r="CB246">
        <f t="shared" si="53"/>
        <v>2023</v>
      </c>
      <c r="CC246" t="str">
        <f t="shared" si="54"/>
        <v>2023-12</v>
      </c>
    </row>
    <row r="247" spans="1:81" x14ac:dyDescent="0.25">
      <c r="A247" t="s">
        <v>5</v>
      </c>
      <c r="B247" t="s">
        <v>212</v>
      </c>
      <c r="C247" t="s">
        <v>211</v>
      </c>
      <c r="D247">
        <v>25641</v>
      </c>
      <c r="E247">
        <v>2</v>
      </c>
      <c r="P247" t="s">
        <v>17</v>
      </c>
      <c r="Q247" t="s">
        <v>213</v>
      </c>
      <c r="R247">
        <v>10</v>
      </c>
      <c r="AI247" t="s">
        <v>212</v>
      </c>
      <c r="AJ247">
        <v>25641</v>
      </c>
      <c r="AL247">
        <f>COUNTIF(AI:AI,AK247)</f>
        <v>0</v>
      </c>
      <c r="AM247">
        <f>SUMIF(AI:AI,AK247,AJ:AJ)</f>
        <v>0</v>
      </c>
      <c r="AP247" t="s">
        <v>8</v>
      </c>
      <c r="AQ247" t="s">
        <v>106</v>
      </c>
      <c r="BP247" t="s">
        <v>14</v>
      </c>
      <c r="BQ247" t="s">
        <v>428</v>
      </c>
      <c r="BR247">
        <f t="shared" si="55"/>
        <v>7</v>
      </c>
      <c r="BS247">
        <f t="shared" si="49"/>
        <v>2024</v>
      </c>
      <c r="BT247">
        <v>2</v>
      </c>
      <c r="BU247" t="str">
        <f t="shared" si="50"/>
        <v>2024-7</v>
      </c>
      <c r="BV247">
        <f t="shared" si="51"/>
        <v>0</v>
      </c>
      <c r="BX247" t="s">
        <v>5</v>
      </c>
      <c r="BY247" t="s">
        <v>211</v>
      </c>
      <c r="BZ247">
        <v>25641</v>
      </c>
      <c r="CA247">
        <f t="shared" si="52"/>
        <v>12</v>
      </c>
      <c r="CB247">
        <f t="shared" si="53"/>
        <v>2023</v>
      </c>
      <c r="CC247" t="str">
        <f t="shared" si="54"/>
        <v>2023-12</v>
      </c>
    </row>
    <row r="248" spans="1:81" x14ac:dyDescent="0.25">
      <c r="A248" t="s">
        <v>17</v>
      </c>
      <c r="B248" t="s">
        <v>213</v>
      </c>
      <c r="C248" t="s">
        <v>211</v>
      </c>
      <c r="D248">
        <v>27645</v>
      </c>
      <c r="E248">
        <v>10</v>
      </c>
      <c r="P248" t="s">
        <v>32</v>
      </c>
      <c r="Q248" t="s">
        <v>91</v>
      </c>
      <c r="R248">
        <v>4</v>
      </c>
      <c r="AI248" t="s">
        <v>213</v>
      </c>
      <c r="AJ248">
        <v>27645</v>
      </c>
      <c r="AL248">
        <f>COUNTIF(AI:AI,AK248)</f>
        <v>0</v>
      </c>
      <c r="AM248">
        <f>SUMIF(AI:AI,AK248,AJ:AJ)</f>
        <v>0</v>
      </c>
      <c r="AP248" t="s">
        <v>17</v>
      </c>
      <c r="AQ248" t="s">
        <v>220</v>
      </c>
      <c r="BP248" t="s">
        <v>14</v>
      </c>
      <c r="BQ248" t="s">
        <v>429</v>
      </c>
      <c r="BR248">
        <f t="shared" si="55"/>
        <v>7</v>
      </c>
      <c r="BS248">
        <f t="shared" si="49"/>
        <v>2024</v>
      </c>
      <c r="BT248">
        <v>10</v>
      </c>
      <c r="BU248" t="str">
        <f t="shared" si="50"/>
        <v>2024-7</v>
      </c>
      <c r="BV248">
        <f t="shared" si="51"/>
        <v>2</v>
      </c>
      <c r="BX248" t="s">
        <v>17</v>
      </c>
      <c r="BY248" t="s">
        <v>211</v>
      </c>
      <c r="BZ248">
        <v>27645</v>
      </c>
      <c r="CA248">
        <f t="shared" si="52"/>
        <v>12</v>
      </c>
      <c r="CB248">
        <f t="shared" si="53"/>
        <v>2023</v>
      </c>
      <c r="CC248" t="str">
        <f t="shared" si="54"/>
        <v>2023-12</v>
      </c>
    </row>
    <row r="249" spans="1:81" x14ac:dyDescent="0.25">
      <c r="A249" t="s">
        <v>32</v>
      </c>
      <c r="B249" t="s">
        <v>91</v>
      </c>
      <c r="C249" t="s">
        <v>211</v>
      </c>
      <c r="D249">
        <v>89831</v>
      </c>
      <c r="E249">
        <v>4</v>
      </c>
      <c r="P249" t="s">
        <v>33</v>
      </c>
      <c r="Q249" t="s">
        <v>214</v>
      </c>
      <c r="R249">
        <v>4</v>
      </c>
      <c r="AI249" t="s">
        <v>91</v>
      </c>
      <c r="AJ249">
        <v>89831</v>
      </c>
      <c r="AL249">
        <f>COUNTIF(AI:AI,AK249)</f>
        <v>0</v>
      </c>
      <c r="AM249">
        <f>SUMIF(AI:AI,AK249,AJ:AJ)</f>
        <v>0</v>
      </c>
      <c r="AP249" t="s">
        <v>27</v>
      </c>
      <c r="AQ249" t="s">
        <v>74</v>
      </c>
      <c r="BP249" t="s">
        <v>14</v>
      </c>
      <c r="BQ249" t="s">
        <v>432</v>
      </c>
      <c r="BR249">
        <f t="shared" si="55"/>
        <v>8</v>
      </c>
      <c r="BS249">
        <f t="shared" si="49"/>
        <v>2024</v>
      </c>
      <c r="BT249">
        <v>4</v>
      </c>
      <c r="BU249" t="str">
        <f t="shared" si="50"/>
        <v>2024-8</v>
      </c>
      <c r="BV249">
        <f t="shared" si="51"/>
        <v>0</v>
      </c>
      <c r="BX249" t="s">
        <v>32</v>
      </c>
      <c r="BY249" t="s">
        <v>211</v>
      </c>
      <c r="BZ249">
        <v>89831</v>
      </c>
      <c r="CA249">
        <f t="shared" si="52"/>
        <v>12</v>
      </c>
      <c r="CB249">
        <f t="shared" si="53"/>
        <v>2023</v>
      </c>
      <c r="CC249" t="str">
        <f t="shared" si="54"/>
        <v>2023-12</v>
      </c>
    </row>
    <row r="250" spans="1:81" x14ac:dyDescent="0.25">
      <c r="A250" t="s">
        <v>33</v>
      </c>
      <c r="B250" t="s">
        <v>214</v>
      </c>
      <c r="C250" t="s">
        <v>211</v>
      </c>
      <c r="D250">
        <v>82074</v>
      </c>
      <c r="E250">
        <v>4</v>
      </c>
      <c r="P250" t="s">
        <v>27</v>
      </c>
      <c r="Q250" t="s">
        <v>215</v>
      </c>
      <c r="R250">
        <v>9</v>
      </c>
      <c r="AI250" t="s">
        <v>214</v>
      </c>
      <c r="AJ250">
        <v>82074</v>
      </c>
      <c r="AL250">
        <f>COUNTIF(AI:AI,AK250)</f>
        <v>0</v>
      </c>
      <c r="AM250">
        <f>SUMIF(AI:AI,AK250,AJ:AJ)</f>
        <v>0</v>
      </c>
      <c r="AP250" t="s">
        <v>27</v>
      </c>
      <c r="AQ250" t="s">
        <v>60</v>
      </c>
      <c r="BP250" t="s">
        <v>14</v>
      </c>
      <c r="BQ250" t="s">
        <v>432</v>
      </c>
      <c r="BR250">
        <f t="shared" si="55"/>
        <v>8</v>
      </c>
      <c r="BS250">
        <f t="shared" si="49"/>
        <v>2024</v>
      </c>
      <c r="BT250">
        <v>4</v>
      </c>
      <c r="BU250" t="str">
        <f t="shared" si="50"/>
        <v>2024-8</v>
      </c>
      <c r="BV250">
        <f t="shared" si="51"/>
        <v>0</v>
      </c>
      <c r="BX250" t="s">
        <v>33</v>
      </c>
      <c r="BY250" t="s">
        <v>211</v>
      </c>
      <c r="BZ250">
        <v>82074</v>
      </c>
      <c r="CA250">
        <f t="shared" si="52"/>
        <v>12</v>
      </c>
      <c r="CB250">
        <f t="shared" si="53"/>
        <v>2023</v>
      </c>
      <c r="CC250" t="str">
        <f t="shared" si="54"/>
        <v>2023-12</v>
      </c>
    </row>
    <row r="251" spans="1:81" x14ac:dyDescent="0.25">
      <c r="A251" t="s">
        <v>27</v>
      </c>
      <c r="B251" t="s">
        <v>215</v>
      </c>
      <c r="C251" t="s">
        <v>211</v>
      </c>
      <c r="D251">
        <v>38637</v>
      </c>
      <c r="E251">
        <v>9</v>
      </c>
      <c r="P251" t="s">
        <v>12</v>
      </c>
      <c r="Q251" t="s">
        <v>161</v>
      </c>
      <c r="R251">
        <v>10</v>
      </c>
      <c r="AI251" t="s">
        <v>215</v>
      </c>
      <c r="AJ251">
        <v>38637</v>
      </c>
      <c r="AL251">
        <f>COUNTIF(AI:AI,AK251)</f>
        <v>0</v>
      </c>
      <c r="AM251">
        <f>SUMIF(AI:AI,AK251,AJ:AJ)</f>
        <v>0</v>
      </c>
      <c r="AP251" t="s">
        <v>36</v>
      </c>
      <c r="AQ251" t="s">
        <v>129</v>
      </c>
      <c r="BP251" t="s">
        <v>14</v>
      </c>
      <c r="BQ251" t="s">
        <v>437</v>
      </c>
      <c r="BR251">
        <f t="shared" si="55"/>
        <v>8</v>
      </c>
      <c r="BS251">
        <f t="shared" si="49"/>
        <v>2024</v>
      </c>
      <c r="BT251">
        <v>9</v>
      </c>
      <c r="BU251" t="str">
        <f t="shared" si="50"/>
        <v>2024-8</v>
      </c>
      <c r="BV251">
        <f t="shared" si="51"/>
        <v>2</v>
      </c>
      <c r="BX251" t="s">
        <v>27</v>
      </c>
      <c r="BY251" t="s">
        <v>211</v>
      </c>
      <c r="BZ251">
        <v>38637</v>
      </c>
      <c r="CA251">
        <f t="shared" si="52"/>
        <v>12</v>
      </c>
      <c r="CB251">
        <f t="shared" si="53"/>
        <v>2023</v>
      </c>
      <c r="CC251" t="str">
        <f t="shared" si="54"/>
        <v>2023-12</v>
      </c>
    </row>
    <row r="252" spans="1:81" x14ac:dyDescent="0.25">
      <c r="A252" t="s">
        <v>12</v>
      </c>
      <c r="B252" t="s">
        <v>161</v>
      </c>
      <c r="C252" t="s">
        <v>211</v>
      </c>
      <c r="D252">
        <v>75640</v>
      </c>
      <c r="E252">
        <v>10</v>
      </c>
      <c r="P252" t="s">
        <v>8</v>
      </c>
      <c r="Q252" t="s">
        <v>216</v>
      </c>
      <c r="R252">
        <v>4</v>
      </c>
      <c r="AI252" t="s">
        <v>161</v>
      </c>
      <c r="AJ252">
        <v>75640</v>
      </c>
      <c r="AL252">
        <f>COUNTIF(AI:AI,AK252)</f>
        <v>0</v>
      </c>
      <c r="AM252">
        <f>SUMIF(AI:AI,AK252,AJ:AJ)</f>
        <v>0</v>
      </c>
      <c r="AP252" t="s">
        <v>32</v>
      </c>
      <c r="AQ252" t="s">
        <v>72</v>
      </c>
      <c r="BP252" t="s">
        <v>14</v>
      </c>
      <c r="BQ252" t="s">
        <v>438</v>
      </c>
      <c r="BR252">
        <f t="shared" si="55"/>
        <v>8</v>
      </c>
      <c r="BS252">
        <f t="shared" si="49"/>
        <v>2024</v>
      </c>
      <c r="BT252">
        <v>10</v>
      </c>
      <c r="BU252" t="str">
        <f t="shared" si="50"/>
        <v>2024-8</v>
      </c>
      <c r="BV252">
        <f t="shared" si="51"/>
        <v>2</v>
      </c>
      <c r="BX252" t="s">
        <v>12</v>
      </c>
      <c r="BY252" t="s">
        <v>211</v>
      </c>
      <c r="BZ252">
        <v>75640</v>
      </c>
      <c r="CA252">
        <f t="shared" si="52"/>
        <v>12</v>
      </c>
      <c r="CB252">
        <f t="shared" si="53"/>
        <v>2023</v>
      </c>
      <c r="CC252" t="str">
        <f t="shared" si="54"/>
        <v>2023-12</v>
      </c>
    </row>
    <row r="253" spans="1:81" x14ac:dyDescent="0.25">
      <c r="A253" t="s">
        <v>8</v>
      </c>
      <c r="B253" t="s">
        <v>216</v>
      </c>
      <c r="C253" t="s">
        <v>217</v>
      </c>
      <c r="D253">
        <v>83478</v>
      </c>
      <c r="E253">
        <v>4</v>
      </c>
      <c r="P253" t="s">
        <v>14</v>
      </c>
      <c r="Q253" t="s">
        <v>30</v>
      </c>
      <c r="R253">
        <v>9</v>
      </c>
      <c r="AI253" t="s">
        <v>216</v>
      </c>
      <c r="AJ253">
        <v>83478</v>
      </c>
      <c r="AL253">
        <f>COUNTIF(AI:AI,AK253)</f>
        <v>0</v>
      </c>
      <c r="AM253">
        <f>SUMIF(AI:AI,AK253,AJ:AJ)</f>
        <v>0</v>
      </c>
      <c r="AP253" t="s">
        <v>32</v>
      </c>
      <c r="AQ253" t="s">
        <v>173</v>
      </c>
      <c r="BP253" t="s">
        <v>14</v>
      </c>
      <c r="BQ253" t="s">
        <v>439</v>
      </c>
      <c r="BR253">
        <f t="shared" si="55"/>
        <v>8</v>
      </c>
      <c r="BS253">
        <f t="shared" si="49"/>
        <v>2024</v>
      </c>
      <c r="BT253">
        <v>4</v>
      </c>
      <c r="BU253" t="str">
        <f t="shared" si="50"/>
        <v>2024-8</v>
      </c>
      <c r="BV253">
        <f t="shared" si="51"/>
        <v>0</v>
      </c>
      <c r="BX253" t="s">
        <v>8</v>
      </c>
      <c r="BY253" t="s">
        <v>217</v>
      </c>
      <c r="BZ253">
        <v>83478</v>
      </c>
      <c r="CA253">
        <f t="shared" si="52"/>
        <v>12</v>
      </c>
      <c r="CB253">
        <f t="shared" si="53"/>
        <v>2023</v>
      </c>
      <c r="CC253" t="str">
        <f t="shared" si="54"/>
        <v>2023-12</v>
      </c>
    </row>
    <row r="254" spans="1:81" x14ac:dyDescent="0.25">
      <c r="A254" t="s">
        <v>14</v>
      </c>
      <c r="B254" t="s">
        <v>30</v>
      </c>
      <c r="C254" t="s">
        <v>218</v>
      </c>
      <c r="D254">
        <v>31639</v>
      </c>
      <c r="E254">
        <v>9</v>
      </c>
      <c r="P254" t="s">
        <v>10</v>
      </c>
      <c r="Q254" t="s">
        <v>39</v>
      </c>
      <c r="R254">
        <v>7</v>
      </c>
      <c r="AI254" t="s">
        <v>30</v>
      </c>
      <c r="AJ254">
        <v>31639</v>
      </c>
      <c r="AL254">
        <f>COUNTIF(AI:AI,AK254)</f>
        <v>0</v>
      </c>
      <c r="AM254">
        <f>SUMIF(AI:AI,AK254,AJ:AJ)</f>
        <v>0</v>
      </c>
      <c r="AP254" t="s">
        <v>14</v>
      </c>
      <c r="AQ254" t="s">
        <v>166</v>
      </c>
      <c r="BP254" t="s">
        <v>14</v>
      </c>
      <c r="BQ254" t="s">
        <v>441</v>
      </c>
      <c r="BR254">
        <f t="shared" si="55"/>
        <v>8</v>
      </c>
      <c r="BS254">
        <f t="shared" si="49"/>
        <v>2024</v>
      </c>
      <c r="BT254">
        <v>9</v>
      </c>
      <c r="BU254" t="str">
        <f t="shared" si="50"/>
        <v>2024-8</v>
      </c>
      <c r="BV254">
        <f t="shared" si="51"/>
        <v>2</v>
      </c>
      <c r="BX254" t="s">
        <v>14</v>
      </c>
      <c r="BY254" t="s">
        <v>218</v>
      </c>
      <c r="BZ254">
        <v>31639</v>
      </c>
      <c r="CA254">
        <f t="shared" si="52"/>
        <v>12</v>
      </c>
      <c r="CB254">
        <f t="shared" si="53"/>
        <v>2023</v>
      </c>
      <c r="CC254" t="str">
        <f t="shared" si="54"/>
        <v>2023-12</v>
      </c>
    </row>
    <row r="255" spans="1:81" x14ac:dyDescent="0.25">
      <c r="A255" t="s">
        <v>10</v>
      </c>
      <c r="B255" t="s">
        <v>39</v>
      </c>
      <c r="C255" t="s">
        <v>218</v>
      </c>
      <c r="D255">
        <v>47290</v>
      </c>
      <c r="E255">
        <v>7</v>
      </c>
      <c r="P255" t="s">
        <v>33</v>
      </c>
      <c r="Q255" t="s">
        <v>216</v>
      </c>
      <c r="R255">
        <v>9</v>
      </c>
      <c r="AI255" t="s">
        <v>39</v>
      </c>
      <c r="AJ255">
        <v>47290</v>
      </c>
      <c r="AL255">
        <f>COUNTIF(AI:AI,AK255)</f>
        <v>0</v>
      </c>
      <c r="AM255">
        <f>SUMIF(AI:AI,AK255,AJ:AJ)</f>
        <v>0</v>
      </c>
      <c r="AP255" t="s">
        <v>14</v>
      </c>
      <c r="AQ255" t="s">
        <v>61</v>
      </c>
      <c r="BP255" t="s">
        <v>14</v>
      </c>
      <c r="BQ255" t="s">
        <v>442</v>
      </c>
      <c r="BR255">
        <f t="shared" si="55"/>
        <v>8</v>
      </c>
      <c r="BS255">
        <f t="shared" si="49"/>
        <v>2024</v>
      </c>
      <c r="BT255">
        <v>7</v>
      </c>
      <c r="BU255" t="str">
        <f t="shared" si="50"/>
        <v>2024-8</v>
      </c>
      <c r="BV255">
        <f t="shared" si="51"/>
        <v>1</v>
      </c>
      <c r="BX255" t="s">
        <v>10</v>
      </c>
      <c r="BY255" t="s">
        <v>218</v>
      </c>
      <c r="BZ255">
        <v>47290</v>
      </c>
      <c r="CA255">
        <f t="shared" si="52"/>
        <v>12</v>
      </c>
      <c r="CB255">
        <f t="shared" si="53"/>
        <v>2023</v>
      </c>
      <c r="CC255" t="str">
        <f t="shared" si="54"/>
        <v>2023-12</v>
      </c>
    </row>
    <row r="256" spans="1:81" x14ac:dyDescent="0.25">
      <c r="A256" t="s">
        <v>33</v>
      </c>
      <c r="B256" t="s">
        <v>216</v>
      </c>
      <c r="C256" t="s">
        <v>218</v>
      </c>
      <c r="D256">
        <v>28905</v>
      </c>
      <c r="E256">
        <v>9</v>
      </c>
      <c r="P256" t="s">
        <v>32</v>
      </c>
      <c r="Q256" t="s">
        <v>184</v>
      </c>
      <c r="R256">
        <v>8</v>
      </c>
      <c r="AI256" t="s">
        <v>216</v>
      </c>
      <c r="AJ256">
        <v>28905</v>
      </c>
      <c r="AL256">
        <f>COUNTIF(AI:AI,AK256)</f>
        <v>0</v>
      </c>
      <c r="AM256">
        <f>SUMIF(AI:AI,AK256,AJ:AJ)</f>
        <v>0</v>
      </c>
      <c r="AP256" t="s">
        <v>33</v>
      </c>
      <c r="AQ256" t="s">
        <v>135</v>
      </c>
      <c r="BP256" t="s">
        <v>14</v>
      </c>
      <c r="BQ256" t="s">
        <v>443</v>
      </c>
      <c r="BR256">
        <f t="shared" si="55"/>
        <v>8</v>
      </c>
      <c r="BS256">
        <f t="shared" si="49"/>
        <v>2024</v>
      </c>
      <c r="BT256">
        <v>9</v>
      </c>
      <c r="BU256" t="str">
        <f t="shared" si="50"/>
        <v>2024-8</v>
      </c>
      <c r="BV256">
        <f t="shared" si="51"/>
        <v>2</v>
      </c>
      <c r="BX256" t="s">
        <v>33</v>
      </c>
      <c r="BY256" t="s">
        <v>218</v>
      </c>
      <c r="BZ256">
        <v>28905</v>
      </c>
      <c r="CA256">
        <f t="shared" si="52"/>
        <v>12</v>
      </c>
      <c r="CB256">
        <f t="shared" si="53"/>
        <v>2023</v>
      </c>
      <c r="CC256" t="str">
        <f t="shared" si="54"/>
        <v>2023-12</v>
      </c>
    </row>
    <row r="257" spans="1:81" x14ac:dyDescent="0.25">
      <c r="A257" t="s">
        <v>32</v>
      </c>
      <c r="B257" t="s">
        <v>184</v>
      </c>
      <c r="C257" t="s">
        <v>219</v>
      </c>
      <c r="D257">
        <v>57058</v>
      </c>
      <c r="E257">
        <v>8</v>
      </c>
      <c r="P257" t="s">
        <v>12</v>
      </c>
      <c r="Q257" t="s">
        <v>98</v>
      </c>
      <c r="R257">
        <v>3</v>
      </c>
      <c r="AI257" t="s">
        <v>184</v>
      </c>
      <c r="AJ257">
        <v>57058</v>
      </c>
      <c r="AL257">
        <f>COUNTIF(AI:AI,AK257)</f>
        <v>0</v>
      </c>
      <c r="AM257">
        <f>SUMIF(AI:AI,AK257,AJ:AJ)</f>
        <v>0</v>
      </c>
      <c r="AP257" t="s">
        <v>14</v>
      </c>
      <c r="AQ257" t="s">
        <v>222</v>
      </c>
      <c r="BP257" t="s">
        <v>14</v>
      </c>
      <c r="BQ257" t="s">
        <v>452</v>
      </c>
      <c r="BR257">
        <f t="shared" si="55"/>
        <v>8</v>
      </c>
      <c r="BS257">
        <f t="shared" si="49"/>
        <v>2024</v>
      </c>
      <c r="BT257">
        <v>8</v>
      </c>
      <c r="BU257" t="str">
        <f t="shared" si="50"/>
        <v>2024-8</v>
      </c>
      <c r="BV257">
        <f t="shared" si="51"/>
        <v>1</v>
      </c>
      <c r="BX257" t="s">
        <v>32</v>
      </c>
      <c r="BY257" t="s">
        <v>219</v>
      </c>
      <c r="BZ257">
        <v>57058</v>
      </c>
      <c r="CA257">
        <f t="shared" si="52"/>
        <v>12</v>
      </c>
      <c r="CB257">
        <f t="shared" si="53"/>
        <v>2023</v>
      </c>
      <c r="CC257" t="str">
        <f t="shared" si="54"/>
        <v>2023-12</v>
      </c>
    </row>
    <row r="258" spans="1:81" x14ac:dyDescent="0.25">
      <c r="A258" t="s">
        <v>12</v>
      </c>
      <c r="B258" t="s">
        <v>98</v>
      </c>
      <c r="C258" t="s">
        <v>219</v>
      </c>
      <c r="D258">
        <v>15194</v>
      </c>
      <c r="E258">
        <v>3</v>
      </c>
      <c r="P258" t="s">
        <v>8</v>
      </c>
      <c r="Q258" t="s">
        <v>106</v>
      </c>
      <c r="R258">
        <v>9</v>
      </c>
      <c r="AI258" t="s">
        <v>98</v>
      </c>
      <c r="AJ258">
        <v>15194</v>
      </c>
      <c r="AL258">
        <f>COUNTIF(AI:AI,AK258)</f>
        <v>0</v>
      </c>
      <c r="AM258">
        <f>SUMIF(AI:AI,AK258,AJ:AJ)</f>
        <v>0</v>
      </c>
      <c r="AP258" t="s">
        <v>36</v>
      </c>
      <c r="AQ258" t="s">
        <v>90</v>
      </c>
      <c r="BP258" t="s">
        <v>14</v>
      </c>
      <c r="BQ258" t="s">
        <v>454</v>
      </c>
      <c r="BR258">
        <f t="shared" si="55"/>
        <v>8</v>
      </c>
      <c r="BS258">
        <f t="shared" si="49"/>
        <v>2024</v>
      </c>
      <c r="BT258">
        <v>3</v>
      </c>
      <c r="BU258" t="str">
        <f t="shared" si="50"/>
        <v>2024-8</v>
      </c>
      <c r="BV258">
        <f t="shared" si="51"/>
        <v>0</v>
      </c>
      <c r="BX258" t="s">
        <v>12</v>
      </c>
      <c r="BY258" t="s">
        <v>219</v>
      </c>
      <c r="BZ258">
        <v>15194</v>
      </c>
      <c r="CA258">
        <f t="shared" si="52"/>
        <v>12</v>
      </c>
      <c r="CB258">
        <f t="shared" si="53"/>
        <v>2023</v>
      </c>
      <c r="CC258" t="str">
        <f t="shared" si="54"/>
        <v>2023-12</v>
      </c>
    </row>
    <row r="259" spans="1:81" x14ac:dyDescent="0.25">
      <c r="A259" t="s">
        <v>8</v>
      </c>
      <c r="B259" t="s">
        <v>106</v>
      </c>
      <c r="C259" t="s">
        <v>219</v>
      </c>
      <c r="D259">
        <v>66402</v>
      </c>
      <c r="E259">
        <v>9</v>
      </c>
      <c r="P259" t="s">
        <v>17</v>
      </c>
      <c r="Q259" t="s">
        <v>220</v>
      </c>
      <c r="R259">
        <v>4</v>
      </c>
      <c r="AI259" t="s">
        <v>106</v>
      </c>
      <c r="AJ259">
        <v>66402</v>
      </c>
      <c r="AL259">
        <f>COUNTIF(AI:AI,AK259)</f>
        <v>0</v>
      </c>
      <c r="AM259">
        <f>SUMIF(AI:AI,AK259,AJ:AJ)</f>
        <v>0</v>
      </c>
      <c r="AP259" t="s">
        <v>14</v>
      </c>
      <c r="AQ259" t="s">
        <v>26</v>
      </c>
      <c r="BP259" t="s">
        <v>33</v>
      </c>
      <c r="BQ259" t="s">
        <v>31</v>
      </c>
      <c r="BR259">
        <f t="shared" si="55"/>
        <v>9</v>
      </c>
      <c r="BS259">
        <f t="shared" ref="BS259:BS322" si="56">YEAR(BQ259)</f>
        <v>2023</v>
      </c>
      <c r="BT259">
        <v>9</v>
      </c>
      <c r="BU259" t="str">
        <f t="shared" ref="BU259:BU322" si="57">BS259&amp;"-"&amp;BR259</f>
        <v>2023-9</v>
      </c>
      <c r="BV259">
        <f t="shared" ref="BV259:BV322" si="58">IF(BT259&lt;7,0,IF(BT259&lt;9,1,2))</f>
        <v>2</v>
      </c>
      <c r="BX259" t="s">
        <v>8</v>
      </c>
      <c r="BY259" t="s">
        <v>219</v>
      </c>
      <c r="BZ259">
        <v>66402</v>
      </c>
      <c r="CA259">
        <f t="shared" ref="CA259:CA322" si="59">MONTH(BY259)</f>
        <v>12</v>
      </c>
      <c r="CB259">
        <f t="shared" ref="CB259:CB322" si="60">YEAR(BY259)</f>
        <v>2023</v>
      </c>
      <c r="CC259" t="str">
        <f t="shared" ref="CC259:CC322" si="61">CB259&amp;"-"&amp;CA259</f>
        <v>2023-12</v>
      </c>
    </row>
    <row r="260" spans="1:81" x14ac:dyDescent="0.25">
      <c r="A260" t="s">
        <v>17</v>
      </c>
      <c r="B260" t="s">
        <v>220</v>
      </c>
      <c r="C260" t="s">
        <v>219</v>
      </c>
      <c r="D260">
        <v>78223</v>
      </c>
      <c r="E260">
        <v>4</v>
      </c>
      <c r="P260" t="s">
        <v>27</v>
      </c>
      <c r="Q260" t="s">
        <v>74</v>
      </c>
      <c r="R260">
        <v>5</v>
      </c>
      <c r="AI260" t="s">
        <v>220</v>
      </c>
      <c r="AJ260">
        <v>78223</v>
      </c>
      <c r="AL260">
        <f>COUNTIF(AI:AI,AK260)</f>
        <v>0</v>
      </c>
      <c r="AM260">
        <f>SUMIF(AI:AI,AK260,AJ:AJ)</f>
        <v>0</v>
      </c>
      <c r="AP260" t="s">
        <v>12</v>
      </c>
      <c r="AQ260" t="s">
        <v>30</v>
      </c>
      <c r="BP260" t="s">
        <v>33</v>
      </c>
      <c r="BQ260" t="s">
        <v>66</v>
      </c>
      <c r="BR260">
        <f t="shared" si="55"/>
        <v>9</v>
      </c>
      <c r="BS260">
        <f t="shared" si="56"/>
        <v>2023</v>
      </c>
      <c r="BT260">
        <v>4</v>
      </c>
      <c r="BU260" t="str">
        <f t="shared" si="57"/>
        <v>2023-9</v>
      </c>
      <c r="BV260">
        <f t="shared" si="58"/>
        <v>0</v>
      </c>
      <c r="BX260" t="s">
        <v>17</v>
      </c>
      <c r="BY260" t="s">
        <v>219</v>
      </c>
      <c r="BZ260">
        <v>78223</v>
      </c>
      <c r="CA260">
        <f t="shared" si="59"/>
        <v>12</v>
      </c>
      <c r="CB260">
        <f t="shared" si="60"/>
        <v>2023</v>
      </c>
      <c r="CC260" t="str">
        <f t="shared" si="61"/>
        <v>2023-12</v>
      </c>
    </row>
    <row r="261" spans="1:81" x14ac:dyDescent="0.25">
      <c r="A261" t="s">
        <v>27</v>
      </c>
      <c r="B261" t="s">
        <v>74</v>
      </c>
      <c r="C261" t="s">
        <v>221</v>
      </c>
      <c r="D261">
        <v>68065</v>
      </c>
      <c r="E261">
        <v>5</v>
      </c>
      <c r="P261" t="s">
        <v>27</v>
      </c>
      <c r="Q261" t="s">
        <v>60</v>
      </c>
      <c r="R261">
        <v>6</v>
      </c>
      <c r="AI261" t="s">
        <v>74</v>
      </c>
      <c r="AJ261">
        <v>68065</v>
      </c>
      <c r="AL261">
        <f>COUNTIF(AI:AI,AK261)</f>
        <v>0</v>
      </c>
      <c r="AM261">
        <f>SUMIF(AI:AI,AK261,AJ:AJ)</f>
        <v>0</v>
      </c>
      <c r="AP261" t="s">
        <v>5</v>
      </c>
      <c r="AQ261" t="s">
        <v>225</v>
      </c>
      <c r="BP261" t="s">
        <v>33</v>
      </c>
      <c r="BQ261" t="s">
        <v>73</v>
      </c>
      <c r="BR261">
        <f t="shared" si="55"/>
        <v>9</v>
      </c>
      <c r="BS261">
        <f t="shared" si="56"/>
        <v>2023</v>
      </c>
      <c r="BT261">
        <v>5</v>
      </c>
      <c r="BU261" t="str">
        <f t="shared" si="57"/>
        <v>2023-9</v>
      </c>
      <c r="BV261">
        <f t="shared" si="58"/>
        <v>0</v>
      </c>
      <c r="BX261" t="s">
        <v>27</v>
      </c>
      <c r="BY261" t="s">
        <v>221</v>
      </c>
      <c r="BZ261">
        <v>68065</v>
      </c>
      <c r="CA261">
        <f t="shared" si="59"/>
        <v>12</v>
      </c>
      <c r="CB261">
        <f t="shared" si="60"/>
        <v>2023</v>
      </c>
      <c r="CC261" t="str">
        <f t="shared" si="61"/>
        <v>2023-12</v>
      </c>
    </row>
    <row r="262" spans="1:81" x14ac:dyDescent="0.25">
      <c r="A262" t="s">
        <v>27</v>
      </c>
      <c r="B262" t="s">
        <v>60</v>
      </c>
      <c r="C262" t="s">
        <v>221</v>
      </c>
      <c r="D262">
        <v>56948</v>
      </c>
      <c r="E262">
        <v>6</v>
      </c>
      <c r="P262" t="s">
        <v>36</v>
      </c>
      <c r="Q262" t="s">
        <v>129</v>
      </c>
      <c r="R262">
        <v>8</v>
      </c>
      <c r="AI262" t="s">
        <v>60</v>
      </c>
      <c r="AJ262">
        <v>56948</v>
      </c>
      <c r="AL262">
        <f>COUNTIF(AI:AI,AK262)</f>
        <v>0</v>
      </c>
      <c r="AM262">
        <f>SUMIF(AI:AI,AK262,AJ:AJ)</f>
        <v>0</v>
      </c>
      <c r="AP262" t="s">
        <v>32</v>
      </c>
      <c r="AQ262" t="s">
        <v>119</v>
      </c>
      <c r="BP262" t="s">
        <v>33</v>
      </c>
      <c r="BQ262" t="s">
        <v>73</v>
      </c>
      <c r="BR262">
        <f t="shared" si="55"/>
        <v>9</v>
      </c>
      <c r="BS262">
        <f t="shared" si="56"/>
        <v>2023</v>
      </c>
      <c r="BT262">
        <v>6</v>
      </c>
      <c r="BU262" t="str">
        <f t="shared" si="57"/>
        <v>2023-9</v>
      </c>
      <c r="BV262">
        <f t="shared" si="58"/>
        <v>0</v>
      </c>
      <c r="BX262" t="s">
        <v>27</v>
      </c>
      <c r="BY262" t="s">
        <v>221</v>
      </c>
      <c r="BZ262">
        <v>56948</v>
      </c>
      <c r="CA262">
        <f t="shared" si="59"/>
        <v>12</v>
      </c>
      <c r="CB262">
        <f t="shared" si="60"/>
        <v>2023</v>
      </c>
      <c r="CC262" t="str">
        <f t="shared" si="61"/>
        <v>2023-12</v>
      </c>
    </row>
    <row r="263" spans="1:81" x14ac:dyDescent="0.25">
      <c r="A263" t="s">
        <v>36</v>
      </c>
      <c r="B263" t="s">
        <v>129</v>
      </c>
      <c r="C263" t="s">
        <v>221</v>
      </c>
      <c r="D263">
        <v>98496</v>
      </c>
      <c r="E263">
        <v>8</v>
      </c>
      <c r="P263" t="s">
        <v>23</v>
      </c>
      <c r="Q263" t="s">
        <v>48</v>
      </c>
      <c r="R263">
        <v>6</v>
      </c>
      <c r="AI263" t="s">
        <v>129</v>
      </c>
      <c r="AJ263">
        <v>98496</v>
      </c>
      <c r="AL263">
        <f>COUNTIF(AI:AI,AK263)</f>
        <v>0</v>
      </c>
      <c r="AM263">
        <f>SUMIF(AI:AI,AK263,AJ:AJ)</f>
        <v>0</v>
      </c>
      <c r="AP263" t="s">
        <v>33</v>
      </c>
      <c r="AQ263" t="s">
        <v>226</v>
      </c>
      <c r="BP263" t="s">
        <v>33</v>
      </c>
      <c r="BQ263" t="s">
        <v>78</v>
      </c>
      <c r="BR263">
        <f t="shared" si="55"/>
        <v>9</v>
      </c>
      <c r="BS263">
        <f t="shared" si="56"/>
        <v>2023</v>
      </c>
      <c r="BT263">
        <v>8</v>
      </c>
      <c r="BU263" t="str">
        <f t="shared" si="57"/>
        <v>2023-9</v>
      </c>
      <c r="BV263">
        <f t="shared" si="58"/>
        <v>1</v>
      </c>
      <c r="BX263" t="s">
        <v>36</v>
      </c>
      <c r="BY263" t="s">
        <v>221</v>
      </c>
      <c r="BZ263">
        <v>98496</v>
      </c>
      <c r="CA263">
        <f t="shared" si="59"/>
        <v>12</v>
      </c>
      <c r="CB263">
        <f t="shared" si="60"/>
        <v>2023</v>
      </c>
      <c r="CC263" t="str">
        <f t="shared" si="61"/>
        <v>2023-12</v>
      </c>
    </row>
    <row r="264" spans="1:81" x14ac:dyDescent="0.25">
      <c r="A264" t="s">
        <v>23</v>
      </c>
      <c r="B264" t="s">
        <v>48</v>
      </c>
      <c r="C264" t="s">
        <v>221</v>
      </c>
      <c r="D264">
        <v>27487</v>
      </c>
      <c r="E264">
        <v>6</v>
      </c>
      <c r="P264" t="s">
        <v>32</v>
      </c>
      <c r="Q264" t="s">
        <v>72</v>
      </c>
      <c r="R264">
        <v>7</v>
      </c>
      <c r="AI264" t="s">
        <v>48</v>
      </c>
      <c r="AJ264">
        <v>27487</v>
      </c>
      <c r="AL264">
        <f>COUNTIF(AI:AI,AK264)</f>
        <v>0</v>
      </c>
      <c r="AM264">
        <f>SUMIF(AI:AI,AK264,AJ:AJ)</f>
        <v>0</v>
      </c>
      <c r="AP264" t="s">
        <v>12</v>
      </c>
      <c r="AQ264" t="s">
        <v>228</v>
      </c>
      <c r="BP264" t="s">
        <v>33</v>
      </c>
      <c r="BQ264" t="s">
        <v>86</v>
      </c>
      <c r="BR264">
        <f t="shared" si="55"/>
        <v>9</v>
      </c>
      <c r="BS264">
        <f t="shared" si="56"/>
        <v>2023</v>
      </c>
      <c r="BT264">
        <v>6</v>
      </c>
      <c r="BU264" t="str">
        <f t="shared" si="57"/>
        <v>2023-9</v>
      </c>
      <c r="BV264">
        <f t="shared" si="58"/>
        <v>0</v>
      </c>
      <c r="BX264" t="s">
        <v>23</v>
      </c>
      <c r="BY264" t="s">
        <v>221</v>
      </c>
      <c r="BZ264">
        <v>27487</v>
      </c>
      <c r="CA264">
        <f t="shared" si="59"/>
        <v>12</v>
      </c>
      <c r="CB264">
        <f t="shared" si="60"/>
        <v>2023</v>
      </c>
      <c r="CC264" t="str">
        <f t="shared" si="61"/>
        <v>2023-12</v>
      </c>
    </row>
    <row r="265" spans="1:81" x14ac:dyDescent="0.25">
      <c r="A265" t="s">
        <v>32</v>
      </c>
      <c r="B265" t="s">
        <v>72</v>
      </c>
      <c r="C265" t="s">
        <v>221</v>
      </c>
      <c r="D265">
        <v>36556</v>
      </c>
      <c r="E265">
        <v>7</v>
      </c>
      <c r="P265" t="s">
        <v>32</v>
      </c>
      <c r="Q265" t="s">
        <v>173</v>
      </c>
      <c r="R265">
        <v>6</v>
      </c>
      <c r="AI265" t="s">
        <v>72</v>
      </c>
      <c r="AJ265">
        <v>36556</v>
      </c>
      <c r="AL265">
        <f>COUNTIF(AI:AI,AK265)</f>
        <v>0</v>
      </c>
      <c r="AM265">
        <f>SUMIF(AI:AI,AK265,AJ:AJ)</f>
        <v>0</v>
      </c>
      <c r="AP265" t="s">
        <v>14</v>
      </c>
      <c r="AQ265" t="s">
        <v>229</v>
      </c>
      <c r="BP265" t="s">
        <v>33</v>
      </c>
      <c r="BQ265" t="s">
        <v>123</v>
      </c>
      <c r="BR265">
        <f t="shared" si="55"/>
        <v>10</v>
      </c>
      <c r="BS265">
        <f t="shared" si="56"/>
        <v>2023</v>
      </c>
      <c r="BT265">
        <v>7</v>
      </c>
      <c r="BU265" t="str">
        <f t="shared" si="57"/>
        <v>2023-10</v>
      </c>
      <c r="BV265">
        <f t="shared" si="58"/>
        <v>1</v>
      </c>
      <c r="BX265" t="s">
        <v>32</v>
      </c>
      <c r="BY265" t="s">
        <v>221</v>
      </c>
      <c r="BZ265">
        <v>36556</v>
      </c>
      <c r="CA265">
        <f t="shared" si="59"/>
        <v>12</v>
      </c>
      <c r="CB265">
        <f t="shared" si="60"/>
        <v>2023</v>
      </c>
      <c r="CC265" t="str">
        <f t="shared" si="61"/>
        <v>2023-12</v>
      </c>
    </row>
    <row r="266" spans="1:81" x14ac:dyDescent="0.25">
      <c r="A266" t="s">
        <v>32</v>
      </c>
      <c r="B266" t="s">
        <v>173</v>
      </c>
      <c r="C266" t="s">
        <v>221</v>
      </c>
      <c r="D266">
        <v>72215</v>
      </c>
      <c r="E266">
        <v>6</v>
      </c>
      <c r="P266" t="s">
        <v>14</v>
      </c>
      <c r="Q266" t="s">
        <v>166</v>
      </c>
      <c r="R266">
        <v>6</v>
      </c>
      <c r="AI266" t="s">
        <v>173</v>
      </c>
      <c r="AJ266">
        <v>72215</v>
      </c>
      <c r="AL266">
        <f>COUNTIF(AI:AI,AK266)</f>
        <v>0</v>
      </c>
      <c r="AM266">
        <f>SUMIF(AI:AI,AK266,AJ:AJ)</f>
        <v>0</v>
      </c>
      <c r="AP266" t="s">
        <v>32</v>
      </c>
      <c r="AQ266" t="s">
        <v>98</v>
      </c>
      <c r="BP266" t="s">
        <v>33</v>
      </c>
      <c r="BQ266" t="s">
        <v>134</v>
      </c>
      <c r="BR266">
        <f t="shared" si="55"/>
        <v>10</v>
      </c>
      <c r="BS266">
        <f t="shared" si="56"/>
        <v>2023</v>
      </c>
      <c r="BT266">
        <v>6</v>
      </c>
      <c r="BU266" t="str">
        <f t="shared" si="57"/>
        <v>2023-10</v>
      </c>
      <c r="BV266">
        <f t="shared" si="58"/>
        <v>0</v>
      </c>
      <c r="BX266" t="s">
        <v>32</v>
      </c>
      <c r="BY266" t="s">
        <v>221</v>
      </c>
      <c r="BZ266">
        <v>72215</v>
      </c>
      <c r="CA266">
        <f t="shared" si="59"/>
        <v>12</v>
      </c>
      <c r="CB266">
        <f t="shared" si="60"/>
        <v>2023</v>
      </c>
      <c r="CC266" t="str">
        <f t="shared" si="61"/>
        <v>2023-12</v>
      </c>
    </row>
    <row r="267" spans="1:81" x14ac:dyDescent="0.25">
      <c r="A267" t="s">
        <v>14</v>
      </c>
      <c r="B267" t="s">
        <v>166</v>
      </c>
      <c r="C267" t="s">
        <v>221</v>
      </c>
      <c r="D267">
        <v>57392</v>
      </c>
      <c r="E267">
        <v>6</v>
      </c>
      <c r="P267" t="s">
        <v>14</v>
      </c>
      <c r="Q267" t="s">
        <v>61</v>
      </c>
      <c r="R267">
        <v>10</v>
      </c>
      <c r="AI267" t="s">
        <v>166</v>
      </c>
      <c r="AJ267">
        <v>57392</v>
      </c>
      <c r="AL267">
        <f>COUNTIF(AI:AI,AK267)</f>
        <v>0</v>
      </c>
      <c r="AM267">
        <f>SUMIF(AI:AI,AK267,AJ:AJ)</f>
        <v>0</v>
      </c>
      <c r="AP267" t="s">
        <v>10</v>
      </c>
      <c r="AQ267" t="s">
        <v>177</v>
      </c>
      <c r="BP267" t="s">
        <v>33</v>
      </c>
      <c r="BQ267" t="s">
        <v>140</v>
      </c>
      <c r="BR267">
        <f t="shared" si="55"/>
        <v>10</v>
      </c>
      <c r="BS267">
        <f t="shared" si="56"/>
        <v>2023</v>
      </c>
      <c r="BT267">
        <v>6</v>
      </c>
      <c r="BU267" t="str">
        <f t="shared" si="57"/>
        <v>2023-10</v>
      </c>
      <c r="BV267">
        <f t="shared" si="58"/>
        <v>0</v>
      </c>
      <c r="BX267" t="s">
        <v>14</v>
      </c>
      <c r="BY267" t="s">
        <v>221</v>
      </c>
      <c r="BZ267">
        <v>57392</v>
      </c>
      <c r="CA267">
        <f t="shared" si="59"/>
        <v>12</v>
      </c>
      <c r="CB267">
        <f t="shared" si="60"/>
        <v>2023</v>
      </c>
      <c r="CC267" t="str">
        <f t="shared" si="61"/>
        <v>2023-12</v>
      </c>
    </row>
    <row r="268" spans="1:81" x14ac:dyDescent="0.25">
      <c r="A268" t="s">
        <v>14</v>
      </c>
      <c r="B268" t="s">
        <v>61</v>
      </c>
      <c r="C268" t="s">
        <v>221</v>
      </c>
      <c r="D268">
        <v>28737</v>
      </c>
      <c r="E268">
        <v>10</v>
      </c>
      <c r="P268" t="s">
        <v>33</v>
      </c>
      <c r="Q268" t="s">
        <v>135</v>
      </c>
      <c r="R268">
        <v>4</v>
      </c>
      <c r="AI268" t="s">
        <v>61</v>
      </c>
      <c r="AJ268">
        <v>28737</v>
      </c>
      <c r="AL268">
        <f>COUNTIF(AI:AI,AK268)</f>
        <v>0</v>
      </c>
      <c r="AM268">
        <f>SUMIF(AI:AI,AK268,AJ:AJ)</f>
        <v>0</v>
      </c>
      <c r="AP268" t="s">
        <v>17</v>
      </c>
      <c r="AQ268" t="s">
        <v>231</v>
      </c>
      <c r="BP268" t="s">
        <v>33</v>
      </c>
      <c r="BQ268" t="s">
        <v>149</v>
      </c>
      <c r="BR268">
        <f t="shared" si="55"/>
        <v>10</v>
      </c>
      <c r="BS268">
        <f t="shared" si="56"/>
        <v>2023</v>
      </c>
      <c r="BT268">
        <v>10</v>
      </c>
      <c r="BU268" t="str">
        <f t="shared" si="57"/>
        <v>2023-10</v>
      </c>
      <c r="BV268">
        <f t="shared" si="58"/>
        <v>2</v>
      </c>
      <c r="BX268" t="s">
        <v>14</v>
      </c>
      <c r="BY268" t="s">
        <v>221</v>
      </c>
      <c r="BZ268">
        <v>28737</v>
      </c>
      <c r="CA268">
        <f t="shared" si="59"/>
        <v>12</v>
      </c>
      <c r="CB268">
        <f t="shared" si="60"/>
        <v>2023</v>
      </c>
      <c r="CC268" t="str">
        <f t="shared" si="61"/>
        <v>2023-12</v>
      </c>
    </row>
    <row r="269" spans="1:81" x14ac:dyDescent="0.25">
      <c r="A269" t="s">
        <v>33</v>
      </c>
      <c r="B269" t="s">
        <v>135</v>
      </c>
      <c r="C269" t="s">
        <v>221</v>
      </c>
      <c r="D269">
        <v>67398</v>
      </c>
      <c r="E269">
        <v>4</v>
      </c>
      <c r="P269" t="s">
        <v>14</v>
      </c>
      <c r="Q269" t="s">
        <v>222</v>
      </c>
      <c r="R269">
        <v>7</v>
      </c>
      <c r="AI269" t="s">
        <v>135</v>
      </c>
      <c r="AJ269">
        <v>67398</v>
      </c>
      <c r="AL269">
        <f>COUNTIF(AI:AI,AK269)</f>
        <v>0</v>
      </c>
      <c r="AM269">
        <f>SUMIF(AI:AI,AK269,AJ:AJ)</f>
        <v>0</v>
      </c>
      <c r="AP269" t="s">
        <v>17</v>
      </c>
      <c r="AQ269" t="s">
        <v>25</v>
      </c>
      <c r="BP269" t="s">
        <v>33</v>
      </c>
      <c r="BQ269" t="s">
        <v>153</v>
      </c>
      <c r="BR269">
        <f t="shared" si="55"/>
        <v>10</v>
      </c>
      <c r="BS269">
        <f t="shared" si="56"/>
        <v>2023</v>
      </c>
      <c r="BT269">
        <v>4</v>
      </c>
      <c r="BU269" t="str">
        <f t="shared" si="57"/>
        <v>2023-10</v>
      </c>
      <c r="BV269">
        <f t="shared" si="58"/>
        <v>0</v>
      </c>
      <c r="BX269" t="s">
        <v>33</v>
      </c>
      <c r="BY269" t="s">
        <v>221</v>
      </c>
      <c r="BZ269">
        <v>67398</v>
      </c>
      <c r="CA269">
        <f t="shared" si="59"/>
        <v>12</v>
      </c>
      <c r="CB269">
        <f t="shared" si="60"/>
        <v>2023</v>
      </c>
      <c r="CC269" t="str">
        <f t="shared" si="61"/>
        <v>2023-12</v>
      </c>
    </row>
    <row r="270" spans="1:81" x14ac:dyDescent="0.25">
      <c r="A270" t="s">
        <v>14</v>
      </c>
      <c r="B270" t="s">
        <v>222</v>
      </c>
      <c r="C270" t="s">
        <v>221</v>
      </c>
      <c r="D270">
        <v>23480</v>
      </c>
      <c r="E270">
        <v>7</v>
      </c>
      <c r="P270" t="s">
        <v>32</v>
      </c>
      <c r="Q270" t="s">
        <v>182</v>
      </c>
      <c r="R270">
        <v>7</v>
      </c>
      <c r="AI270" t="s">
        <v>222</v>
      </c>
      <c r="AJ270">
        <v>23480</v>
      </c>
      <c r="AL270">
        <f>COUNTIF(AI:AI,AK270)</f>
        <v>0</v>
      </c>
      <c r="AM270">
        <f>SUMIF(AI:AI,AK270,AJ:AJ)</f>
        <v>0</v>
      </c>
      <c r="AP270" t="s">
        <v>8</v>
      </c>
      <c r="AQ270" t="s">
        <v>77</v>
      </c>
      <c r="BP270" t="s">
        <v>33</v>
      </c>
      <c r="BQ270" t="s">
        <v>170</v>
      </c>
      <c r="BR270">
        <f t="shared" si="55"/>
        <v>11</v>
      </c>
      <c r="BS270">
        <f t="shared" si="56"/>
        <v>2023</v>
      </c>
      <c r="BT270">
        <v>7</v>
      </c>
      <c r="BU270" t="str">
        <f t="shared" si="57"/>
        <v>2023-11</v>
      </c>
      <c r="BV270">
        <f t="shared" si="58"/>
        <v>1</v>
      </c>
      <c r="BX270" t="s">
        <v>14</v>
      </c>
      <c r="BY270" t="s">
        <v>221</v>
      </c>
      <c r="BZ270">
        <v>23480</v>
      </c>
      <c r="CA270">
        <f t="shared" si="59"/>
        <v>12</v>
      </c>
      <c r="CB270">
        <f t="shared" si="60"/>
        <v>2023</v>
      </c>
      <c r="CC270" t="str">
        <f t="shared" si="61"/>
        <v>2023-12</v>
      </c>
    </row>
    <row r="271" spans="1:81" x14ac:dyDescent="0.25">
      <c r="A271" t="s">
        <v>32</v>
      </c>
      <c r="B271" t="s">
        <v>182</v>
      </c>
      <c r="C271" t="s">
        <v>221</v>
      </c>
      <c r="D271">
        <v>14230</v>
      </c>
      <c r="E271">
        <v>7</v>
      </c>
      <c r="P271" t="s">
        <v>36</v>
      </c>
      <c r="Q271" t="s">
        <v>90</v>
      </c>
      <c r="R271">
        <v>5</v>
      </c>
      <c r="AI271" t="s">
        <v>182</v>
      </c>
      <c r="AJ271">
        <v>14230</v>
      </c>
      <c r="AL271">
        <f>COUNTIF(AI:AI,AK271)</f>
        <v>0</v>
      </c>
      <c r="AM271">
        <f>SUMIF(AI:AI,AK271,AJ:AJ)</f>
        <v>0</v>
      </c>
      <c r="AP271" t="s">
        <v>12</v>
      </c>
      <c r="AQ271" t="s">
        <v>233</v>
      </c>
      <c r="BP271" t="s">
        <v>33</v>
      </c>
      <c r="BQ271" t="s">
        <v>172</v>
      </c>
      <c r="BR271">
        <f t="shared" si="55"/>
        <v>11</v>
      </c>
      <c r="BS271">
        <f t="shared" si="56"/>
        <v>2023</v>
      </c>
      <c r="BT271">
        <v>7</v>
      </c>
      <c r="BU271" t="str">
        <f t="shared" si="57"/>
        <v>2023-11</v>
      </c>
      <c r="BV271">
        <f t="shared" si="58"/>
        <v>1</v>
      </c>
      <c r="BX271" t="s">
        <v>32</v>
      </c>
      <c r="BY271" t="s">
        <v>221</v>
      </c>
      <c r="BZ271">
        <v>14230</v>
      </c>
      <c r="CA271">
        <f t="shared" si="59"/>
        <v>12</v>
      </c>
      <c r="CB271">
        <f t="shared" si="60"/>
        <v>2023</v>
      </c>
      <c r="CC271" t="str">
        <f t="shared" si="61"/>
        <v>2023-12</v>
      </c>
    </row>
    <row r="272" spans="1:81" x14ac:dyDescent="0.25">
      <c r="A272" t="s">
        <v>36</v>
      </c>
      <c r="B272" t="s">
        <v>90</v>
      </c>
      <c r="C272" t="s">
        <v>221</v>
      </c>
      <c r="D272">
        <v>71491</v>
      </c>
      <c r="E272">
        <v>5</v>
      </c>
      <c r="P272" t="s">
        <v>14</v>
      </c>
      <c r="Q272" t="s">
        <v>26</v>
      </c>
      <c r="R272">
        <v>7</v>
      </c>
      <c r="AI272" t="s">
        <v>90</v>
      </c>
      <c r="AJ272">
        <v>71491</v>
      </c>
      <c r="AL272">
        <f>COUNTIF(AI:AI,AK272)</f>
        <v>0</v>
      </c>
      <c r="AM272">
        <f>SUMIF(AI:AI,AK272,AJ:AJ)</f>
        <v>0</v>
      </c>
      <c r="AP272" t="s">
        <v>36</v>
      </c>
      <c r="AQ272" t="s">
        <v>214</v>
      </c>
      <c r="BP272" t="s">
        <v>33</v>
      </c>
      <c r="BQ272" t="s">
        <v>179</v>
      </c>
      <c r="BR272">
        <f t="shared" si="55"/>
        <v>11</v>
      </c>
      <c r="BS272">
        <f t="shared" si="56"/>
        <v>2023</v>
      </c>
      <c r="BT272">
        <v>5</v>
      </c>
      <c r="BU272" t="str">
        <f t="shared" si="57"/>
        <v>2023-11</v>
      </c>
      <c r="BV272">
        <f t="shared" si="58"/>
        <v>0</v>
      </c>
      <c r="BX272" t="s">
        <v>36</v>
      </c>
      <c r="BY272" t="s">
        <v>221</v>
      </c>
      <c r="BZ272">
        <v>71491</v>
      </c>
      <c r="CA272">
        <f t="shared" si="59"/>
        <v>12</v>
      </c>
      <c r="CB272">
        <f t="shared" si="60"/>
        <v>2023</v>
      </c>
      <c r="CC272" t="str">
        <f t="shared" si="61"/>
        <v>2023-12</v>
      </c>
    </row>
    <row r="273" spans="1:81" x14ac:dyDescent="0.25">
      <c r="A273" t="s">
        <v>14</v>
      </c>
      <c r="B273" t="s">
        <v>26</v>
      </c>
      <c r="C273" t="s">
        <v>223</v>
      </c>
      <c r="D273">
        <v>88120</v>
      </c>
      <c r="E273">
        <v>7</v>
      </c>
      <c r="P273" t="s">
        <v>12</v>
      </c>
      <c r="Q273" t="s">
        <v>30</v>
      </c>
      <c r="R273">
        <v>4</v>
      </c>
      <c r="AI273" t="s">
        <v>26</v>
      </c>
      <c r="AJ273">
        <v>88120</v>
      </c>
      <c r="AL273">
        <f>COUNTIF(AI:AI,AK273)</f>
        <v>0</v>
      </c>
      <c r="AM273">
        <f>SUMIF(AI:AI,AK273,AJ:AJ)</f>
        <v>0</v>
      </c>
      <c r="AP273" t="s">
        <v>23</v>
      </c>
      <c r="AQ273" t="s">
        <v>69</v>
      </c>
      <c r="BP273" t="s">
        <v>33</v>
      </c>
      <c r="BQ273" t="s">
        <v>189</v>
      </c>
      <c r="BR273">
        <f t="shared" si="55"/>
        <v>11</v>
      </c>
      <c r="BS273">
        <f t="shared" si="56"/>
        <v>2023</v>
      </c>
      <c r="BT273">
        <v>7</v>
      </c>
      <c r="BU273" t="str">
        <f t="shared" si="57"/>
        <v>2023-11</v>
      </c>
      <c r="BV273">
        <f t="shared" si="58"/>
        <v>1</v>
      </c>
      <c r="BX273" t="s">
        <v>14</v>
      </c>
      <c r="BY273" t="s">
        <v>223</v>
      </c>
      <c r="BZ273">
        <v>88120</v>
      </c>
      <c r="CA273">
        <f t="shared" si="59"/>
        <v>12</v>
      </c>
      <c r="CB273">
        <f t="shared" si="60"/>
        <v>2023</v>
      </c>
      <c r="CC273" t="str">
        <f t="shared" si="61"/>
        <v>2023-12</v>
      </c>
    </row>
    <row r="274" spans="1:81" x14ac:dyDescent="0.25">
      <c r="A274" t="s">
        <v>12</v>
      </c>
      <c r="B274" t="s">
        <v>30</v>
      </c>
      <c r="C274" t="s">
        <v>224</v>
      </c>
      <c r="D274">
        <v>64447</v>
      </c>
      <c r="E274">
        <v>4</v>
      </c>
      <c r="P274" t="s">
        <v>5</v>
      </c>
      <c r="Q274" t="s">
        <v>225</v>
      </c>
      <c r="R274">
        <v>2</v>
      </c>
      <c r="AI274" t="s">
        <v>30</v>
      </c>
      <c r="AJ274">
        <v>64447</v>
      </c>
      <c r="AL274">
        <f>COUNTIF(AI:AI,AK274)</f>
        <v>0</v>
      </c>
      <c r="AM274">
        <f>SUMIF(AI:AI,AK274,AJ:AJ)</f>
        <v>0</v>
      </c>
      <c r="AP274" t="s">
        <v>10</v>
      </c>
      <c r="AQ274" t="s">
        <v>89</v>
      </c>
      <c r="BP274" t="s">
        <v>33</v>
      </c>
      <c r="BQ274" t="s">
        <v>201</v>
      </c>
      <c r="BR274">
        <f t="shared" si="55"/>
        <v>11</v>
      </c>
      <c r="BS274">
        <f t="shared" si="56"/>
        <v>2023</v>
      </c>
      <c r="BT274">
        <v>4</v>
      </c>
      <c r="BU274" t="str">
        <f t="shared" si="57"/>
        <v>2023-11</v>
      </c>
      <c r="BV274">
        <f t="shared" si="58"/>
        <v>0</v>
      </c>
      <c r="BX274" t="s">
        <v>12</v>
      </c>
      <c r="BY274" t="s">
        <v>224</v>
      </c>
      <c r="BZ274">
        <v>64447</v>
      </c>
      <c r="CA274">
        <f t="shared" si="59"/>
        <v>12</v>
      </c>
      <c r="CB274">
        <f t="shared" si="60"/>
        <v>2023</v>
      </c>
      <c r="CC274" t="str">
        <f t="shared" si="61"/>
        <v>2023-12</v>
      </c>
    </row>
    <row r="275" spans="1:81" x14ac:dyDescent="0.25">
      <c r="A275" t="s">
        <v>5</v>
      </c>
      <c r="B275" t="s">
        <v>225</v>
      </c>
      <c r="C275" t="s">
        <v>224</v>
      </c>
      <c r="D275">
        <v>35209</v>
      </c>
      <c r="E275">
        <v>2</v>
      </c>
      <c r="P275" t="s">
        <v>17</v>
      </c>
      <c r="Q275" t="s">
        <v>158</v>
      </c>
      <c r="R275">
        <v>7</v>
      </c>
      <c r="AI275" t="s">
        <v>225</v>
      </c>
      <c r="AJ275">
        <v>35209</v>
      </c>
      <c r="AL275">
        <f>COUNTIF(AI:AI,AK275)</f>
        <v>0</v>
      </c>
      <c r="AM275">
        <f>SUMIF(AI:AI,AK275,AJ:AJ)</f>
        <v>0</v>
      </c>
      <c r="AP275" t="s">
        <v>10</v>
      </c>
      <c r="AQ275" t="s">
        <v>44</v>
      </c>
      <c r="BP275" t="s">
        <v>33</v>
      </c>
      <c r="BQ275" t="s">
        <v>204</v>
      </c>
      <c r="BR275">
        <f t="shared" si="55"/>
        <v>11</v>
      </c>
      <c r="BS275">
        <f t="shared" si="56"/>
        <v>2023</v>
      </c>
      <c r="BT275">
        <v>2</v>
      </c>
      <c r="BU275" t="str">
        <f t="shared" si="57"/>
        <v>2023-11</v>
      </c>
      <c r="BV275">
        <f t="shared" si="58"/>
        <v>0</v>
      </c>
      <c r="BX275" t="s">
        <v>5</v>
      </c>
      <c r="BY275" t="s">
        <v>224</v>
      </c>
      <c r="BZ275">
        <v>35209</v>
      </c>
      <c r="CA275">
        <f t="shared" si="59"/>
        <v>12</v>
      </c>
      <c r="CB275">
        <f t="shared" si="60"/>
        <v>2023</v>
      </c>
      <c r="CC275" t="str">
        <f t="shared" si="61"/>
        <v>2023-12</v>
      </c>
    </row>
    <row r="276" spans="1:81" x14ac:dyDescent="0.25">
      <c r="A276" t="s">
        <v>17</v>
      </c>
      <c r="B276" t="s">
        <v>158</v>
      </c>
      <c r="C276" t="s">
        <v>224</v>
      </c>
      <c r="D276">
        <v>90020</v>
      </c>
      <c r="E276">
        <v>7</v>
      </c>
      <c r="P276" t="s">
        <v>32</v>
      </c>
      <c r="Q276" t="s">
        <v>119</v>
      </c>
      <c r="R276">
        <v>2</v>
      </c>
      <c r="AI276" t="s">
        <v>158</v>
      </c>
      <c r="AJ276">
        <v>90020</v>
      </c>
      <c r="AL276">
        <f>COUNTIF(AI:AI,AK276)</f>
        <v>0</v>
      </c>
      <c r="AM276">
        <f>SUMIF(AI:AI,AK276,AJ:AJ)</f>
        <v>0</v>
      </c>
      <c r="AP276" t="s">
        <v>20</v>
      </c>
      <c r="AQ276" t="s">
        <v>69</v>
      </c>
      <c r="BP276" t="s">
        <v>33</v>
      </c>
      <c r="BQ276" t="s">
        <v>211</v>
      </c>
      <c r="BR276">
        <f t="shared" si="55"/>
        <v>12</v>
      </c>
      <c r="BS276">
        <f t="shared" si="56"/>
        <v>2023</v>
      </c>
      <c r="BT276">
        <v>7</v>
      </c>
      <c r="BU276" t="str">
        <f t="shared" si="57"/>
        <v>2023-12</v>
      </c>
      <c r="BV276">
        <f t="shared" si="58"/>
        <v>1</v>
      </c>
      <c r="BX276" t="s">
        <v>17</v>
      </c>
      <c r="BY276" t="s">
        <v>224</v>
      </c>
      <c r="BZ276">
        <v>90020</v>
      </c>
      <c r="CA276">
        <f t="shared" si="59"/>
        <v>12</v>
      </c>
      <c r="CB276">
        <f t="shared" si="60"/>
        <v>2023</v>
      </c>
      <c r="CC276" t="str">
        <f t="shared" si="61"/>
        <v>2023-12</v>
      </c>
    </row>
    <row r="277" spans="1:81" x14ac:dyDescent="0.25">
      <c r="A277" t="s">
        <v>32</v>
      </c>
      <c r="B277" t="s">
        <v>119</v>
      </c>
      <c r="C277" t="s">
        <v>224</v>
      </c>
      <c r="D277">
        <v>76503</v>
      </c>
      <c r="E277">
        <v>2</v>
      </c>
      <c r="P277" t="s">
        <v>33</v>
      </c>
      <c r="Q277" t="s">
        <v>226</v>
      </c>
      <c r="R277">
        <v>7</v>
      </c>
      <c r="AI277" t="s">
        <v>119</v>
      </c>
      <c r="AJ277">
        <v>76503</v>
      </c>
      <c r="AL277">
        <f>COUNTIF(AI:AI,AK277)</f>
        <v>0</v>
      </c>
      <c r="AM277">
        <f>SUMIF(AI:AI,AK277,AJ:AJ)</f>
        <v>0</v>
      </c>
      <c r="AP277" t="s">
        <v>5</v>
      </c>
      <c r="AQ277" t="s">
        <v>236</v>
      </c>
      <c r="BP277" t="s">
        <v>33</v>
      </c>
      <c r="BQ277" t="s">
        <v>211</v>
      </c>
      <c r="BR277">
        <f t="shared" si="55"/>
        <v>12</v>
      </c>
      <c r="BS277">
        <f t="shared" si="56"/>
        <v>2023</v>
      </c>
      <c r="BT277">
        <v>2</v>
      </c>
      <c r="BU277" t="str">
        <f t="shared" si="57"/>
        <v>2023-12</v>
      </c>
      <c r="BV277">
        <f t="shared" si="58"/>
        <v>0</v>
      </c>
      <c r="BX277" t="s">
        <v>32</v>
      </c>
      <c r="BY277" t="s">
        <v>224</v>
      </c>
      <c r="BZ277">
        <v>76503</v>
      </c>
      <c r="CA277">
        <f t="shared" si="59"/>
        <v>12</v>
      </c>
      <c r="CB277">
        <f t="shared" si="60"/>
        <v>2023</v>
      </c>
      <c r="CC277" t="str">
        <f t="shared" si="61"/>
        <v>2023-12</v>
      </c>
    </row>
    <row r="278" spans="1:81" x14ac:dyDescent="0.25">
      <c r="A278" t="s">
        <v>33</v>
      </c>
      <c r="B278" t="s">
        <v>226</v>
      </c>
      <c r="C278" t="s">
        <v>227</v>
      </c>
      <c r="D278">
        <v>79157</v>
      </c>
      <c r="E278">
        <v>7</v>
      </c>
      <c r="P278" t="s">
        <v>12</v>
      </c>
      <c r="Q278" t="s">
        <v>228</v>
      </c>
      <c r="R278">
        <v>5</v>
      </c>
      <c r="AI278" t="s">
        <v>226</v>
      </c>
      <c r="AJ278">
        <v>79157</v>
      </c>
      <c r="AL278">
        <f>COUNTIF(AI:AI,AK278)</f>
        <v>0</v>
      </c>
      <c r="AM278">
        <f>SUMIF(AI:AI,AK278,AJ:AJ)</f>
        <v>0</v>
      </c>
      <c r="AP278" t="s">
        <v>20</v>
      </c>
      <c r="AQ278" t="s">
        <v>127</v>
      </c>
      <c r="BP278" t="s">
        <v>33</v>
      </c>
      <c r="BQ278" t="s">
        <v>218</v>
      </c>
      <c r="BR278">
        <f t="shared" si="55"/>
        <v>12</v>
      </c>
      <c r="BS278">
        <f t="shared" si="56"/>
        <v>2023</v>
      </c>
      <c r="BT278">
        <v>7</v>
      </c>
      <c r="BU278" t="str">
        <f t="shared" si="57"/>
        <v>2023-12</v>
      </c>
      <c r="BV278">
        <f t="shared" si="58"/>
        <v>1</v>
      </c>
      <c r="BX278" t="s">
        <v>33</v>
      </c>
      <c r="BY278" t="s">
        <v>227</v>
      </c>
      <c r="BZ278">
        <v>79157</v>
      </c>
      <c r="CA278">
        <f t="shared" si="59"/>
        <v>12</v>
      </c>
      <c r="CB278">
        <f t="shared" si="60"/>
        <v>2023</v>
      </c>
      <c r="CC278" t="str">
        <f t="shared" si="61"/>
        <v>2023-12</v>
      </c>
    </row>
    <row r="279" spans="1:81" x14ac:dyDescent="0.25">
      <c r="A279" t="s">
        <v>12</v>
      </c>
      <c r="B279" t="s">
        <v>228</v>
      </c>
      <c r="C279" t="s">
        <v>227</v>
      </c>
      <c r="D279">
        <v>16870</v>
      </c>
      <c r="E279">
        <v>5</v>
      </c>
      <c r="P279" t="s">
        <v>14</v>
      </c>
      <c r="Q279" t="s">
        <v>229</v>
      </c>
      <c r="R279">
        <v>7</v>
      </c>
      <c r="AI279" t="s">
        <v>228</v>
      </c>
      <c r="AJ279">
        <v>16870</v>
      </c>
      <c r="AL279">
        <f>COUNTIF(AI:AI,AK279)</f>
        <v>0</v>
      </c>
      <c r="AM279">
        <f>SUMIF(AI:AI,AK279,AJ:AJ)</f>
        <v>0</v>
      </c>
      <c r="AP279" t="s">
        <v>36</v>
      </c>
      <c r="AQ279" t="s">
        <v>237</v>
      </c>
      <c r="BP279" t="s">
        <v>33</v>
      </c>
      <c r="BQ279" t="s">
        <v>221</v>
      </c>
      <c r="BR279">
        <f t="shared" ref="BR279:BR342" si="62">MONTH(BQ279)</f>
        <v>12</v>
      </c>
      <c r="BS279">
        <f t="shared" si="56"/>
        <v>2023</v>
      </c>
      <c r="BT279">
        <v>5</v>
      </c>
      <c r="BU279" t="str">
        <f t="shared" si="57"/>
        <v>2023-12</v>
      </c>
      <c r="BV279">
        <f t="shared" si="58"/>
        <v>0</v>
      </c>
      <c r="BX279" t="s">
        <v>12</v>
      </c>
      <c r="BY279" t="s">
        <v>227</v>
      </c>
      <c r="BZ279">
        <v>16870</v>
      </c>
      <c r="CA279">
        <f t="shared" si="59"/>
        <v>12</v>
      </c>
      <c r="CB279">
        <f t="shared" si="60"/>
        <v>2023</v>
      </c>
      <c r="CC279" t="str">
        <f t="shared" si="61"/>
        <v>2023-12</v>
      </c>
    </row>
    <row r="280" spans="1:81" x14ac:dyDescent="0.25">
      <c r="A280" t="s">
        <v>14</v>
      </c>
      <c r="B280" t="s">
        <v>229</v>
      </c>
      <c r="C280" t="s">
        <v>227</v>
      </c>
      <c r="D280">
        <v>76066</v>
      </c>
      <c r="E280">
        <v>7</v>
      </c>
      <c r="P280" t="s">
        <v>32</v>
      </c>
      <c r="Q280" t="s">
        <v>98</v>
      </c>
      <c r="R280">
        <v>5</v>
      </c>
      <c r="AI280" t="s">
        <v>229</v>
      </c>
      <c r="AJ280">
        <v>76066</v>
      </c>
      <c r="AL280">
        <f>COUNTIF(AI:AI,AK280)</f>
        <v>0</v>
      </c>
      <c r="AM280">
        <f>SUMIF(AI:AI,AK280,AJ:AJ)</f>
        <v>0</v>
      </c>
      <c r="AP280" t="s">
        <v>20</v>
      </c>
      <c r="AQ280" t="s">
        <v>238</v>
      </c>
      <c r="BP280" t="s">
        <v>33</v>
      </c>
      <c r="BQ280" t="s">
        <v>227</v>
      </c>
      <c r="BR280">
        <f t="shared" si="62"/>
        <v>12</v>
      </c>
      <c r="BS280">
        <f t="shared" si="56"/>
        <v>2023</v>
      </c>
      <c r="BT280">
        <v>7</v>
      </c>
      <c r="BU280" t="str">
        <f t="shared" si="57"/>
        <v>2023-12</v>
      </c>
      <c r="BV280">
        <f t="shared" si="58"/>
        <v>1</v>
      </c>
      <c r="BX280" t="s">
        <v>14</v>
      </c>
      <c r="BY280" t="s">
        <v>227</v>
      </c>
      <c r="BZ280">
        <v>76066</v>
      </c>
      <c r="CA280">
        <f t="shared" si="59"/>
        <v>12</v>
      </c>
      <c r="CB280">
        <f t="shared" si="60"/>
        <v>2023</v>
      </c>
      <c r="CC280" t="str">
        <f t="shared" si="61"/>
        <v>2023-12</v>
      </c>
    </row>
    <row r="281" spans="1:81" x14ac:dyDescent="0.25">
      <c r="A281" t="s">
        <v>32</v>
      </c>
      <c r="B281" t="s">
        <v>98</v>
      </c>
      <c r="C281" t="s">
        <v>230</v>
      </c>
      <c r="D281">
        <v>95880</v>
      </c>
      <c r="E281">
        <v>5</v>
      </c>
      <c r="P281" t="s">
        <v>10</v>
      </c>
      <c r="Q281" t="s">
        <v>177</v>
      </c>
      <c r="R281">
        <v>6</v>
      </c>
      <c r="AI281" t="s">
        <v>98</v>
      </c>
      <c r="AJ281">
        <v>95880</v>
      </c>
      <c r="AL281">
        <f>COUNTIF(AI:AI,AK281)</f>
        <v>0</v>
      </c>
      <c r="AM281">
        <f>SUMIF(AI:AI,AK281,AJ:AJ)</f>
        <v>0</v>
      </c>
      <c r="AP281" t="s">
        <v>8</v>
      </c>
      <c r="AQ281" t="s">
        <v>89</v>
      </c>
      <c r="BP281" t="s">
        <v>33</v>
      </c>
      <c r="BQ281" t="s">
        <v>240</v>
      </c>
      <c r="BR281">
        <f t="shared" si="62"/>
        <v>12</v>
      </c>
      <c r="BS281">
        <f t="shared" si="56"/>
        <v>2023</v>
      </c>
      <c r="BT281">
        <v>5</v>
      </c>
      <c r="BU281" t="str">
        <f t="shared" si="57"/>
        <v>2023-12</v>
      </c>
      <c r="BV281">
        <f t="shared" si="58"/>
        <v>0</v>
      </c>
      <c r="BX281" t="s">
        <v>32</v>
      </c>
      <c r="BY281" t="s">
        <v>230</v>
      </c>
      <c r="BZ281">
        <v>95880</v>
      </c>
      <c r="CA281">
        <f t="shared" si="59"/>
        <v>12</v>
      </c>
      <c r="CB281">
        <f t="shared" si="60"/>
        <v>2023</v>
      </c>
      <c r="CC281" t="str">
        <f t="shared" si="61"/>
        <v>2023-12</v>
      </c>
    </row>
    <row r="282" spans="1:81" x14ac:dyDescent="0.25">
      <c r="A282" t="s">
        <v>10</v>
      </c>
      <c r="B282" t="s">
        <v>177</v>
      </c>
      <c r="C282" t="s">
        <v>230</v>
      </c>
      <c r="D282">
        <v>20819</v>
      </c>
      <c r="E282">
        <v>6</v>
      </c>
      <c r="P282" t="s">
        <v>17</v>
      </c>
      <c r="Q282" t="s">
        <v>231</v>
      </c>
      <c r="R282">
        <v>9</v>
      </c>
      <c r="AI282" t="s">
        <v>177</v>
      </c>
      <c r="AJ282">
        <v>20819</v>
      </c>
      <c r="AL282">
        <f>COUNTIF(AI:AI,AK282)</f>
        <v>0</v>
      </c>
      <c r="AM282">
        <f>SUMIF(AI:AI,AK282,AJ:AJ)</f>
        <v>0</v>
      </c>
      <c r="AP282" t="s">
        <v>27</v>
      </c>
      <c r="AQ282" t="s">
        <v>241</v>
      </c>
      <c r="BP282" t="s">
        <v>33</v>
      </c>
      <c r="BQ282" t="s">
        <v>250</v>
      </c>
      <c r="BR282">
        <f t="shared" si="62"/>
        <v>1</v>
      </c>
      <c r="BS282">
        <f t="shared" si="56"/>
        <v>2024</v>
      </c>
      <c r="BT282">
        <v>6</v>
      </c>
      <c r="BU282" t="str">
        <f t="shared" si="57"/>
        <v>2024-1</v>
      </c>
      <c r="BV282">
        <f t="shared" si="58"/>
        <v>0</v>
      </c>
      <c r="BX282" t="s">
        <v>10</v>
      </c>
      <c r="BY282" t="s">
        <v>230</v>
      </c>
      <c r="BZ282">
        <v>20819</v>
      </c>
      <c r="CA282">
        <f t="shared" si="59"/>
        <v>12</v>
      </c>
      <c r="CB282">
        <f t="shared" si="60"/>
        <v>2023</v>
      </c>
      <c r="CC282" t="str">
        <f t="shared" si="61"/>
        <v>2023-12</v>
      </c>
    </row>
    <row r="283" spans="1:81" x14ac:dyDescent="0.25">
      <c r="A283" t="s">
        <v>17</v>
      </c>
      <c r="B283" t="s">
        <v>231</v>
      </c>
      <c r="C283" t="s">
        <v>230</v>
      </c>
      <c r="D283">
        <v>49551</v>
      </c>
      <c r="E283">
        <v>9</v>
      </c>
      <c r="P283" t="s">
        <v>17</v>
      </c>
      <c r="Q283" t="s">
        <v>25</v>
      </c>
      <c r="R283">
        <v>9</v>
      </c>
      <c r="AI283" t="s">
        <v>231</v>
      </c>
      <c r="AJ283">
        <v>49551</v>
      </c>
      <c r="AL283">
        <f>COUNTIF(AI:AI,AK283)</f>
        <v>0</v>
      </c>
      <c r="AM283">
        <f>SUMIF(AI:AI,AK283,AJ:AJ)</f>
        <v>0</v>
      </c>
      <c r="AP283" t="s">
        <v>27</v>
      </c>
      <c r="AQ283" t="s">
        <v>52</v>
      </c>
      <c r="BP283" t="s">
        <v>33</v>
      </c>
      <c r="BQ283" t="s">
        <v>264</v>
      </c>
      <c r="BR283">
        <f t="shared" si="62"/>
        <v>1</v>
      </c>
      <c r="BS283">
        <f t="shared" si="56"/>
        <v>2024</v>
      </c>
      <c r="BT283">
        <v>9</v>
      </c>
      <c r="BU283" t="str">
        <f t="shared" si="57"/>
        <v>2024-1</v>
      </c>
      <c r="BV283">
        <f t="shared" si="58"/>
        <v>2</v>
      </c>
      <c r="BX283" t="s">
        <v>17</v>
      </c>
      <c r="BY283" t="s">
        <v>230</v>
      </c>
      <c r="BZ283">
        <v>49551</v>
      </c>
      <c r="CA283">
        <f t="shared" si="59"/>
        <v>12</v>
      </c>
      <c r="CB283">
        <f t="shared" si="60"/>
        <v>2023</v>
      </c>
      <c r="CC283" t="str">
        <f t="shared" si="61"/>
        <v>2023-12</v>
      </c>
    </row>
    <row r="284" spans="1:81" x14ac:dyDescent="0.25">
      <c r="A284" t="s">
        <v>17</v>
      </c>
      <c r="B284" t="s">
        <v>25</v>
      </c>
      <c r="C284" t="s">
        <v>232</v>
      </c>
      <c r="D284">
        <v>76331</v>
      </c>
      <c r="E284">
        <v>9</v>
      </c>
      <c r="P284" t="s">
        <v>12</v>
      </c>
      <c r="Q284" t="s">
        <v>30</v>
      </c>
      <c r="R284">
        <v>1</v>
      </c>
      <c r="AI284" t="s">
        <v>25</v>
      </c>
      <c r="AJ284">
        <v>76331</v>
      </c>
      <c r="AL284">
        <f>COUNTIF(AI:AI,AK284)</f>
        <v>0</v>
      </c>
      <c r="AM284">
        <f>SUMIF(AI:AI,AK284,AJ:AJ)</f>
        <v>0</v>
      </c>
      <c r="AP284" t="s">
        <v>33</v>
      </c>
      <c r="AQ284" t="s">
        <v>166</v>
      </c>
      <c r="BP284" t="s">
        <v>33</v>
      </c>
      <c r="BQ284" t="s">
        <v>264</v>
      </c>
      <c r="BR284">
        <f t="shared" si="62"/>
        <v>1</v>
      </c>
      <c r="BS284">
        <f t="shared" si="56"/>
        <v>2024</v>
      </c>
      <c r="BT284">
        <v>9</v>
      </c>
      <c r="BU284" t="str">
        <f t="shared" si="57"/>
        <v>2024-1</v>
      </c>
      <c r="BV284">
        <f t="shared" si="58"/>
        <v>2</v>
      </c>
      <c r="BX284" t="s">
        <v>17</v>
      </c>
      <c r="BY284" t="s">
        <v>232</v>
      </c>
      <c r="BZ284">
        <v>76331</v>
      </c>
      <c r="CA284">
        <f t="shared" si="59"/>
        <v>12</v>
      </c>
      <c r="CB284">
        <f t="shared" si="60"/>
        <v>2023</v>
      </c>
      <c r="CC284" t="str">
        <f t="shared" si="61"/>
        <v>2023-12</v>
      </c>
    </row>
    <row r="285" spans="1:81" x14ac:dyDescent="0.25">
      <c r="A285" t="s">
        <v>12</v>
      </c>
      <c r="B285" t="s">
        <v>30</v>
      </c>
      <c r="C285" t="s">
        <v>232</v>
      </c>
      <c r="D285">
        <v>63153</v>
      </c>
      <c r="E285">
        <v>1</v>
      </c>
      <c r="P285" t="s">
        <v>8</v>
      </c>
      <c r="Q285" t="s">
        <v>77</v>
      </c>
      <c r="R285">
        <v>5</v>
      </c>
      <c r="AI285" t="s">
        <v>30</v>
      </c>
      <c r="AJ285">
        <v>63153</v>
      </c>
      <c r="AL285">
        <f>COUNTIF(AI:AI,AK285)</f>
        <v>0</v>
      </c>
      <c r="AM285">
        <f>SUMIF(AI:AI,AK285,AJ:AJ)</f>
        <v>0</v>
      </c>
      <c r="AP285" t="s">
        <v>36</v>
      </c>
      <c r="AQ285" t="s">
        <v>242</v>
      </c>
      <c r="BP285" t="s">
        <v>33</v>
      </c>
      <c r="BQ285" t="s">
        <v>265</v>
      </c>
      <c r="BR285">
        <f t="shared" si="62"/>
        <v>1</v>
      </c>
      <c r="BS285">
        <f t="shared" si="56"/>
        <v>2024</v>
      </c>
      <c r="BT285">
        <v>1</v>
      </c>
      <c r="BU285" t="str">
        <f t="shared" si="57"/>
        <v>2024-1</v>
      </c>
      <c r="BV285">
        <f t="shared" si="58"/>
        <v>0</v>
      </c>
      <c r="BX285" t="s">
        <v>12</v>
      </c>
      <c r="BY285" t="s">
        <v>232</v>
      </c>
      <c r="BZ285">
        <v>63153</v>
      </c>
      <c r="CA285">
        <f t="shared" si="59"/>
        <v>12</v>
      </c>
      <c r="CB285">
        <f t="shared" si="60"/>
        <v>2023</v>
      </c>
      <c r="CC285" t="str">
        <f t="shared" si="61"/>
        <v>2023-12</v>
      </c>
    </row>
    <row r="286" spans="1:81" x14ac:dyDescent="0.25">
      <c r="A286" t="s">
        <v>8</v>
      </c>
      <c r="B286" t="s">
        <v>77</v>
      </c>
      <c r="C286" t="s">
        <v>232</v>
      </c>
      <c r="D286">
        <v>24658</v>
      </c>
      <c r="E286">
        <v>5</v>
      </c>
      <c r="P286" t="s">
        <v>32</v>
      </c>
      <c r="Q286" t="s">
        <v>174</v>
      </c>
      <c r="R286">
        <v>3</v>
      </c>
      <c r="AI286" t="s">
        <v>77</v>
      </c>
      <c r="AJ286">
        <v>24658</v>
      </c>
      <c r="AL286">
        <f>COUNTIF(AI:AI,AK286)</f>
        <v>0</v>
      </c>
      <c r="AM286">
        <f>SUMIF(AI:AI,AK286,AJ:AJ)</f>
        <v>0</v>
      </c>
      <c r="AP286" t="s">
        <v>17</v>
      </c>
      <c r="AQ286" t="s">
        <v>244</v>
      </c>
      <c r="BP286" t="s">
        <v>33</v>
      </c>
      <c r="BQ286" t="s">
        <v>272</v>
      </c>
      <c r="BR286">
        <f t="shared" si="62"/>
        <v>1</v>
      </c>
      <c r="BS286">
        <f t="shared" si="56"/>
        <v>2024</v>
      </c>
      <c r="BT286">
        <v>5</v>
      </c>
      <c r="BU286" t="str">
        <f t="shared" si="57"/>
        <v>2024-1</v>
      </c>
      <c r="BV286">
        <f t="shared" si="58"/>
        <v>0</v>
      </c>
      <c r="BX286" t="s">
        <v>8</v>
      </c>
      <c r="BY286" t="s">
        <v>232</v>
      </c>
      <c r="BZ286">
        <v>24658</v>
      </c>
      <c r="CA286">
        <f t="shared" si="59"/>
        <v>12</v>
      </c>
      <c r="CB286">
        <f t="shared" si="60"/>
        <v>2023</v>
      </c>
      <c r="CC286" t="str">
        <f t="shared" si="61"/>
        <v>2023-12</v>
      </c>
    </row>
    <row r="287" spans="1:81" x14ac:dyDescent="0.25">
      <c r="A287" t="s">
        <v>32</v>
      </c>
      <c r="B287" t="s">
        <v>174</v>
      </c>
      <c r="C287" t="s">
        <v>232</v>
      </c>
      <c r="D287">
        <v>75509</v>
      </c>
      <c r="E287">
        <v>3</v>
      </c>
      <c r="P287" t="s">
        <v>32</v>
      </c>
      <c r="Q287" t="s">
        <v>77</v>
      </c>
      <c r="R287">
        <v>9</v>
      </c>
      <c r="AI287" t="s">
        <v>174</v>
      </c>
      <c r="AJ287">
        <v>75509</v>
      </c>
      <c r="AL287">
        <f>COUNTIF(AI:AI,AK287)</f>
        <v>0</v>
      </c>
      <c r="AM287">
        <f>SUMIF(AI:AI,AK287,AJ:AJ)</f>
        <v>0</v>
      </c>
      <c r="AP287" t="s">
        <v>5</v>
      </c>
      <c r="AQ287" t="s">
        <v>245</v>
      </c>
      <c r="BP287" t="s">
        <v>33</v>
      </c>
      <c r="BQ287" t="s">
        <v>275</v>
      </c>
      <c r="BR287">
        <f t="shared" si="62"/>
        <v>1</v>
      </c>
      <c r="BS287">
        <f t="shared" si="56"/>
        <v>2024</v>
      </c>
      <c r="BT287">
        <v>3</v>
      </c>
      <c r="BU287" t="str">
        <f t="shared" si="57"/>
        <v>2024-1</v>
      </c>
      <c r="BV287">
        <f t="shared" si="58"/>
        <v>0</v>
      </c>
      <c r="BX287" t="s">
        <v>32</v>
      </c>
      <c r="BY287" t="s">
        <v>232</v>
      </c>
      <c r="BZ287">
        <v>75509</v>
      </c>
      <c r="CA287">
        <f t="shared" si="59"/>
        <v>12</v>
      </c>
      <c r="CB287">
        <f t="shared" si="60"/>
        <v>2023</v>
      </c>
      <c r="CC287" t="str">
        <f t="shared" si="61"/>
        <v>2023-12</v>
      </c>
    </row>
    <row r="288" spans="1:81" x14ac:dyDescent="0.25">
      <c r="A288" t="s">
        <v>32</v>
      </c>
      <c r="B288" t="s">
        <v>77</v>
      </c>
      <c r="C288" t="s">
        <v>232</v>
      </c>
      <c r="D288">
        <v>14719</v>
      </c>
      <c r="E288">
        <v>9</v>
      </c>
      <c r="P288" t="s">
        <v>12</v>
      </c>
      <c r="Q288" t="s">
        <v>233</v>
      </c>
      <c r="R288">
        <v>7</v>
      </c>
      <c r="AI288" t="s">
        <v>77</v>
      </c>
      <c r="AJ288">
        <v>14719</v>
      </c>
      <c r="AL288">
        <f>COUNTIF(AI:AI,AK288)</f>
        <v>0</v>
      </c>
      <c r="AM288">
        <f>SUMIF(AI:AI,AK288,AJ:AJ)</f>
        <v>0</v>
      </c>
      <c r="AP288" t="s">
        <v>12</v>
      </c>
      <c r="AQ288" t="s">
        <v>247</v>
      </c>
      <c r="BP288" t="s">
        <v>33</v>
      </c>
      <c r="BQ288" t="s">
        <v>277</v>
      </c>
      <c r="BR288">
        <f t="shared" si="62"/>
        <v>1</v>
      </c>
      <c r="BS288">
        <f t="shared" si="56"/>
        <v>2024</v>
      </c>
      <c r="BT288">
        <v>9</v>
      </c>
      <c r="BU288" t="str">
        <f t="shared" si="57"/>
        <v>2024-1</v>
      </c>
      <c r="BV288">
        <f t="shared" si="58"/>
        <v>2</v>
      </c>
      <c r="BX288" t="s">
        <v>32</v>
      </c>
      <c r="BY288" t="s">
        <v>232</v>
      </c>
      <c r="BZ288">
        <v>14719</v>
      </c>
      <c r="CA288">
        <f t="shared" si="59"/>
        <v>12</v>
      </c>
      <c r="CB288">
        <f t="shared" si="60"/>
        <v>2023</v>
      </c>
      <c r="CC288" t="str">
        <f t="shared" si="61"/>
        <v>2023-12</v>
      </c>
    </row>
    <row r="289" spans="1:81" x14ac:dyDescent="0.25">
      <c r="A289" t="s">
        <v>12</v>
      </c>
      <c r="B289" t="s">
        <v>233</v>
      </c>
      <c r="C289" t="s">
        <v>232</v>
      </c>
      <c r="D289">
        <v>40349</v>
      </c>
      <c r="E289">
        <v>7</v>
      </c>
      <c r="P289" t="s">
        <v>36</v>
      </c>
      <c r="Q289" t="s">
        <v>214</v>
      </c>
      <c r="R289">
        <v>4</v>
      </c>
      <c r="AI289" t="s">
        <v>233</v>
      </c>
      <c r="AJ289">
        <v>40349</v>
      </c>
      <c r="AL289">
        <f>COUNTIF(AI:AI,AK289)</f>
        <v>0</v>
      </c>
      <c r="AM289">
        <f>SUMIF(AI:AI,AK289,AJ:AJ)</f>
        <v>0</v>
      </c>
      <c r="AP289" t="s">
        <v>23</v>
      </c>
      <c r="AQ289" t="s">
        <v>199</v>
      </c>
      <c r="BP289" t="s">
        <v>33</v>
      </c>
      <c r="BQ289" t="s">
        <v>285</v>
      </c>
      <c r="BR289">
        <f t="shared" si="62"/>
        <v>2</v>
      </c>
      <c r="BS289">
        <f t="shared" si="56"/>
        <v>2024</v>
      </c>
      <c r="BT289">
        <v>7</v>
      </c>
      <c r="BU289" t="str">
        <f t="shared" si="57"/>
        <v>2024-2</v>
      </c>
      <c r="BV289">
        <f t="shared" si="58"/>
        <v>1</v>
      </c>
      <c r="BX289" t="s">
        <v>12</v>
      </c>
      <c r="BY289" t="s">
        <v>232</v>
      </c>
      <c r="BZ289">
        <v>40349</v>
      </c>
      <c r="CA289">
        <f t="shared" si="59"/>
        <v>12</v>
      </c>
      <c r="CB289">
        <f t="shared" si="60"/>
        <v>2023</v>
      </c>
      <c r="CC289" t="str">
        <f t="shared" si="61"/>
        <v>2023-12</v>
      </c>
    </row>
    <row r="290" spans="1:81" x14ac:dyDescent="0.25">
      <c r="A290" t="s">
        <v>36</v>
      </c>
      <c r="B290" t="s">
        <v>214</v>
      </c>
      <c r="C290" t="s">
        <v>232</v>
      </c>
      <c r="D290">
        <v>62434</v>
      </c>
      <c r="E290">
        <v>4</v>
      </c>
      <c r="P290" t="s">
        <v>23</v>
      </c>
      <c r="Q290" t="s">
        <v>69</v>
      </c>
      <c r="R290">
        <v>4</v>
      </c>
      <c r="AI290" t="s">
        <v>214</v>
      </c>
      <c r="AJ290">
        <v>62434</v>
      </c>
      <c r="AL290">
        <f>COUNTIF(AI:AI,AK290)</f>
        <v>0</v>
      </c>
      <c r="AM290">
        <f>SUMIF(AI:AI,AK290,AJ:AJ)</f>
        <v>0</v>
      </c>
      <c r="AP290" t="s">
        <v>27</v>
      </c>
      <c r="AQ290" t="s">
        <v>156</v>
      </c>
      <c r="BP290" t="s">
        <v>33</v>
      </c>
      <c r="BQ290" t="s">
        <v>289</v>
      </c>
      <c r="BR290">
        <f t="shared" si="62"/>
        <v>2</v>
      </c>
      <c r="BS290">
        <f t="shared" si="56"/>
        <v>2024</v>
      </c>
      <c r="BT290">
        <v>4</v>
      </c>
      <c r="BU290" t="str">
        <f t="shared" si="57"/>
        <v>2024-2</v>
      </c>
      <c r="BV290">
        <f t="shared" si="58"/>
        <v>0</v>
      </c>
      <c r="BX290" t="s">
        <v>36</v>
      </c>
      <c r="BY290" t="s">
        <v>232</v>
      </c>
      <c r="BZ290">
        <v>62434</v>
      </c>
      <c r="CA290">
        <f t="shared" si="59"/>
        <v>12</v>
      </c>
      <c r="CB290">
        <f t="shared" si="60"/>
        <v>2023</v>
      </c>
      <c r="CC290" t="str">
        <f t="shared" si="61"/>
        <v>2023-12</v>
      </c>
    </row>
    <row r="291" spans="1:81" x14ac:dyDescent="0.25">
      <c r="A291" t="s">
        <v>23</v>
      </c>
      <c r="B291" t="s">
        <v>69</v>
      </c>
      <c r="C291" t="s">
        <v>232</v>
      </c>
      <c r="D291">
        <v>61562</v>
      </c>
      <c r="E291">
        <v>4</v>
      </c>
      <c r="P291" t="s">
        <v>10</v>
      </c>
      <c r="Q291" t="s">
        <v>89</v>
      </c>
      <c r="R291">
        <v>4</v>
      </c>
      <c r="AI291" t="s">
        <v>69</v>
      </c>
      <c r="AJ291">
        <v>61562</v>
      </c>
      <c r="AL291">
        <f>COUNTIF(AI:AI,AK291)</f>
        <v>0</v>
      </c>
      <c r="AM291">
        <f>SUMIF(AI:AI,AK291,AJ:AJ)</f>
        <v>0</v>
      </c>
      <c r="AP291" t="s">
        <v>27</v>
      </c>
      <c r="AQ291" t="s">
        <v>249</v>
      </c>
      <c r="BP291" t="s">
        <v>33</v>
      </c>
      <c r="BQ291" t="s">
        <v>293</v>
      </c>
      <c r="BR291">
        <f t="shared" si="62"/>
        <v>2</v>
      </c>
      <c r="BS291">
        <f t="shared" si="56"/>
        <v>2024</v>
      </c>
      <c r="BT291">
        <v>4</v>
      </c>
      <c r="BU291" t="str">
        <f t="shared" si="57"/>
        <v>2024-2</v>
      </c>
      <c r="BV291">
        <f t="shared" si="58"/>
        <v>0</v>
      </c>
      <c r="BX291" t="s">
        <v>23</v>
      </c>
      <c r="BY291" t="s">
        <v>232</v>
      </c>
      <c r="BZ291">
        <v>61562</v>
      </c>
      <c r="CA291">
        <f t="shared" si="59"/>
        <v>12</v>
      </c>
      <c r="CB291">
        <f t="shared" si="60"/>
        <v>2023</v>
      </c>
      <c r="CC291" t="str">
        <f t="shared" si="61"/>
        <v>2023-12</v>
      </c>
    </row>
    <row r="292" spans="1:81" x14ac:dyDescent="0.25">
      <c r="A292" t="s">
        <v>10</v>
      </c>
      <c r="B292" t="s">
        <v>89</v>
      </c>
      <c r="C292" t="s">
        <v>232</v>
      </c>
      <c r="D292">
        <v>94634</v>
      </c>
      <c r="E292">
        <v>4</v>
      </c>
      <c r="P292" t="s">
        <v>27</v>
      </c>
      <c r="Q292" t="s">
        <v>112</v>
      </c>
      <c r="R292">
        <v>8</v>
      </c>
      <c r="AI292" t="s">
        <v>89</v>
      </c>
      <c r="AJ292">
        <v>94634</v>
      </c>
      <c r="AL292">
        <f>COUNTIF(AI:AI,AK292)</f>
        <v>0</v>
      </c>
      <c r="AM292">
        <f>SUMIF(AI:AI,AK292,AJ:AJ)</f>
        <v>0</v>
      </c>
      <c r="AP292" t="s">
        <v>32</v>
      </c>
      <c r="AQ292" t="s">
        <v>183</v>
      </c>
      <c r="BP292" t="s">
        <v>33</v>
      </c>
      <c r="BQ292" t="s">
        <v>295</v>
      </c>
      <c r="BR292">
        <f t="shared" si="62"/>
        <v>2</v>
      </c>
      <c r="BS292">
        <f t="shared" si="56"/>
        <v>2024</v>
      </c>
      <c r="BT292">
        <v>4</v>
      </c>
      <c r="BU292" t="str">
        <f t="shared" si="57"/>
        <v>2024-2</v>
      </c>
      <c r="BV292">
        <f t="shared" si="58"/>
        <v>0</v>
      </c>
      <c r="BX292" t="s">
        <v>10</v>
      </c>
      <c r="BY292" t="s">
        <v>232</v>
      </c>
      <c r="BZ292">
        <v>94634</v>
      </c>
      <c r="CA292">
        <f t="shared" si="59"/>
        <v>12</v>
      </c>
      <c r="CB292">
        <f t="shared" si="60"/>
        <v>2023</v>
      </c>
      <c r="CC292" t="str">
        <f t="shared" si="61"/>
        <v>2023-12</v>
      </c>
    </row>
    <row r="293" spans="1:81" x14ac:dyDescent="0.25">
      <c r="A293" t="s">
        <v>27</v>
      </c>
      <c r="B293" t="s">
        <v>112</v>
      </c>
      <c r="C293" t="s">
        <v>232</v>
      </c>
      <c r="D293">
        <v>43107</v>
      </c>
      <c r="E293">
        <v>8</v>
      </c>
      <c r="P293" t="s">
        <v>10</v>
      </c>
      <c r="Q293" t="s">
        <v>44</v>
      </c>
      <c r="R293">
        <v>7</v>
      </c>
      <c r="AI293" t="s">
        <v>112</v>
      </c>
      <c r="AJ293">
        <v>43107</v>
      </c>
      <c r="AL293">
        <f>COUNTIF(AI:AI,AK293)</f>
        <v>0</v>
      </c>
      <c r="AM293">
        <f>SUMIF(AI:AI,AK293,AJ:AJ)</f>
        <v>0</v>
      </c>
      <c r="AP293" t="s">
        <v>33</v>
      </c>
      <c r="AQ293" t="s">
        <v>183</v>
      </c>
      <c r="BP293" t="s">
        <v>33</v>
      </c>
      <c r="BQ293" t="s">
        <v>302</v>
      </c>
      <c r="BR293">
        <f t="shared" si="62"/>
        <v>2</v>
      </c>
      <c r="BS293">
        <f t="shared" si="56"/>
        <v>2024</v>
      </c>
      <c r="BT293">
        <v>8</v>
      </c>
      <c r="BU293" t="str">
        <f t="shared" si="57"/>
        <v>2024-2</v>
      </c>
      <c r="BV293">
        <f t="shared" si="58"/>
        <v>1</v>
      </c>
      <c r="BX293" t="s">
        <v>27</v>
      </c>
      <c r="BY293" t="s">
        <v>232</v>
      </c>
      <c r="BZ293">
        <v>43107</v>
      </c>
      <c r="CA293">
        <f t="shared" si="59"/>
        <v>12</v>
      </c>
      <c r="CB293">
        <f t="shared" si="60"/>
        <v>2023</v>
      </c>
      <c r="CC293" t="str">
        <f t="shared" si="61"/>
        <v>2023-12</v>
      </c>
    </row>
    <row r="294" spans="1:81" x14ac:dyDescent="0.25">
      <c r="A294" t="s">
        <v>10</v>
      </c>
      <c r="B294" t="s">
        <v>44</v>
      </c>
      <c r="C294" t="s">
        <v>232</v>
      </c>
      <c r="D294">
        <v>37294</v>
      </c>
      <c r="E294">
        <v>7</v>
      </c>
      <c r="P294" t="s">
        <v>20</v>
      </c>
      <c r="Q294" t="s">
        <v>69</v>
      </c>
      <c r="R294">
        <v>9</v>
      </c>
      <c r="AI294" t="s">
        <v>44</v>
      </c>
      <c r="AJ294">
        <v>37294</v>
      </c>
      <c r="AL294">
        <f>COUNTIF(AI:AI,AK294)</f>
        <v>0</v>
      </c>
      <c r="AM294">
        <f>SUMIF(AI:AI,AK294,AJ:AJ)</f>
        <v>0</v>
      </c>
      <c r="AP294" t="s">
        <v>10</v>
      </c>
      <c r="AQ294" t="s">
        <v>181</v>
      </c>
      <c r="BP294" t="s">
        <v>33</v>
      </c>
      <c r="BQ294" t="s">
        <v>306</v>
      </c>
      <c r="BR294">
        <f t="shared" si="62"/>
        <v>2</v>
      </c>
      <c r="BS294">
        <f t="shared" si="56"/>
        <v>2024</v>
      </c>
      <c r="BT294">
        <v>7</v>
      </c>
      <c r="BU294" t="str">
        <f t="shared" si="57"/>
        <v>2024-2</v>
      </c>
      <c r="BV294">
        <f t="shared" si="58"/>
        <v>1</v>
      </c>
      <c r="BX294" t="s">
        <v>10</v>
      </c>
      <c r="BY294" t="s">
        <v>232</v>
      </c>
      <c r="BZ294">
        <v>37294</v>
      </c>
      <c r="CA294">
        <f t="shared" si="59"/>
        <v>12</v>
      </c>
      <c r="CB294">
        <f t="shared" si="60"/>
        <v>2023</v>
      </c>
      <c r="CC294" t="str">
        <f t="shared" si="61"/>
        <v>2023-12</v>
      </c>
    </row>
    <row r="295" spans="1:81" x14ac:dyDescent="0.25">
      <c r="A295" t="s">
        <v>20</v>
      </c>
      <c r="B295" t="s">
        <v>69</v>
      </c>
      <c r="C295" t="s">
        <v>234</v>
      </c>
      <c r="D295">
        <v>48159</v>
      </c>
      <c r="E295">
        <v>9</v>
      </c>
      <c r="P295" t="s">
        <v>14</v>
      </c>
      <c r="Q295" t="s">
        <v>52</v>
      </c>
      <c r="R295">
        <v>10</v>
      </c>
      <c r="AI295" t="s">
        <v>69</v>
      </c>
      <c r="AJ295">
        <v>48159</v>
      </c>
      <c r="AL295">
        <f>COUNTIF(AI:AI,AK295)</f>
        <v>0</v>
      </c>
      <c r="AM295">
        <f>SUMIF(AI:AI,AK295,AJ:AJ)</f>
        <v>0</v>
      </c>
      <c r="AP295" t="s">
        <v>10</v>
      </c>
      <c r="AQ295" t="s">
        <v>138</v>
      </c>
      <c r="BP295" t="s">
        <v>33</v>
      </c>
      <c r="BQ295" t="s">
        <v>313</v>
      </c>
      <c r="BR295">
        <f t="shared" si="62"/>
        <v>2</v>
      </c>
      <c r="BS295">
        <f t="shared" si="56"/>
        <v>2024</v>
      </c>
      <c r="BT295">
        <v>9</v>
      </c>
      <c r="BU295" t="str">
        <f t="shared" si="57"/>
        <v>2024-2</v>
      </c>
      <c r="BV295">
        <f t="shared" si="58"/>
        <v>2</v>
      </c>
      <c r="BX295" t="s">
        <v>20</v>
      </c>
      <c r="BY295" t="s">
        <v>234</v>
      </c>
      <c r="BZ295">
        <v>48159</v>
      </c>
      <c r="CA295">
        <f t="shared" si="59"/>
        <v>12</v>
      </c>
      <c r="CB295">
        <f t="shared" si="60"/>
        <v>2023</v>
      </c>
      <c r="CC295" t="str">
        <f t="shared" si="61"/>
        <v>2023-12</v>
      </c>
    </row>
    <row r="296" spans="1:81" x14ac:dyDescent="0.25">
      <c r="A296" t="s">
        <v>14</v>
      </c>
      <c r="B296" t="s">
        <v>52</v>
      </c>
      <c r="C296" t="s">
        <v>234</v>
      </c>
      <c r="D296">
        <v>35752</v>
      </c>
      <c r="E296">
        <v>10</v>
      </c>
      <c r="P296" t="s">
        <v>12</v>
      </c>
      <c r="Q296" t="s">
        <v>103</v>
      </c>
      <c r="R296">
        <v>7</v>
      </c>
      <c r="AI296" t="s">
        <v>52</v>
      </c>
      <c r="AJ296">
        <v>35752</v>
      </c>
      <c r="AL296">
        <f>COUNTIF(AI:AI,AK296)</f>
        <v>0</v>
      </c>
      <c r="AM296">
        <f>SUMIF(AI:AI,AK296,AJ:AJ)</f>
        <v>0</v>
      </c>
      <c r="AP296" t="s">
        <v>12</v>
      </c>
      <c r="AQ296" t="s">
        <v>191</v>
      </c>
      <c r="BP296" t="s">
        <v>33</v>
      </c>
      <c r="BQ296" t="s">
        <v>315</v>
      </c>
      <c r="BR296">
        <f t="shared" si="62"/>
        <v>3</v>
      </c>
      <c r="BS296">
        <f t="shared" si="56"/>
        <v>2024</v>
      </c>
      <c r="BT296">
        <v>10</v>
      </c>
      <c r="BU296" t="str">
        <f t="shared" si="57"/>
        <v>2024-3</v>
      </c>
      <c r="BV296">
        <f t="shared" si="58"/>
        <v>2</v>
      </c>
      <c r="BX296" t="s">
        <v>14</v>
      </c>
      <c r="BY296" t="s">
        <v>234</v>
      </c>
      <c r="BZ296">
        <v>35752</v>
      </c>
      <c r="CA296">
        <f t="shared" si="59"/>
        <v>12</v>
      </c>
      <c r="CB296">
        <f t="shared" si="60"/>
        <v>2023</v>
      </c>
      <c r="CC296" t="str">
        <f t="shared" si="61"/>
        <v>2023-12</v>
      </c>
    </row>
    <row r="297" spans="1:81" x14ac:dyDescent="0.25">
      <c r="A297" t="s">
        <v>12</v>
      </c>
      <c r="B297" t="s">
        <v>103</v>
      </c>
      <c r="C297" t="s">
        <v>235</v>
      </c>
      <c r="D297">
        <v>31649</v>
      </c>
      <c r="E297">
        <v>7</v>
      </c>
      <c r="P297" t="s">
        <v>5</v>
      </c>
      <c r="Q297" t="s">
        <v>236</v>
      </c>
      <c r="R297">
        <v>6</v>
      </c>
      <c r="AI297" t="s">
        <v>103</v>
      </c>
      <c r="AJ297">
        <v>31649</v>
      </c>
      <c r="AL297">
        <f>COUNTIF(AI:AI,AK297)</f>
        <v>0</v>
      </c>
      <c r="AM297">
        <f>SUMIF(AI:AI,AK297,AJ:AJ)</f>
        <v>0</v>
      </c>
      <c r="AP297" t="s">
        <v>32</v>
      </c>
      <c r="AQ297" t="s">
        <v>151</v>
      </c>
      <c r="BP297" t="s">
        <v>33</v>
      </c>
      <c r="BQ297" t="s">
        <v>317</v>
      </c>
      <c r="BR297">
        <f t="shared" si="62"/>
        <v>3</v>
      </c>
      <c r="BS297">
        <f t="shared" si="56"/>
        <v>2024</v>
      </c>
      <c r="BT297">
        <v>7</v>
      </c>
      <c r="BU297" t="str">
        <f t="shared" si="57"/>
        <v>2024-3</v>
      </c>
      <c r="BV297">
        <f t="shared" si="58"/>
        <v>1</v>
      </c>
      <c r="BX297" t="s">
        <v>12</v>
      </c>
      <c r="BY297" t="s">
        <v>235</v>
      </c>
      <c r="BZ297">
        <v>31649</v>
      </c>
      <c r="CA297">
        <f t="shared" si="59"/>
        <v>12</v>
      </c>
      <c r="CB297">
        <f t="shared" si="60"/>
        <v>2023</v>
      </c>
      <c r="CC297" t="str">
        <f t="shared" si="61"/>
        <v>2023-12</v>
      </c>
    </row>
    <row r="298" spans="1:81" x14ac:dyDescent="0.25">
      <c r="A298" t="s">
        <v>5</v>
      </c>
      <c r="B298" t="s">
        <v>236</v>
      </c>
      <c r="C298" t="s">
        <v>235</v>
      </c>
      <c r="D298">
        <v>19599</v>
      </c>
      <c r="E298">
        <v>6</v>
      </c>
      <c r="P298" t="s">
        <v>14</v>
      </c>
      <c r="Q298" t="s">
        <v>87</v>
      </c>
      <c r="R298">
        <v>5</v>
      </c>
      <c r="AI298" t="s">
        <v>236</v>
      </c>
      <c r="AJ298">
        <v>19599</v>
      </c>
      <c r="AL298">
        <f>COUNTIF(AI:AI,AK298)</f>
        <v>0</v>
      </c>
      <c r="AM298">
        <f>SUMIF(AI:AI,AK298,AJ:AJ)</f>
        <v>0</v>
      </c>
      <c r="AP298" t="s">
        <v>5</v>
      </c>
      <c r="AQ298" t="s">
        <v>106</v>
      </c>
      <c r="BP298" t="s">
        <v>33</v>
      </c>
      <c r="BQ298" t="s">
        <v>326</v>
      </c>
      <c r="BR298">
        <f t="shared" si="62"/>
        <v>3</v>
      </c>
      <c r="BS298">
        <f t="shared" si="56"/>
        <v>2024</v>
      </c>
      <c r="BT298">
        <v>6</v>
      </c>
      <c r="BU298" t="str">
        <f t="shared" si="57"/>
        <v>2024-3</v>
      </c>
      <c r="BV298">
        <f t="shared" si="58"/>
        <v>0</v>
      </c>
      <c r="BX298" t="s">
        <v>5</v>
      </c>
      <c r="BY298" t="s">
        <v>235</v>
      </c>
      <c r="BZ298">
        <v>19599</v>
      </c>
      <c r="CA298">
        <f t="shared" si="59"/>
        <v>12</v>
      </c>
      <c r="CB298">
        <f t="shared" si="60"/>
        <v>2023</v>
      </c>
      <c r="CC298" t="str">
        <f t="shared" si="61"/>
        <v>2023-12</v>
      </c>
    </row>
    <row r="299" spans="1:81" x14ac:dyDescent="0.25">
      <c r="A299" t="s">
        <v>14</v>
      </c>
      <c r="B299" t="s">
        <v>87</v>
      </c>
      <c r="C299" t="s">
        <v>235</v>
      </c>
      <c r="D299">
        <v>30355</v>
      </c>
      <c r="E299">
        <v>5</v>
      </c>
      <c r="P299" t="s">
        <v>20</v>
      </c>
      <c r="Q299" t="s">
        <v>127</v>
      </c>
      <c r="R299">
        <v>8</v>
      </c>
      <c r="AI299" t="s">
        <v>87</v>
      </c>
      <c r="AJ299">
        <v>30355</v>
      </c>
      <c r="AL299">
        <f>COUNTIF(AI:AI,AK299)</f>
        <v>0</v>
      </c>
      <c r="AM299">
        <f>SUMIF(AI:AI,AK299,AJ:AJ)</f>
        <v>0</v>
      </c>
      <c r="AP299" t="s">
        <v>10</v>
      </c>
      <c r="AQ299" t="s">
        <v>51</v>
      </c>
      <c r="BP299" t="s">
        <v>33</v>
      </c>
      <c r="BQ299" t="s">
        <v>326</v>
      </c>
      <c r="BR299">
        <f t="shared" si="62"/>
        <v>3</v>
      </c>
      <c r="BS299">
        <f t="shared" si="56"/>
        <v>2024</v>
      </c>
      <c r="BT299">
        <v>5</v>
      </c>
      <c r="BU299" t="str">
        <f t="shared" si="57"/>
        <v>2024-3</v>
      </c>
      <c r="BV299">
        <f t="shared" si="58"/>
        <v>0</v>
      </c>
      <c r="BX299" t="s">
        <v>14</v>
      </c>
      <c r="BY299" t="s">
        <v>235</v>
      </c>
      <c r="BZ299">
        <v>30355</v>
      </c>
      <c r="CA299">
        <f t="shared" si="59"/>
        <v>12</v>
      </c>
      <c r="CB299">
        <f t="shared" si="60"/>
        <v>2023</v>
      </c>
      <c r="CC299" t="str">
        <f t="shared" si="61"/>
        <v>2023-12</v>
      </c>
    </row>
    <row r="300" spans="1:81" x14ac:dyDescent="0.25">
      <c r="A300" t="s">
        <v>20</v>
      </c>
      <c r="B300" t="s">
        <v>127</v>
      </c>
      <c r="C300" t="s">
        <v>235</v>
      </c>
      <c r="D300">
        <v>73882</v>
      </c>
      <c r="E300">
        <v>8</v>
      </c>
      <c r="P300" t="s">
        <v>36</v>
      </c>
      <c r="Q300" t="s">
        <v>237</v>
      </c>
      <c r="R300">
        <v>3</v>
      </c>
      <c r="AI300" t="s">
        <v>127</v>
      </c>
      <c r="AJ300">
        <v>73882</v>
      </c>
      <c r="AL300">
        <f>COUNTIF(AI:AI,AK300)</f>
        <v>0</v>
      </c>
      <c r="AM300">
        <f>SUMIF(AI:AI,AK300,AJ:AJ)</f>
        <v>0</v>
      </c>
      <c r="AP300" t="s">
        <v>12</v>
      </c>
      <c r="AQ300" t="s">
        <v>253</v>
      </c>
      <c r="BP300" t="s">
        <v>33</v>
      </c>
      <c r="BQ300" t="s">
        <v>332</v>
      </c>
      <c r="BR300">
        <f t="shared" si="62"/>
        <v>3</v>
      </c>
      <c r="BS300">
        <f t="shared" si="56"/>
        <v>2024</v>
      </c>
      <c r="BT300">
        <v>8</v>
      </c>
      <c r="BU300" t="str">
        <f t="shared" si="57"/>
        <v>2024-3</v>
      </c>
      <c r="BV300">
        <f t="shared" si="58"/>
        <v>1</v>
      </c>
      <c r="BX300" t="s">
        <v>20</v>
      </c>
      <c r="BY300" t="s">
        <v>235</v>
      </c>
      <c r="BZ300">
        <v>73882</v>
      </c>
      <c r="CA300">
        <f t="shared" si="59"/>
        <v>12</v>
      </c>
      <c r="CB300">
        <f t="shared" si="60"/>
        <v>2023</v>
      </c>
      <c r="CC300" t="str">
        <f t="shared" si="61"/>
        <v>2023-12</v>
      </c>
    </row>
    <row r="301" spans="1:81" x14ac:dyDescent="0.25">
      <c r="A301" t="s">
        <v>36</v>
      </c>
      <c r="B301" t="s">
        <v>237</v>
      </c>
      <c r="C301" t="s">
        <v>235</v>
      </c>
      <c r="D301">
        <v>26961</v>
      </c>
      <c r="E301">
        <v>3</v>
      </c>
      <c r="P301" t="s">
        <v>20</v>
      </c>
      <c r="Q301" t="s">
        <v>238</v>
      </c>
      <c r="R301">
        <v>6</v>
      </c>
      <c r="AI301" t="s">
        <v>237</v>
      </c>
      <c r="AJ301">
        <v>26961</v>
      </c>
      <c r="AL301">
        <f>COUNTIF(AI:AI,AK301)</f>
        <v>0</v>
      </c>
      <c r="AM301">
        <f>SUMIF(AI:AI,AK301,AJ:AJ)</f>
        <v>0</v>
      </c>
      <c r="AP301" t="s">
        <v>32</v>
      </c>
      <c r="AQ301" t="s">
        <v>254</v>
      </c>
      <c r="BP301" t="s">
        <v>33</v>
      </c>
      <c r="BQ301" t="s">
        <v>338</v>
      </c>
      <c r="BR301">
        <f t="shared" si="62"/>
        <v>3</v>
      </c>
      <c r="BS301">
        <f t="shared" si="56"/>
        <v>2024</v>
      </c>
      <c r="BT301">
        <v>3</v>
      </c>
      <c r="BU301" t="str">
        <f t="shared" si="57"/>
        <v>2024-3</v>
      </c>
      <c r="BV301">
        <f t="shared" si="58"/>
        <v>0</v>
      </c>
      <c r="BX301" t="s">
        <v>36</v>
      </c>
      <c r="BY301" t="s">
        <v>235</v>
      </c>
      <c r="BZ301">
        <v>26961</v>
      </c>
      <c r="CA301">
        <f t="shared" si="59"/>
        <v>12</v>
      </c>
      <c r="CB301">
        <f t="shared" si="60"/>
        <v>2023</v>
      </c>
      <c r="CC301" t="str">
        <f t="shared" si="61"/>
        <v>2023-12</v>
      </c>
    </row>
    <row r="302" spans="1:81" x14ac:dyDescent="0.25">
      <c r="A302" t="s">
        <v>20</v>
      </c>
      <c r="B302" t="s">
        <v>238</v>
      </c>
      <c r="C302" t="s">
        <v>239</v>
      </c>
      <c r="D302">
        <v>43139</v>
      </c>
      <c r="E302">
        <v>6</v>
      </c>
      <c r="P302" t="s">
        <v>8</v>
      </c>
      <c r="Q302" t="s">
        <v>89</v>
      </c>
      <c r="R302">
        <v>3</v>
      </c>
      <c r="AI302" t="s">
        <v>238</v>
      </c>
      <c r="AJ302">
        <v>43139</v>
      </c>
      <c r="AL302">
        <f>COUNTIF(AI:AI,AK302)</f>
        <v>0</v>
      </c>
      <c r="AM302">
        <f>SUMIF(AI:AI,AK302,AJ:AJ)</f>
        <v>0</v>
      </c>
      <c r="AP302" t="s">
        <v>5</v>
      </c>
      <c r="AQ302" t="s">
        <v>255</v>
      </c>
      <c r="BP302" t="s">
        <v>33</v>
      </c>
      <c r="BQ302" t="s">
        <v>340</v>
      </c>
      <c r="BR302">
        <f t="shared" si="62"/>
        <v>4</v>
      </c>
      <c r="BS302">
        <f t="shared" si="56"/>
        <v>2024</v>
      </c>
      <c r="BT302">
        <v>6</v>
      </c>
      <c r="BU302" t="str">
        <f t="shared" si="57"/>
        <v>2024-4</v>
      </c>
      <c r="BV302">
        <f t="shared" si="58"/>
        <v>0</v>
      </c>
      <c r="BX302" t="s">
        <v>20</v>
      </c>
      <c r="BY302" t="s">
        <v>239</v>
      </c>
      <c r="BZ302">
        <v>43139</v>
      </c>
      <c r="CA302">
        <f t="shared" si="59"/>
        <v>12</v>
      </c>
      <c r="CB302">
        <f t="shared" si="60"/>
        <v>2023</v>
      </c>
      <c r="CC302" t="str">
        <f t="shared" si="61"/>
        <v>2023-12</v>
      </c>
    </row>
    <row r="303" spans="1:81" x14ac:dyDescent="0.25">
      <c r="A303" t="s">
        <v>8</v>
      </c>
      <c r="B303" t="s">
        <v>89</v>
      </c>
      <c r="C303" t="s">
        <v>240</v>
      </c>
      <c r="D303">
        <v>68202</v>
      </c>
      <c r="E303">
        <v>3</v>
      </c>
      <c r="P303" t="s">
        <v>27</v>
      </c>
      <c r="Q303" t="s">
        <v>241</v>
      </c>
      <c r="R303">
        <v>5</v>
      </c>
      <c r="AI303" t="s">
        <v>89</v>
      </c>
      <c r="AJ303">
        <v>68202</v>
      </c>
      <c r="AL303">
        <f>COUNTIF(AI:AI,AK303)</f>
        <v>0</v>
      </c>
      <c r="AM303">
        <f>SUMIF(AI:AI,AK303,AJ:AJ)</f>
        <v>0</v>
      </c>
      <c r="AP303" t="s">
        <v>27</v>
      </c>
      <c r="AQ303" t="s">
        <v>256</v>
      </c>
      <c r="BP303" t="s">
        <v>33</v>
      </c>
      <c r="BQ303" t="s">
        <v>342</v>
      </c>
      <c r="BR303">
        <f t="shared" si="62"/>
        <v>4</v>
      </c>
      <c r="BS303">
        <f t="shared" si="56"/>
        <v>2024</v>
      </c>
      <c r="BT303">
        <v>3</v>
      </c>
      <c r="BU303" t="str">
        <f t="shared" si="57"/>
        <v>2024-4</v>
      </c>
      <c r="BV303">
        <f t="shared" si="58"/>
        <v>0</v>
      </c>
      <c r="BX303" t="s">
        <v>8</v>
      </c>
      <c r="BY303" t="s">
        <v>240</v>
      </c>
      <c r="BZ303">
        <v>68202</v>
      </c>
      <c r="CA303">
        <f t="shared" si="59"/>
        <v>12</v>
      </c>
      <c r="CB303">
        <f t="shared" si="60"/>
        <v>2023</v>
      </c>
      <c r="CC303" t="str">
        <f t="shared" si="61"/>
        <v>2023-12</v>
      </c>
    </row>
    <row r="304" spans="1:81" x14ac:dyDescent="0.25">
      <c r="A304" t="s">
        <v>27</v>
      </c>
      <c r="B304" t="s">
        <v>241</v>
      </c>
      <c r="C304" t="s">
        <v>240</v>
      </c>
      <c r="D304">
        <v>51582</v>
      </c>
      <c r="E304">
        <v>5</v>
      </c>
      <c r="P304" t="s">
        <v>27</v>
      </c>
      <c r="Q304" t="s">
        <v>52</v>
      </c>
      <c r="R304">
        <v>2</v>
      </c>
      <c r="AI304" t="s">
        <v>241</v>
      </c>
      <c r="AJ304">
        <v>51582</v>
      </c>
      <c r="AL304">
        <f>COUNTIF(AI:AI,AK304)</f>
        <v>0</v>
      </c>
      <c r="AM304">
        <f>SUMIF(AI:AI,AK304,AJ:AJ)</f>
        <v>0</v>
      </c>
      <c r="AP304" t="s">
        <v>8</v>
      </c>
      <c r="AQ304" t="s">
        <v>144</v>
      </c>
      <c r="BP304" t="s">
        <v>33</v>
      </c>
      <c r="BQ304" t="s">
        <v>347</v>
      </c>
      <c r="BR304">
        <f t="shared" si="62"/>
        <v>4</v>
      </c>
      <c r="BS304">
        <f t="shared" si="56"/>
        <v>2024</v>
      </c>
      <c r="BT304">
        <v>5</v>
      </c>
      <c r="BU304" t="str">
        <f t="shared" si="57"/>
        <v>2024-4</v>
      </c>
      <c r="BV304">
        <f t="shared" si="58"/>
        <v>0</v>
      </c>
      <c r="BX304" t="s">
        <v>27</v>
      </c>
      <c r="BY304" t="s">
        <v>240</v>
      </c>
      <c r="BZ304">
        <v>51582</v>
      </c>
      <c r="CA304">
        <f t="shared" si="59"/>
        <v>12</v>
      </c>
      <c r="CB304">
        <f t="shared" si="60"/>
        <v>2023</v>
      </c>
      <c r="CC304" t="str">
        <f t="shared" si="61"/>
        <v>2023-12</v>
      </c>
    </row>
    <row r="305" spans="1:81" x14ac:dyDescent="0.25">
      <c r="A305" t="s">
        <v>27</v>
      </c>
      <c r="B305" t="s">
        <v>52</v>
      </c>
      <c r="C305" t="s">
        <v>240</v>
      </c>
      <c r="D305">
        <v>97292</v>
      </c>
      <c r="E305">
        <v>2</v>
      </c>
      <c r="P305" t="s">
        <v>33</v>
      </c>
      <c r="Q305" t="s">
        <v>166</v>
      </c>
      <c r="R305">
        <v>9</v>
      </c>
      <c r="AI305" t="s">
        <v>52</v>
      </c>
      <c r="AJ305">
        <v>97292</v>
      </c>
      <c r="AL305">
        <f>COUNTIF(AI:AI,AK305)</f>
        <v>0</v>
      </c>
      <c r="AM305">
        <f>SUMIF(AI:AI,AK305,AJ:AJ)</f>
        <v>0</v>
      </c>
      <c r="AP305" t="s">
        <v>27</v>
      </c>
      <c r="AQ305" t="s">
        <v>133</v>
      </c>
      <c r="BP305" t="s">
        <v>33</v>
      </c>
      <c r="BQ305" t="s">
        <v>349</v>
      </c>
      <c r="BR305">
        <f t="shared" si="62"/>
        <v>4</v>
      </c>
      <c r="BS305">
        <f t="shared" si="56"/>
        <v>2024</v>
      </c>
      <c r="BT305">
        <v>2</v>
      </c>
      <c r="BU305" t="str">
        <f t="shared" si="57"/>
        <v>2024-4</v>
      </c>
      <c r="BV305">
        <f t="shared" si="58"/>
        <v>0</v>
      </c>
      <c r="BX305" t="s">
        <v>27</v>
      </c>
      <c r="BY305" t="s">
        <v>240</v>
      </c>
      <c r="BZ305">
        <v>97292</v>
      </c>
      <c r="CA305">
        <f t="shared" si="59"/>
        <v>12</v>
      </c>
      <c r="CB305">
        <f t="shared" si="60"/>
        <v>2023</v>
      </c>
      <c r="CC305" t="str">
        <f t="shared" si="61"/>
        <v>2023-12</v>
      </c>
    </row>
    <row r="306" spans="1:81" x14ac:dyDescent="0.25">
      <c r="A306" t="s">
        <v>33</v>
      </c>
      <c r="B306" t="s">
        <v>166</v>
      </c>
      <c r="C306" t="s">
        <v>240</v>
      </c>
      <c r="D306">
        <v>80146</v>
      </c>
      <c r="E306">
        <v>9</v>
      </c>
      <c r="P306" t="s">
        <v>36</v>
      </c>
      <c r="Q306" t="s">
        <v>242</v>
      </c>
      <c r="R306">
        <v>0</v>
      </c>
      <c r="AI306" t="s">
        <v>166</v>
      </c>
      <c r="AJ306">
        <v>80146</v>
      </c>
      <c r="AL306">
        <f>COUNTIF(AI:AI,AK306)</f>
        <v>0</v>
      </c>
      <c r="AM306">
        <f>SUMIF(AI:AI,AK306,AJ:AJ)</f>
        <v>0</v>
      </c>
      <c r="AP306" t="s">
        <v>32</v>
      </c>
      <c r="AQ306" t="s">
        <v>65</v>
      </c>
      <c r="BP306" t="s">
        <v>33</v>
      </c>
      <c r="BQ306" t="s">
        <v>354</v>
      </c>
      <c r="BR306">
        <f t="shared" si="62"/>
        <v>4</v>
      </c>
      <c r="BS306">
        <f t="shared" si="56"/>
        <v>2024</v>
      </c>
      <c r="BT306">
        <v>9</v>
      </c>
      <c r="BU306" t="str">
        <f t="shared" si="57"/>
        <v>2024-4</v>
      </c>
      <c r="BV306">
        <f t="shared" si="58"/>
        <v>2</v>
      </c>
      <c r="BX306" t="s">
        <v>33</v>
      </c>
      <c r="BY306" t="s">
        <v>240</v>
      </c>
      <c r="BZ306">
        <v>80146</v>
      </c>
      <c r="CA306">
        <f t="shared" si="59"/>
        <v>12</v>
      </c>
      <c r="CB306">
        <f t="shared" si="60"/>
        <v>2023</v>
      </c>
      <c r="CC306" t="str">
        <f t="shared" si="61"/>
        <v>2023-12</v>
      </c>
    </row>
    <row r="307" spans="1:81" x14ac:dyDescent="0.25">
      <c r="A307" t="s">
        <v>36</v>
      </c>
      <c r="B307" t="s">
        <v>242</v>
      </c>
      <c r="C307" t="s">
        <v>240</v>
      </c>
      <c r="D307">
        <v>42924</v>
      </c>
      <c r="E307">
        <v>0</v>
      </c>
      <c r="P307" t="s">
        <v>17</v>
      </c>
      <c r="Q307" t="s">
        <v>244</v>
      </c>
      <c r="R307">
        <v>3</v>
      </c>
      <c r="AI307" t="s">
        <v>242</v>
      </c>
      <c r="AJ307">
        <v>42924</v>
      </c>
      <c r="AL307">
        <f>COUNTIF(AI:AI,AK307)</f>
        <v>0</v>
      </c>
      <c r="AM307">
        <f>SUMIF(AI:AI,AK307,AJ:AJ)</f>
        <v>0</v>
      </c>
      <c r="AP307" t="s">
        <v>10</v>
      </c>
      <c r="AQ307" t="s">
        <v>69</v>
      </c>
      <c r="BP307" t="s">
        <v>33</v>
      </c>
      <c r="BQ307" t="s">
        <v>365</v>
      </c>
      <c r="BR307">
        <f t="shared" si="62"/>
        <v>5</v>
      </c>
      <c r="BS307">
        <f t="shared" si="56"/>
        <v>2024</v>
      </c>
      <c r="BT307">
        <v>0</v>
      </c>
      <c r="BU307" t="str">
        <f t="shared" si="57"/>
        <v>2024-5</v>
      </c>
      <c r="BV307">
        <f t="shared" si="58"/>
        <v>0</v>
      </c>
      <c r="BX307" t="s">
        <v>36</v>
      </c>
      <c r="BY307" t="s">
        <v>240</v>
      </c>
      <c r="BZ307">
        <v>42924</v>
      </c>
      <c r="CA307">
        <f t="shared" si="59"/>
        <v>12</v>
      </c>
      <c r="CB307">
        <f t="shared" si="60"/>
        <v>2023</v>
      </c>
      <c r="CC307" t="str">
        <f t="shared" si="61"/>
        <v>2023-12</v>
      </c>
    </row>
    <row r="308" spans="1:81" x14ac:dyDescent="0.25">
      <c r="A308" t="s">
        <v>14</v>
      </c>
      <c r="B308" t="s">
        <v>15</v>
      </c>
      <c r="C308" t="s">
        <v>243</v>
      </c>
      <c r="D308">
        <v>43448</v>
      </c>
      <c r="E308">
        <v>5</v>
      </c>
      <c r="P308" t="s">
        <v>5</v>
      </c>
      <c r="Q308" t="s">
        <v>245</v>
      </c>
      <c r="R308">
        <v>5</v>
      </c>
      <c r="AI308" t="s">
        <v>15</v>
      </c>
      <c r="AJ308">
        <v>43448</v>
      </c>
      <c r="AL308">
        <f>COUNTIF(AI:AI,AK308)</f>
        <v>0</v>
      </c>
      <c r="AM308">
        <f>SUMIF(AI:AI,AK308,AJ:AJ)</f>
        <v>0</v>
      </c>
      <c r="AP308" t="s">
        <v>17</v>
      </c>
      <c r="AQ308" t="s">
        <v>259</v>
      </c>
      <c r="BP308" t="s">
        <v>33</v>
      </c>
      <c r="BQ308" t="s">
        <v>367</v>
      </c>
      <c r="BR308">
        <f t="shared" si="62"/>
        <v>5</v>
      </c>
      <c r="BS308">
        <f t="shared" si="56"/>
        <v>2024</v>
      </c>
      <c r="BT308">
        <v>5</v>
      </c>
      <c r="BU308" t="str">
        <f t="shared" si="57"/>
        <v>2024-5</v>
      </c>
      <c r="BV308">
        <f t="shared" si="58"/>
        <v>0</v>
      </c>
      <c r="BX308" t="s">
        <v>14</v>
      </c>
      <c r="BY308" t="s">
        <v>243</v>
      </c>
      <c r="BZ308">
        <v>43448</v>
      </c>
      <c r="CA308">
        <f t="shared" si="59"/>
        <v>12</v>
      </c>
      <c r="CB308">
        <f t="shared" si="60"/>
        <v>2023</v>
      </c>
      <c r="CC308" t="str">
        <f t="shared" si="61"/>
        <v>2023-12</v>
      </c>
    </row>
    <row r="309" spans="1:81" x14ac:dyDescent="0.25">
      <c r="A309" t="s">
        <v>17</v>
      </c>
      <c r="B309" t="s">
        <v>244</v>
      </c>
      <c r="C309" t="s">
        <v>243</v>
      </c>
      <c r="D309">
        <v>73979</v>
      </c>
      <c r="E309">
        <v>3</v>
      </c>
      <c r="P309" t="s">
        <v>12</v>
      </c>
      <c r="Q309" t="s">
        <v>247</v>
      </c>
      <c r="R309">
        <v>6</v>
      </c>
      <c r="AI309" t="s">
        <v>244</v>
      </c>
      <c r="AJ309">
        <v>73979</v>
      </c>
      <c r="AL309">
        <f>COUNTIF(AI:AI,AK309)</f>
        <v>0</v>
      </c>
      <c r="AM309">
        <f>SUMIF(AI:AI,AK309,AJ:AJ)</f>
        <v>0</v>
      </c>
      <c r="AP309" t="s">
        <v>10</v>
      </c>
      <c r="AQ309" t="s">
        <v>95</v>
      </c>
      <c r="BP309" t="s">
        <v>33</v>
      </c>
      <c r="BQ309" t="s">
        <v>367</v>
      </c>
      <c r="BR309">
        <f t="shared" si="62"/>
        <v>5</v>
      </c>
      <c r="BS309">
        <f t="shared" si="56"/>
        <v>2024</v>
      </c>
      <c r="BT309">
        <v>3</v>
      </c>
      <c r="BU309" t="str">
        <f t="shared" si="57"/>
        <v>2024-5</v>
      </c>
      <c r="BV309">
        <f t="shared" si="58"/>
        <v>0</v>
      </c>
      <c r="BX309" t="s">
        <v>17</v>
      </c>
      <c r="BY309" t="s">
        <v>243</v>
      </c>
      <c r="BZ309">
        <v>73979</v>
      </c>
      <c r="CA309">
        <f t="shared" si="59"/>
        <v>12</v>
      </c>
      <c r="CB309">
        <f t="shared" si="60"/>
        <v>2023</v>
      </c>
      <c r="CC309" t="str">
        <f t="shared" si="61"/>
        <v>2023-12</v>
      </c>
    </row>
    <row r="310" spans="1:81" x14ac:dyDescent="0.25">
      <c r="A310" t="s">
        <v>5</v>
      </c>
      <c r="B310" t="s">
        <v>245</v>
      </c>
      <c r="C310" t="s">
        <v>246</v>
      </c>
      <c r="D310">
        <v>66502</v>
      </c>
      <c r="E310">
        <v>5</v>
      </c>
      <c r="P310" t="s">
        <v>23</v>
      </c>
      <c r="Q310" t="s">
        <v>199</v>
      </c>
      <c r="R310">
        <v>10</v>
      </c>
      <c r="AI310" t="s">
        <v>245</v>
      </c>
      <c r="AJ310">
        <v>66502</v>
      </c>
      <c r="AL310">
        <f>COUNTIF(AI:AI,AK310)</f>
        <v>0</v>
      </c>
      <c r="AM310">
        <f>SUMIF(AI:AI,AK310,AJ:AJ)</f>
        <v>0</v>
      </c>
      <c r="AP310" t="s">
        <v>27</v>
      </c>
      <c r="AQ310" t="s">
        <v>173</v>
      </c>
      <c r="BP310" t="s">
        <v>33</v>
      </c>
      <c r="BQ310" t="s">
        <v>376</v>
      </c>
      <c r="BR310">
        <f t="shared" si="62"/>
        <v>5</v>
      </c>
      <c r="BS310">
        <f t="shared" si="56"/>
        <v>2024</v>
      </c>
      <c r="BT310">
        <v>5</v>
      </c>
      <c r="BU310" t="str">
        <f t="shared" si="57"/>
        <v>2024-5</v>
      </c>
      <c r="BV310">
        <f t="shared" si="58"/>
        <v>0</v>
      </c>
      <c r="BX310" t="s">
        <v>5</v>
      </c>
      <c r="BY310" t="s">
        <v>246</v>
      </c>
      <c r="BZ310">
        <v>66502</v>
      </c>
      <c r="CA310">
        <f t="shared" si="59"/>
        <v>12</v>
      </c>
      <c r="CB310">
        <f t="shared" si="60"/>
        <v>2023</v>
      </c>
      <c r="CC310" t="str">
        <f t="shared" si="61"/>
        <v>2023-12</v>
      </c>
    </row>
    <row r="311" spans="1:81" x14ac:dyDescent="0.25">
      <c r="A311" t="s">
        <v>12</v>
      </c>
      <c r="B311" t="s">
        <v>247</v>
      </c>
      <c r="C311" t="s">
        <v>246</v>
      </c>
      <c r="D311">
        <v>56529</v>
      </c>
      <c r="E311">
        <v>6</v>
      </c>
      <c r="P311" t="s">
        <v>27</v>
      </c>
      <c r="Q311" t="s">
        <v>156</v>
      </c>
      <c r="R311">
        <v>4</v>
      </c>
      <c r="AI311" t="s">
        <v>247</v>
      </c>
      <c r="AJ311">
        <v>56529</v>
      </c>
      <c r="AL311">
        <f>COUNTIF(AI:AI,AK311)</f>
        <v>0</v>
      </c>
      <c r="AM311">
        <f>SUMIF(AI:AI,AK311,AJ:AJ)</f>
        <v>0</v>
      </c>
      <c r="AP311" t="s">
        <v>36</v>
      </c>
      <c r="AQ311" t="s">
        <v>54</v>
      </c>
      <c r="BP311" t="s">
        <v>33</v>
      </c>
      <c r="BQ311" t="s">
        <v>383</v>
      </c>
      <c r="BR311">
        <f t="shared" si="62"/>
        <v>5</v>
      </c>
      <c r="BS311">
        <f t="shared" si="56"/>
        <v>2024</v>
      </c>
      <c r="BT311">
        <v>6</v>
      </c>
      <c r="BU311" t="str">
        <f t="shared" si="57"/>
        <v>2024-5</v>
      </c>
      <c r="BV311">
        <f t="shared" si="58"/>
        <v>0</v>
      </c>
      <c r="BX311" t="s">
        <v>12</v>
      </c>
      <c r="BY311" t="s">
        <v>246</v>
      </c>
      <c r="BZ311">
        <v>56529</v>
      </c>
      <c r="CA311">
        <f t="shared" si="59"/>
        <v>12</v>
      </c>
      <c r="CB311">
        <f t="shared" si="60"/>
        <v>2023</v>
      </c>
      <c r="CC311" t="str">
        <f t="shared" si="61"/>
        <v>2023-12</v>
      </c>
    </row>
    <row r="312" spans="1:81" x14ac:dyDescent="0.25">
      <c r="A312" t="s">
        <v>23</v>
      </c>
      <c r="B312" t="s">
        <v>199</v>
      </c>
      <c r="C312" t="s">
        <v>246</v>
      </c>
      <c r="D312">
        <v>44093</v>
      </c>
      <c r="E312">
        <v>10</v>
      </c>
      <c r="P312" t="s">
        <v>8</v>
      </c>
      <c r="Q312" t="s">
        <v>77</v>
      </c>
      <c r="R312">
        <v>7</v>
      </c>
      <c r="AI312" t="s">
        <v>199</v>
      </c>
      <c r="AJ312">
        <v>44093</v>
      </c>
      <c r="AL312">
        <f>COUNTIF(AI:AI,AK312)</f>
        <v>0</v>
      </c>
      <c r="AM312">
        <f>SUMIF(AI:AI,AK312,AJ:AJ)</f>
        <v>0</v>
      </c>
      <c r="AP312" t="s">
        <v>10</v>
      </c>
      <c r="AQ312" t="s">
        <v>19</v>
      </c>
      <c r="BP312" t="s">
        <v>33</v>
      </c>
      <c r="BQ312" t="s">
        <v>387</v>
      </c>
      <c r="BR312">
        <f t="shared" si="62"/>
        <v>5</v>
      </c>
      <c r="BS312">
        <f t="shared" si="56"/>
        <v>2024</v>
      </c>
      <c r="BT312">
        <v>10</v>
      </c>
      <c r="BU312" t="str">
        <f t="shared" si="57"/>
        <v>2024-5</v>
      </c>
      <c r="BV312">
        <f t="shared" si="58"/>
        <v>2</v>
      </c>
      <c r="BX312" t="s">
        <v>23</v>
      </c>
      <c r="BY312" t="s">
        <v>246</v>
      </c>
      <c r="BZ312">
        <v>44093</v>
      </c>
      <c r="CA312">
        <f t="shared" si="59"/>
        <v>12</v>
      </c>
      <c r="CB312">
        <f t="shared" si="60"/>
        <v>2023</v>
      </c>
      <c r="CC312" t="str">
        <f t="shared" si="61"/>
        <v>2023-12</v>
      </c>
    </row>
    <row r="313" spans="1:81" x14ac:dyDescent="0.25">
      <c r="A313" t="s">
        <v>27</v>
      </c>
      <c r="B313" t="s">
        <v>156</v>
      </c>
      <c r="C313" t="s">
        <v>248</v>
      </c>
      <c r="D313">
        <v>47042</v>
      </c>
      <c r="E313">
        <v>4</v>
      </c>
      <c r="P313" t="s">
        <v>27</v>
      </c>
      <c r="Q313" t="s">
        <v>249</v>
      </c>
      <c r="R313">
        <v>2</v>
      </c>
      <c r="AI313" t="s">
        <v>156</v>
      </c>
      <c r="AJ313">
        <v>47042</v>
      </c>
      <c r="AL313">
        <f>COUNTIF(AI:AI,AK313)</f>
        <v>0</v>
      </c>
      <c r="AM313">
        <f>SUMIF(AI:AI,AK313,AJ:AJ)</f>
        <v>0</v>
      </c>
      <c r="AP313" t="s">
        <v>36</v>
      </c>
      <c r="AQ313" t="s">
        <v>184</v>
      </c>
      <c r="BP313" t="s">
        <v>33</v>
      </c>
      <c r="BQ313" t="s">
        <v>388</v>
      </c>
      <c r="BR313">
        <f t="shared" si="62"/>
        <v>5</v>
      </c>
      <c r="BS313">
        <f t="shared" si="56"/>
        <v>2024</v>
      </c>
      <c r="BT313">
        <v>4</v>
      </c>
      <c r="BU313" t="str">
        <f t="shared" si="57"/>
        <v>2024-5</v>
      </c>
      <c r="BV313">
        <f t="shared" si="58"/>
        <v>0</v>
      </c>
      <c r="BX313" t="s">
        <v>27</v>
      </c>
      <c r="BY313" t="s">
        <v>248</v>
      </c>
      <c r="BZ313">
        <v>47042</v>
      </c>
      <c r="CA313">
        <f t="shared" si="59"/>
        <v>12</v>
      </c>
      <c r="CB313">
        <f t="shared" si="60"/>
        <v>2023</v>
      </c>
      <c r="CC313" t="str">
        <f t="shared" si="61"/>
        <v>2023-12</v>
      </c>
    </row>
    <row r="314" spans="1:81" x14ac:dyDescent="0.25">
      <c r="A314" t="s">
        <v>8</v>
      </c>
      <c r="B314" t="s">
        <v>77</v>
      </c>
      <c r="C314" t="s">
        <v>248</v>
      </c>
      <c r="D314">
        <v>59311</v>
      </c>
      <c r="E314">
        <v>7</v>
      </c>
      <c r="P314" t="s">
        <v>32</v>
      </c>
      <c r="Q314" t="s">
        <v>183</v>
      </c>
      <c r="R314">
        <v>6</v>
      </c>
      <c r="AI314" t="s">
        <v>77</v>
      </c>
      <c r="AJ314">
        <v>59311</v>
      </c>
      <c r="AL314">
        <f>COUNTIF(AI:AI,AK314)</f>
        <v>0</v>
      </c>
      <c r="AM314">
        <f>SUMIF(AI:AI,AK314,AJ:AJ)</f>
        <v>0</v>
      </c>
      <c r="AP314" t="s">
        <v>10</v>
      </c>
      <c r="AQ314" t="s">
        <v>156</v>
      </c>
      <c r="BP314" t="s">
        <v>33</v>
      </c>
      <c r="BQ314" t="s">
        <v>389</v>
      </c>
      <c r="BR314">
        <f t="shared" si="62"/>
        <v>6</v>
      </c>
      <c r="BS314">
        <f t="shared" si="56"/>
        <v>2024</v>
      </c>
      <c r="BT314">
        <v>7</v>
      </c>
      <c r="BU314" t="str">
        <f t="shared" si="57"/>
        <v>2024-6</v>
      </c>
      <c r="BV314">
        <f t="shared" si="58"/>
        <v>1</v>
      </c>
      <c r="BX314" t="s">
        <v>8</v>
      </c>
      <c r="BY314" t="s">
        <v>248</v>
      </c>
      <c r="BZ314">
        <v>59311</v>
      </c>
      <c r="CA314">
        <f t="shared" si="59"/>
        <v>12</v>
      </c>
      <c r="CB314">
        <f t="shared" si="60"/>
        <v>2023</v>
      </c>
      <c r="CC314" t="str">
        <f t="shared" si="61"/>
        <v>2023-12</v>
      </c>
    </row>
    <row r="315" spans="1:81" x14ac:dyDescent="0.25">
      <c r="A315" t="s">
        <v>27</v>
      </c>
      <c r="B315" t="s">
        <v>249</v>
      </c>
      <c r="C315" t="s">
        <v>248</v>
      </c>
      <c r="D315">
        <v>22947</v>
      </c>
      <c r="E315">
        <v>2</v>
      </c>
      <c r="P315" t="s">
        <v>33</v>
      </c>
      <c r="Q315" t="s">
        <v>183</v>
      </c>
      <c r="R315">
        <v>7</v>
      </c>
      <c r="AI315" t="s">
        <v>249</v>
      </c>
      <c r="AJ315">
        <v>22947</v>
      </c>
      <c r="AL315">
        <f>COUNTIF(AI:AI,AK315)</f>
        <v>0</v>
      </c>
      <c r="AM315">
        <f>SUMIF(AI:AI,AK315,AJ:AJ)</f>
        <v>0</v>
      </c>
      <c r="AP315" t="s">
        <v>20</v>
      </c>
      <c r="AQ315" t="s">
        <v>58</v>
      </c>
      <c r="BP315" t="s">
        <v>33</v>
      </c>
      <c r="BQ315" t="s">
        <v>389</v>
      </c>
      <c r="BR315">
        <f t="shared" si="62"/>
        <v>6</v>
      </c>
      <c r="BS315">
        <f t="shared" si="56"/>
        <v>2024</v>
      </c>
      <c r="BT315">
        <v>2</v>
      </c>
      <c r="BU315" t="str">
        <f t="shared" si="57"/>
        <v>2024-6</v>
      </c>
      <c r="BV315">
        <f t="shared" si="58"/>
        <v>0</v>
      </c>
      <c r="BX315" t="s">
        <v>27</v>
      </c>
      <c r="BY315" t="s">
        <v>248</v>
      </c>
      <c r="BZ315">
        <v>22947</v>
      </c>
      <c r="CA315">
        <f t="shared" si="59"/>
        <v>12</v>
      </c>
      <c r="CB315">
        <f t="shared" si="60"/>
        <v>2023</v>
      </c>
      <c r="CC315" t="str">
        <f t="shared" si="61"/>
        <v>2023-12</v>
      </c>
    </row>
    <row r="316" spans="1:81" x14ac:dyDescent="0.25">
      <c r="A316" t="s">
        <v>32</v>
      </c>
      <c r="B316" t="s">
        <v>183</v>
      </c>
      <c r="C316" t="s">
        <v>250</v>
      </c>
      <c r="D316">
        <v>92381</v>
      </c>
      <c r="E316">
        <v>6</v>
      </c>
      <c r="P316" t="s">
        <v>10</v>
      </c>
      <c r="Q316" t="s">
        <v>91</v>
      </c>
      <c r="R316">
        <v>9</v>
      </c>
      <c r="AI316" t="s">
        <v>183</v>
      </c>
      <c r="AJ316">
        <v>92381</v>
      </c>
      <c r="AL316">
        <f>COUNTIF(AI:AI,AK316)</f>
        <v>0</v>
      </c>
      <c r="AM316">
        <f>SUMIF(AI:AI,AK316,AJ:AJ)</f>
        <v>0</v>
      </c>
      <c r="AP316" t="s">
        <v>33</v>
      </c>
      <c r="AQ316" t="s">
        <v>263</v>
      </c>
      <c r="BP316" t="s">
        <v>33</v>
      </c>
      <c r="BQ316" t="s">
        <v>401</v>
      </c>
      <c r="BR316">
        <f t="shared" si="62"/>
        <v>6</v>
      </c>
      <c r="BS316">
        <f t="shared" si="56"/>
        <v>2024</v>
      </c>
      <c r="BT316">
        <v>6</v>
      </c>
      <c r="BU316" t="str">
        <f t="shared" si="57"/>
        <v>2024-6</v>
      </c>
      <c r="BV316">
        <f t="shared" si="58"/>
        <v>0</v>
      </c>
      <c r="BX316" t="s">
        <v>32</v>
      </c>
      <c r="BY316" t="s">
        <v>250</v>
      </c>
      <c r="BZ316">
        <v>92381</v>
      </c>
      <c r="CA316">
        <f t="shared" si="59"/>
        <v>1</v>
      </c>
      <c r="CB316">
        <f t="shared" si="60"/>
        <v>2024</v>
      </c>
      <c r="CC316" t="str">
        <f t="shared" si="61"/>
        <v>2024-1</v>
      </c>
    </row>
    <row r="317" spans="1:81" x14ac:dyDescent="0.25">
      <c r="A317" t="s">
        <v>33</v>
      </c>
      <c r="B317" t="s">
        <v>183</v>
      </c>
      <c r="C317" t="s">
        <v>250</v>
      </c>
      <c r="D317">
        <v>95435</v>
      </c>
      <c r="E317">
        <v>7</v>
      </c>
      <c r="P317" t="s">
        <v>10</v>
      </c>
      <c r="Q317" t="s">
        <v>181</v>
      </c>
      <c r="R317">
        <v>9</v>
      </c>
      <c r="AI317" t="s">
        <v>183</v>
      </c>
      <c r="AJ317">
        <v>95435</v>
      </c>
      <c r="AL317">
        <f>COUNTIF(AI:AI,AK317)</f>
        <v>0</v>
      </c>
      <c r="AM317">
        <f>SUMIF(AI:AI,AK317,AJ:AJ)</f>
        <v>0</v>
      </c>
      <c r="AP317" t="s">
        <v>23</v>
      </c>
      <c r="AQ317" t="s">
        <v>256</v>
      </c>
      <c r="BP317" t="s">
        <v>33</v>
      </c>
      <c r="BQ317" t="s">
        <v>411</v>
      </c>
      <c r="BR317">
        <f t="shared" si="62"/>
        <v>7</v>
      </c>
      <c r="BS317">
        <f t="shared" si="56"/>
        <v>2024</v>
      </c>
      <c r="BT317">
        <v>7</v>
      </c>
      <c r="BU317" t="str">
        <f t="shared" si="57"/>
        <v>2024-7</v>
      </c>
      <c r="BV317">
        <f t="shared" si="58"/>
        <v>1</v>
      </c>
      <c r="BX317" t="s">
        <v>33</v>
      </c>
      <c r="BY317" t="s">
        <v>250</v>
      </c>
      <c r="BZ317">
        <v>95435</v>
      </c>
      <c r="CA317">
        <f t="shared" si="59"/>
        <v>1</v>
      </c>
      <c r="CB317">
        <f t="shared" si="60"/>
        <v>2024</v>
      </c>
      <c r="CC317" t="str">
        <f t="shared" si="61"/>
        <v>2024-1</v>
      </c>
    </row>
    <row r="318" spans="1:81" x14ac:dyDescent="0.25">
      <c r="A318" t="s">
        <v>10</v>
      </c>
      <c r="B318" t="s">
        <v>91</v>
      </c>
      <c r="C318" t="s">
        <v>250</v>
      </c>
      <c r="D318">
        <v>17985</v>
      </c>
      <c r="E318">
        <v>9</v>
      </c>
      <c r="P318" t="s">
        <v>10</v>
      </c>
      <c r="Q318" t="s">
        <v>138</v>
      </c>
      <c r="R318">
        <v>3</v>
      </c>
      <c r="AI318" t="s">
        <v>91</v>
      </c>
      <c r="AJ318">
        <v>17985</v>
      </c>
      <c r="AL318">
        <f>COUNTIF(AI:AI,AK318)</f>
        <v>0</v>
      </c>
      <c r="AM318">
        <f>SUMIF(AI:AI,AK318,AJ:AJ)</f>
        <v>0</v>
      </c>
      <c r="AP318" t="s">
        <v>33</v>
      </c>
      <c r="AQ318" t="s">
        <v>42</v>
      </c>
      <c r="BP318" t="s">
        <v>33</v>
      </c>
      <c r="BQ318" t="s">
        <v>412</v>
      </c>
      <c r="BR318">
        <f t="shared" si="62"/>
        <v>7</v>
      </c>
      <c r="BS318">
        <f t="shared" si="56"/>
        <v>2024</v>
      </c>
      <c r="BT318">
        <v>9</v>
      </c>
      <c r="BU318" t="str">
        <f t="shared" si="57"/>
        <v>2024-7</v>
      </c>
      <c r="BV318">
        <f t="shared" si="58"/>
        <v>2</v>
      </c>
      <c r="BX318" t="s">
        <v>10</v>
      </c>
      <c r="BY318" t="s">
        <v>250</v>
      </c>
      <c r="BZ318">
        <v>17985</v>
      </c>
      <c r="CA318">
        <f t="shared" si="59"/>
        <v>1</v>
      </c>
      <c r="CB318">
        <f t="shared" si="60"/>
        <v>2024</v>
      </c>
      <c r="CC318" t="str">
        <f t="shared" si="61"/>
        <v>2024-1</v>
      </c>
    </row>
    <row r="319" spans="1:81" x14ac:dyDescent="0.25">
      <c r="A319" t="s">
        <v>10</v>
      </c>
      <c r="B319" t="s">
        <v>181</v>
      </c>
      <c r="C319" t="s">
        <v>250</v>
      </c>
      <c r="D319">
        <v>24784</v>
      </c>
      <c r="E319">
        <v>9</v>
      </c>
      <c r="P319" t="s">
        <v>12</v>
      </c>
      <c r="Q319" t="s">
        <v>191</v>
      </c>
      <c r="R319">
        <v>3</v>
      </c>
      <c r="AI319" t="s">
        <v>181</v>
      </c>
      <c r="AJ319">
        <v>24784</v>
      </c>
      <c r="AL319">
        <f>COUNTIF(AI:AI,AK319)</f>
        <v>0</v>
      </c>
      <c r="AM319">
        <f>SUMIF(AI:AI,AK319,AJ:AJ)</f>
        <v>0</v>
      </c>
      <c r="AP319" t="s">
        <v>27</v>
      </c>
      <c r="AQ319" t="s">
        <v>142</v>
      </c>
      <c r="BP319" t="s">
        <v>33</v>
      </c>
      <c r="BQ319" t="s">
        <v>414</v>
      </c>
      <c r="BR319">
        <f t="shared" si="62"/>
        <v>7</v>
      </c>
      <c r="BS319">
        <f t="shared" si="56"/>
        <v>2024</v>
      </c>
      <c r="BT319">
        <v>9</v>
      </c>
      <c r="BU319" t="str">
        <f t="shared" si="57"/>
        <v>2024-7</v>
      </c>
      <c r="BV319">
        <f t="shared" si="58"/>
        <v>2</v>
      </c>
      <c r="BX319" t="s">
        <v>10</v>
      </c>
      <c r="BY319" t="s">
        <v>250</v>
      </c>
      <c r="BZ319">
        <v>24784</v>
      </c>
      <c r="CA319">
        <f t="shared" si="59"/>
        <v>1</v>
      </c>
      <c r="CB319">
        <f t="shared" si="60"/>
        <v>2024</v>
      </c>
      <c r="CC319" t="str">
        <f t="shared" si="61"/>
        <v>2024-1</v>
      </c>
    </row>
    <row r="320" spans="1:81" x14ac:dyDescent="0.25">
      <c r="A320" t="s">
        <v>10</v>
      </c>
      <c r="B320" t="s">
        <v>138</v>
      </c>
      <c r="C320" t="s">
        <v>250</v>
      </c>
      <c r="D320">
        <v>98145</v>
      </c>
      <c r="E320">
        <v>3</v>
      </c>
      <c r="P320" t="s">
        <v>32</v>
      </c>
      <c r="Q320" t="s">
        <v>151</v>
      </c>
      <c r="R320">
        <v>9</v>
      </c>
      <c r="AI320" t="s">
        <v>138</v>
      </c>
      <c r="AJ320">
        <v>98145</v>
      </c>
      <c r="AL320">
        <f>COUNTIF(AI:AI,AK320)</f>
        <v>0</v>
      </c>
      <c r="AM320">
        <f>SUMIF(AI:AI,AK320,AJ:AJ)</f>
        <v>0</v>
      </c>
      <c r="AP320" t="s">
        <v>36</v>
      </c>
      <c r="AQ320" t="s">
        <v>19</v>
      </c>
      <c r="BP320" t="s">
        <v>33</v>
      </c>
      <c r="BQ320" t="s">
        <v>416</v>
      </c>
      <c r="BR320">
        <f t="shared" si="62"/>
        <v>7</v>
      </c>
      <c r="BS320">
        <f t="shared" si="56"/>
        <v>2024</v>
      </c>
      <c r="BT320">
        <v>3</v>
      </c>
      <c r="BU320" t="str">
        <f t="shared" si="57"/>
        <v>2024-7</v>
      </c>
      <c r="BV320">
        <f t="shared" si="58"/>
        <v>0</v>
      </c>
      <c r="BX320" t="s">
        <v>10</v>
      </c>
      <c r="BY320" t="s">
        <v>250</v>
      </c>
      <c r="BZ320">
        <v>98145</v>
      </c>
      <c r="CA320">
        <f t="shared" si="59"/>
        <v>1</v>
      </c>
      <c r="CB320">
        <f t="shared" si="60"/>
        <v>2024</v>
      </c>
      <c r="CC320" t="str">
        <f t="shared" si="61"/>
        <v>2024-1</v>
      </c>
    </row>
    <row r="321" spans="1:81" x14ac:dyDescent="0.25">
      <c r="A321" t="s">
        <v>12</v>
      </c>
      <c r="B321" t="s">
        <v>191</v>
      </c>
      <c r="C321" t="s">
        <v>250</v>
      </c>
      <c r="D321">
        <v>84442</v>
      </c>
      <c r="E321">
        <v>3</v>
      </c>
      <c r="P321" t="s">
        <v>5</v>
      </c>
      <c r="Q321" t="s">
        <v>106</v>
      </c>
      <c r="R321">
        <v>3</v>
      </c>
      <c r="AI321" t="s">
        <v>191</v>
      </c>
      <c r="AJ321">
        <v>84442</v>
      </c>
      <c r="AL321">
        <f>COUNTIF(AI:AI,AK321)</f>
        <v>0</v>
      </c>
      <c r="AM321">
        <f>SUMIF(AI:AI,AK321,AJ:AJ)</f>
        <v>0</v>
      </c>
      <c r="AP321" t="s">
        <v>33</v>
      </c>
      <c r="AQ321" t="s">
        <v>116</v>
      </c>
      <c r="BP321" t="s">
        <v>33</v>
      </c>
      <c r="BQ321" t="s">
        <v>417</v>
      </c>
      <c r="BR321">
        <f t="shared" si="62"/>
        <v>7</v>
      </c>
      <c r="BS321">
        <f t="shared" si="56"/>
        <v>2024</v>
      </c>
      <c r="BT321">
        <v>3</v>
      </c>
      <c r="BU321" t="str">
        <f t="shared" si="57"/>
        <v>2024-7</v>
      </c>
      <c r="BV321">
        <f t="shared" si="58"/>
        <v>0</v>
      </c>
      <c r="BX321" t="s">
        <v>12</v>
      </c>
      <c r="BY321" t="s">
        <v>250</v>
      </c>
      <c r="BZ321">
        <v>84442</v>
      </c>
      <c r="CA321">
        <f t="shared" si="59"/>
        <v>1</v>
      </c>
      <c r="CB321">
        <f t="shared" si="60"/>
        <v>2024</v>
      </c>
      <c r="CC321" t="str">
        <f t="shared" si="61"/>
        <v>2024-1</v>
      </c>
    </row>
    <row r="322" spans="1:81" x14ac:dyDescent="0.25">
      <c r="A322" t="s">
        <v>32</v>
      </c>
      <c r="B322" t="s">
        <v>151</v>
      </c>
      <c r="C322" t="s">
        <v>250</v>
      </c>
      <c r="D322">
        <v>51341</v>
      </c>
      <c r="E322">
        <v>9</v>
      </c>
      <c r="P322" t="s">
        <v>10</v>
      </c>
      <c r="Q322" t="s">
        <v>51</v>
      </c>
      <c r="R322">
        <v>9</v>
      </c>
      <c r="AI322" t="s">
        <v>151</v>
      </c>
      <c r="AJ322">
        <v>51341</v>
      </c>
      <c r="AL322">
        <f>COUNTIF(AI:AI,AK322)</f>
        <v>0</v>
      </c>
      <c r="AM322">
        <f>SUMIF(AI:AI,AK322,AJ:AJ)</f>
        <v>0</v>
      </c>
      <c r="AP322" t="s">
        <v>32</v>
      </c>
      <c r="AQ322" t="s">
        <v>263</v>
      </c>
      <c r="BP322" t="s">
        <v>33</v>
      </c>
      <c r="BQ322" t="s">
        <v>423</v>
      </c>
      <c r="BR322">
        <f t="shared" si="62"/>
        <v>7</v>
      </c>
      <c r="BS322">
        <f t="shared" si="56"/>
        <v>2024</v>
      </c>
      <c r="BT322">
        <v>9</v>
      </c>
      <c r="BU322" t="str">
        <f t="shared" si="57"/>
        <v>2024-7</v>
      </c>
      <c r="BV322">
        <f t="shared" si="58"/>
        <v>2</v>
      </c>
      <c r="BX322" t="s">
        <v>32</v>
      </c>
      <c r="BY322" t="s">
        <v>250</v>
      </c>
      <c r="BZ322">
        <v>51341</v>
      </c>
      <c r="CA322">
        <f t="shared" si="59"/>
        <v>1</v>
      </c>
      <c r="CB322">
        <f t="shared" si="60"/>
        <v>2024</v>
      </c>
      <c r="CC322" t="str">
        <f t="shared" si="61"/>
        <v>2024-1</v>
      </c>
    </row>
    <row r="323" spans="1:81" x14ac:dyDescent="0.25">
      <c r="A323" t="s">
        <v>17</v>
      </c>
      <c r="B323" t="s">
        <v>158</v>
      </c>
      <c r="C323" t="s">
        <v>250</v>
      </c>
      <c r="D323">
        <v>93952</v>
      </c>
      <c r="E323">
        <v>9</v>
      </c>
      <c r="P323" t="s">
        <v>12</v>
      </c>
      <c r="Q323" t="s">
        <v>253</v>
      </c>
      <c r="R323">
        <v>9</v>
      </c>
      <c r="AI323" t="s">
        <v>158</v>
      </c>
      <c r="AJ323">
        <v>93952</v>
      </c>
      <c r="AL323">
        <f>COUNTIF(AI:AI,AK323)</f>
        <v>0</v>
      </c>
      <c r="AM323">
        <f>SUMIF(AI:AI,AK323,AJ:AJ)</f>
        <v>0</v>
      </c>
      <c r="AP323" t="s">
        <v>10</v>
      </c>
      <c r="AQ323" t="s">
        <v>213</v>
      </c>
      <c r="BP323" t="s">
        <v>33</v>
      </c>
      <c r="BQ323" t="s">
        <v>428</v>
      </c>
      <c r="BR323">
        <f t="shared" si="62"/>
        <v>7</v>
      </c>
      <c r="BS323">
        <f t="shared" ref="BS323:BS386" si="63">YEAR(BQ323)</f>
        <v>2024</v>
      </c>
      <c r="BT323">
        <v>9</v>
      </c>
      <c r="BU323" t="str">
        <f t="shared" ref="BU323:BU386" si="64">BS323&amp;"-"&amp;BR323</f>
        <v>2024-7</v>
      </c>
      <c r="BV323">
        <f t="shared" ref="BV323:BV386" si="65">IF(BT323&lt;7,0,IF(BT323&lt;9,1,2))</f>
        <v>2</v>
      </c>
      <c r="BX323" t="s">
        <v>17</v>
      </c>
      <c r="BY323" t="s">
        <v>250</v>
      </c>
      <c r="BZ323">
        <v>93952</v>
      </c>
      <c r="CA323">
        <f t="shared" ref="CA323:CA386" si="66">MONTH(BY323)</f>
        <v>1</v>
      </c>
      <c r="CB323">
        <f t="shared" ref="CB323:CB386" si="67">YEAR(BY323)</f>
        <v>2024</v>
      </c>
      <c r="CC323" t="str">
        <f t="shared" ref="CC323:CC386" si="68">CB323&amp;"-"&amp;CA323</f>
        <v>2024-1</v>
      </c>
    </row>
    <row r="324" spans="1:81" x14ac:dyDescent="0.25">
      <c r="A324" t="s">
        <v>5</v>
      </c>
      <c r="B324" t="s">
        <v>106</v>
      </c>
      <c r="C324" t="s">
        <v>251</v>
      </c>
      <c r="D324">
        <v>81864</v>
      </c>
      <c r="E324">
        <v>3</v>
      </c>
      <c r="P324" t="s">
        <v>32</v>
      </c>
      <c r="Q324" t="s">
        <v>254</v>
      </c>
      <c r="R324">
        <v>6</v>
      </c>
      <c r="AI324" t="s">
        <v>106</v>
      </c>
      <c r="AJ324">
        <v>81864</v>
      </c>
      <c r="AL324">
        <f>COUNTIF(AI:AI,AK324)</f>
        <v>0</v>
      </c>
      <c r="AM324">
        <f>SUMIF(AI:AI,AK324,AJ:AJ)</f>
        <v>0</v>
      </c>
      <c r="AP324" t="s">
        <v>14</v>
      </c>
      <c r="AQ324" t="s">
        <v>148</v>
      </c>
      <c r="BP324" t="s">
        <v>33</v>
      </c>
      <c r="BQ324" t="s">
        <v>430</v>
      </c>
      <c r="BR324">
        <f t="shared" si="62"/>
        <v>7</v>
      </c>
      <c r="BS324">
        <f t="shared" si="63"/>
        <v>2024</v>
      </c>
      <c r="BT324">
        <v>3</v>
      </c>
      <c r="BU324" t="str">
        <f t="shared" si="64"/>
        <v>2024-7</v>
      </c>
      <c r="BV324">
        <f t="shared" si="65"/>
        <v>0</v>
      </c>
      <c r="BX324" t="s">
        <v>5</v>
      </c>
      <c r="BY324" t="s">
        <v>251</v>
      </c>
      <c r="BZ324">
        <v>81864</v>
      </c>
      <c r="CA324">
        <f t="shared" si="66"/>
        <v>1</v>
      </c>
      <c r="CB324">
        <f t="shared" si="67"/>
        <v>2024</v>
      </c>
      <c r="CC324" t="str">
        <f t="shared" si="68"/>
        <v>2024-1</v>
      </c>
    </row>
    <row r="325" spans="1:81" x14ac:dyDescent="0.25">
      <c r="A325" t="s">
        <v>10</v>
      </c>
      <c r="B325" t="s">
        <v>51</v>
      </c>
      <c r="C325" t="s">
        <v>252</v>
      </c>
      <c r="D325">
        <v>18242</v>
      </c>
      <c r="E325">
        <v>9</v>
      </c>
      <c r="P325" t="s">
        <v>5</v>
      </c>
      <c r="Q325" t="s">
        <v>255</v>
      </c>
      <c r="R325">
        <v>6</v>
      </c>
      <c r="AI325" t="s">
        <v>51</v>
      </c>
      <c r="AJ325">
        <v>18242</v>
      </c>
      <c r="AL325">
        <f>COUNTIF(AI:AI,AK325)</f>
        <v>0</v>
      </c>
      <c r="AM325">
        <f>SUMIF(AI:AI,AK325,AJ:AJ)</f>
        <v>0</v>
      </c>
      <c r="AP325" t="s">
        <v>8</v>
      </c>
      <c r="AQ325" t="s">
        <v>266</v>
      </c>
      <c r="BP325" t="s">
        <v>33</v>
      </c>
      <c r="BQ325" t="s">
        <v>433</v>
      </c>
      <c r="BR325">
        <f t="shared" si="62"/>
        <v>8</v>
      </c>
      <c r="BS325">
        <f t="shared" si="63"/>
        <v>2024</v>
      </c>
      <c r="BT325">
        <v>9</v>
      </c>
      <c r="BU325" t="str">
        <f t="shared" si="64"/>
        <v>2024-8</v>
      </c>
      <c r="BV325">
        <f t="shared" si="65"/>
        <v>2</v>
      </c>
      <c r="BX325" t="s">
        <v>10</v>
      </c>
      <c r="BY325" t="s">
        <v>252</v>
      </c>
      <c r="BZ325">
        <v>18242</v>
      </c>
      <c r="CA325">
        <f t="shared" si="66"/>
        <v>1</v>
      </c>
      <c r="CB325">
        <f t="shared" si="67"/>
        <v>2024</v>
      </c>
      <c r="CC325" t="str">
        <f t="shared" si="68"/>
        <v>2024-1</v>
      </c>
    </row>
    <row r="326" spans="1:81" x14ac:dyDescent="0.25">
      <c r="A326" t="s">
        <v>12</v>
      </c>
      <c r="B326" t="s">
        <v>253</v>
      </c>
      <c r="C326" t="s">
        <v>252</v>
      </c>
      <c r="D326">
        <v>76230</v>
      </c>
      <c r="E326">
        <v>9</v>
      </c>
      <c r="P326" t="s">
        <v>32</v>
      </c>
      <c r="Q326" t="s">
        <v>98</v>
      </c>
      <c r="R326">
        <v>2</v>
      </c>
      <c r="AI326" t="s">
        <v>253</v>
      </c>
      <c r="AJ326">
        <v>76230</v>
      </c>
      <c r="AL326">
        <f>COUNTIF(AI:AI,AK326)</f>
        <v>0</v>
      </c>
      <c r="AM326">
        <f>SUMIF(AI:AI,AK326,AJ:AJ)</f>
        <v>0</v>
      </c>
      <c r="AP326" t="s">
        <v>17</v>
      </c>
      <c r="AQ326" t="s">
        <v>254</v>
      </c>
      <c r="BP326" t="s">
        <v>33</v>
      </c>
      <c r="BQ326" t="s">
        <v>440</v>
      </c>
      <c r="BR326">
        <f t="shared" si="62"/>
        <v>8</v>
      </c>
      <c r="BS326">
        <f t="shared" si="63"/>
        <v>2024</v>
      </c>
      <c r="BT326">
        <v>9</v>
      </c>
      <c r="BU326" t="str">
        <f t="shared" si="64"/>
        <v>2024-8</v>
      </c>
      <c r="BV326">
        <f t="shared" si="65"/>
        <v>2</v>
      </c>
      <c r="BX326" t="s">
        <v>12</v>
      </c>
      <c r="BY326" t="s">
        <v>252</v>
      </c>
      <c r="BZ326">
        <v>76230</v>
      </c>
      <c r="CA326">
        <f t="shared" si="66"/>
        <v>1</v>
      </c>
      <c r="CB326">
        <f t="shared" si="67"/>
        <v>2024</v>
      </c>
      <c r="CC326" t="str">
        <f t="shared" si="68"/>
        <v>2024-1</v>
      </c>
    </row>
    <row r="327" spans="1:81" x14ac:dyDescent="0.25">
      <c r="A327" t="s">
        <v>32</v>
      </c>
      <c r="B327" t="s">
        <v>254</v>
      </c>
      <c r="C327" t="s">
        <v>252</v>
      </c>
      <c r="D327">
        <v>59067</v>
      </c>
      <c r="E327">
        <v>6</v>
      </c>
      <c r="P327" t="s">
        <v>27</v>
      </c>
      <c r="Q327" t="s">
        <v>256</v>
      </c>
      <c r="R327">
        <v>6</v>
      </c>
      <c r="AI327" t="s">
        <v>254</v>
      </c>
      <c r="AJ327">
        <v>59067</v>
      </c>
      <c r="AL327">
        <f>COUNTIF(AI:AI,AK327)</f>
        <v>0</v>
      </c>
      <c r="AM327">
        <f>SUMIF(AI:AI,AK327,AJ:AJ)</f>
        <v>0</v>
      </c>
      <c r="AP327" t="s">
        <v>8</v>
      </c>
      <c r="AQ327" t="s">
        <v>229</v>
      </c>
      <c r="BP327" t="s">
        <v>33</v>
      </c>
      <c r="BQ327" t="s">
        <v>442</v>
      </c>
      <c r="BR327">
        <f t="shared" si="62"/>
        <v>8</v>
      </c>
      <c r="BS327">
        <f t="shared" si="63"/>
        <v>2024</v>
      </c>
      <c r="BT327">
        <v>6</v>
      </c>
      <c r="BU327" t="str">
        <f t="shared" si="64"/>
        <v>2024-8</v>
      </c>
      <c r="BV327">
        <f t="shared" si="65"/>
        <v>0</v>
      </c>
      <c r="BX327" t="s">
        <v>32</v>
      </c>
      <c r="BY327" t="s">
        <v>252</v>
      </c>
      <c r="BZ327">
        <v>59067</v>
      </c>
      <c r="CA327">
        <f t="shared" si="66"/>
        <v>1</v>
      </c>
      <c r="CB327">
        <f t="shared" si="67"/>
        <v>2024</v>
      </c>
      <c r="CC327" t="str">
        <f t="shared" si="68"/>
        <v>2024-1</v>
      </c>
    </row>
    <row r="328" spans="1:81" x14ac:dyDescent="0.25">
      <c r="A328" t="s">
        <v>5</v>
      </c>
      <c r="B328" t="s">
        <v>255</v>
      </c>
      <c r="C328" t="s">
        <v>252</v>
      </c>
      <c r="D328">
        <v>72863</v>
      </c>
      <c r="E328">
        <v>6</v>
      </c>
      <c r="P328" t="s">
        <v>8</v>
      </c>
      <c r="Q328" t="s">
        <v>144</v>
      </c>
      <c r="R328">
        <v>6</v>
      </c>
      <c r="AI328" t="s">
        <v>255</v>
      </c>
      <c r="AJ328">
        <v>72863</v>
      </c>
      <c r="AL328">
        <f>COUNTIF(AI:AI,AK328)</f>
        <v>0</v>
      </c>
      <c r="AM328">
        <f>SUMIF(AI:AI,AK328,AJ:AJ)</f>
        <v>0</v>
      </c>
      <c r="AP328" t="s">
        <v>32</v>
      </c>
      <c r="AQ328" t="s">
        <v>168</v>
      </c>
      <c r="BP328" t="s">
        <v>33</v>
      </c>
      <c r="BQ328" t="s">
        <v>446</v>
      </c>
      <c r="BR328">
        <f t="shared" si="62"/>
        <v>8</v>
      </c>
      <c r="BS328">
        <f t="shared" si="63"/>
        <v>2024</v>
      </c>
      <c r="BT328">
        <v>6</v>
      </c>
      <c r="BU328" t="str">
        <f t="shared" si="64"/>
        <v>2024-8</v>
      </c>
      <c r="BV328">
        <f t="shared" si="65"/>
        <v>0</v>
      </c>
      <c r="BX328" t="s">
        <v>5</v>
      </c>
      <c r="BY328" t="s">
        <v>252</v>
      </c>
      <c r="BZ328">
        <v>72863</v>
      </c>
      <c r="CA328">
        <f t="shared" si="66"/>
        <v>1</v>
      </c>
      <c r="CB328">
        <f t="shared" si="67"/>
        <v>2024</v>
      </c>
      <c r="CC328" t="str">
        <f t="shared" si="68"/>
        <v>2024-1</v>
      </c>
    </row>
    <row r="329" spans="1:81" x14ac:dyDescent="0.25">
      <c r="A329" t="s">
        <v>32</v>
      </c>
      <c r="B329" t="s">
        <v>98</v>
      </c>
      <c r="C329" t="s">
        <v>252</v>
      </c>
      <c r="D329">
        <v>59520</v>
      </c>
      <c r="E329">
        <v>2</v>
      </c>
      <c r="P329" t="s">
        <v>27</v>
      </c>
      <c r="Q329" t="s">
        <v>133</v>
      </c>
      <c r="R329">
        <v>6</v>
      </c>
      <c r="AI329" t="s">
        <v>98</v>
      </c>
      <c r="AJ329">
        <v>59520</v>
      </c>
      <c r="AL329">
        <f>COUNTIF(AI:AI,AK329)</f>
        <v>0</v>
      </c>
      <c r="AM329">
        <f>SUMIF(AI:AI,AK329,AJ:AJ)</f>
        <v>0</v>
      </c>
      <c r="AP329" t="s">
        <v>20</v>
      </c>
      <c r="AQ329" t="s">
        <v>87</v>
      </c>
      <c r="BP329" t="s">
        <v>33</v>
      </c>
      <c r="BQ329" t="s">
        <v>446</v>
      </c>
      <c r="BR329">
        <f t="shared" si="62"/>
        <v>8</v>
      </c>
      <c r="BS329">
        <f t="shared" si="63"/>
        <v>2024</v>
      </c>
      <c r="BT329">
        <v>2</v>
      </c>
      <c r="BU329" t="str">
        <f t="shared" si="64"/>
        <v>2024-8</v>
      </c>
      <c r="BV329">
        <f t="shared" si="65"/>
        <v>0</v>
      </c>
      <c r="BX329" t="s">
        <v>32</v>
      </c>
      <c r="BY329" t="s">
        <v>252</v>
      </c>
      <c r="BZ329">
        <v>59520</v>
      </c>
      <c r="CA329">
        <f t="shared" si="66"/>
        <v>1</v>
      </c>
      <c r="CB329">
        <f t="shared" si="67"/>
        <v>2024</v>
      </c>
      <c r="CC329" t="str">
        <f t="shared" si="68"/>
        <v>2024-1</v>
      </c>
    </row>
    <row r="330" spans="1:81" x14ac:dyDescent="0.25">
      <c r="A330" t="s">
        <v>27</v>
      </c>
      <c r="B330" t="s">
        <v>256</v>
      </c>
      <c r="C330" t="s">
        <v>257</v>
      </c>
      <c r="D330">
        <v>91752</v>
      </c>
      <c r="E330">
        <v>6</v>
      </c>
      <c r="P330" t="s">
        <v>32</v>
      </c>
      <c r="Q330" t="s">
        <v>65</v>
      </c>
      <c r="R330">
        <v>2</v>
      </c>
      <c r="AI330" t="s">
        <v>256</v>
      </c>
      <c r="AJ330">
        <v>91752</v>
      </c>
      <c r="AL330">
        <f>COUNTIF(AI:AI,AK330)</f>
        <v>0</v>
      </c>
      <c r="AM330">
        <f>SUMIF(AI:AI,AK330,AJ:AJ)</f>
        <v>0</v>
      </c>
      <c r="AP330" t="s">
        <v>23</v>
      </c>
      <c r="AQ330" t="s">
        <v>269</v>
      </c>
      <c r="BP330" t="s">
        <v>33</v>
      </c>
      <c r="BQ330" t="s">
        <v>447</v>
      </c>
      <c r="BR330">
        <f t="shared" si="62"/>
        <v>8</v>
      </c>
      <c r="BS330">
        <f t="shared" si="63"/>
        <v>2024</v>
      </c>
      <c r="BT330">
        <v>6</v>
      </c>
      <c r="BU330" t="str">
        <f t="shared" si="64"/>
        <v>2024-8</v>
      </c>
      <c r="BV330">
        <f t="shared" si="65"/>
        <v>0</v>
      </c>
      <c r="BX330" t="s">
        <v>27</v>
      </c>
      <c r="BY330" t="s">
        <v>257</v>
      </c>
      <c r="BZ330">
        <v>91752</v>
      </c>
      <c r="CA330">
        <f t="shared" si="66"/>
        <v>1</v>
      </c>
      <c r="CB330">
        <f t="shared" si="67"/>
        <v>2024</v>
      </c>
      <c r="CC330" t="str">
        <f t="shared" si="68"/>
        <v>2024-1</v>
      </c>
    </row>
    <row r="331" spans="1:81" x14ac:dyDescent="0.25">
      <c r="A331" t="s">
        <v>8</v>
      </c>
      <c r="B331" t="s">
        <v>144</v>
      </c>
      <c r="C331" t="s">
        <v>258</v>
      </c>
      <c r="D331">
        <v>18592</v>
      </c>
      <c r="E331">
        <v>6</v>
      </c>
      <c r="P331" t="s">
        <v>10</v>
      </c>
      <c r="Q331" t="s">
        <v>69</v>
      </c>
      <c r="R331">
        <v>5</v>
      </c>
      <c r="AI331" t="s">
        <v>144</v>
      </c>
      <c r="AJ331">
        <v>18592</v>
      </c>
      <c r="AL331">
        <f>COUNTIF(AI:AI,AK331)</f>
        <v>0</v>
      </c>
      <c r="AM331">
        <f>SUMIF(AI:AI,AK331,AJ:AJ)</f>
        <v>0</v>
      </c>
      <c r="AP331" t="s">
        <v>32</v>
      </c>
      <c r="AQ331" t="s">
        <v>24</v>
      </c>
      <c r="BP331" t="s">
        <v>33</v>
      </c>
      <c r="BQ331" t="s">
        <v>449</v>
      </c>
      <c r="BR331">
        <f t="shared" si="62"/>
        <v>8</v>
      </c>
      <c r="BS331">
        <f t="shared" si="63"/>
        <v>2024</v>
      </c>
      <c r="BT331">
        <v>6</v>
      </c>
      <c r="BU331" t="str">
        <f t="shared" si="64"/>
        <v>2024-8</v>
      </c>
      <c r="BV331">
        <f t="shared" si="65"/>
        <v>0</v>
      </c>
      <c r="BX331" t="s">
        <v>8</v>
      </c>
      <c r="BY331" t="s">
        <v>258</v>
      </c>
      <c r="BZ331">
        <v>18592</v>
      </c>
      <c r="CA331">
        <f t="shared" si="66"/>
        <v>1</v>
      </c>
      <c r="CB331">
        <f t="shared" si="67"/>
        <v>2024</v>
      </c>
      <c r="CC331" t="str">
        <f t="shared" si="68"/>
        <v>2024-1</v>
      </c>
    </row>
    <row r="332" spans="1:81" x14ac:dyDescent="0.25">
      <c r="A332" t="s">
        <v>27</v>
      </c>
      <c r="B332" t="s">
        <v>133</v>
      </c>
      <c r="C332" t="s">
        <v>258</v>
      </c>
      <c r="D332">
        <v>91038</v>
      </c>
      <c r="E332">
        <v>6</v>
      </c>
      <c r="P332" t="s">
        <v>17</v>
      </c>
      <c r="Q332" t="s">
        <v>259</v>
      </c>
      <c r="R332">
        <v>7</v>
      </c>
      <c r="AI332" t="s">
        <v>133</v>
      </c>
      <c r="AJ332">
        <v>91038</v>
      </c>
      <c r="AL332">
        <f>COUNTIF(AI:AI,AK332)</f>
        <v>0</v>
      </c>
      <c r="AM332">
        <f>SUMIF(AI:AI,AK332,AJ:AJ)</f>
        <v>0</v>
      </c>
      <c r="AP332" t="s">
        <v>20</v>
      </c>
      <c r="AQ332" t="s">
        <v>41</v>
      </c>
      <c r="BP332" t="s">
        <v>33</v>
      </c>
      <c r="BQ332" t="s">
        <v>452</v>
      </c>
      <c r="BR332">
        <f t="shared" si="62"/>
        <v>8</v>
      </c>
      <c r="BS332">
        <f t="shared" si="63"/>
        <v>2024</v>
      </c>
      <c r="BT332">
        <v>6</v>
      </c>
      <c r="BU332" t="str">
        <f t="shared" si="64"/>
        <v>2024-8</v>
      </c>
      <c r="BV332">
        <f t="shared" si="65"/>
        <v>0</v>
      </c>
      <c r="BX332" t="s">
        <v>27</v>
      </c>
      <c r="BY332" t="s">
        <v>258</v>
      </c>
      <c r="BZ332">
        <v>91038</v>
      </c>
      <c r="CA332">
        <f t="shared" si="66"/>
        <v>1</v>
      </c>
      <c r="CB332">
        <f t="shared" si="67"/>
        <v>2024</v>
      </c>
      <c r="CC332" t="str">
        <f t="shared" si="68"/>
        <v>2024-1</v>
      </c>
    </row>
    <row r="333" spans="1:81" x14ac:dyDescent="0.25">
      <c r="A333" t="s">
        <v>32</v>
      </c>
      <c r="B333" t="s">
        <v>65</v>
      </c>
      <c r="C333" t="s">
        <v>258</v>
      </c>
      <c r="D333">
        <v>32417</v>
      </c>
      <c r="E333">
        <v>2</v>
      </c>
      <c r="P333" t="s">
        <v>10</v>
      </c>
      <c r="Q333" t="s">
        <v>95</v>
      </c>
      <c r="R333">
        <v>9</v>
      </c>
      <c r="AI333" t="s">
        <v>65</v>
      </c>
      <c r="AJ333">
        <v>32417</v>
      </c>
      <c r="AL333">
        <f>COUNTIF(AI:AI,AK333)</f>
        <v>0</v>
      </c>
      <c r="AM333">
        <f>SUMIF(AI:AI,AK333,AJ:AJ)</f>
        <v>0</v>
      </c>
      <c r="AP333" t="s">
        <v>36</v>
      </c>
      <c r="AQ333" t="s">
        <v>47</v>
      </c>
      <c r="BP333" t="s">
        <v>33</v>
      </c>
      <c r="BQ333" t="s">
        <v>452</v>
      </c>
      <c r="BR333">
        <f t="shared" si="62"/>
        <v>8</v>
      </c>
      <c r="BS333">
        <f t="shared" si="63"/>
        <v>2024</v>
      </c>
      <c r="BT333">
        <v>2</v>
      </c>
      <c r="BU333" t="str">
        <f t="shared" si="64"/>
        <v>2024-8</v>
      </c>
      <c r="BV333">
        <f t="shared" si="65"/>
        <v>0</v>
      </c>
      <c r="BX333" t="s">
        <v>32</v>
      </c>
      <c r="BY333" t="s">
        <v>258</v>
      </c>
      <c r="BZ333">
        <v>32417</v>
      </c>
      <c r="CA333">
        <f t="shared" si="66"/>
        <v>1</v>
      </c>
      <c r="CB333">
        <f t="shared" si="67"/>
        <v>2024</v>
      </c>
      <c r="CC333" t="str">
        <f t="shared" si="68"/>
        <v>2024-1</v>
      </c>
    </row>
    <row r="334" spans="1:81" x14ac:dyDescent="0.25">
      <c r="A334" t="s">
        <v>10</v>
      </c>
      <c r="B334" t="s">
        <v>69</v>
      </c>
      <c r="C334" t="s">
        <v>258</v>
      </c>
      <c r="D334">
        <v>81410</v>
      </c>
      <c r="E334">
        <v>5</v>
      </c>
      <c r="P334" t="s">
        <v>27</v>
      </c>
      <c r="Q334" t="s">
        <v>173</v>
      </c>
      <c r="R334">
        <v>4</v>
      </c>
      <c r="AI334" t="s">
        <v>69</v>
      </c>
      <c r="AJ334">
        <v>81410</v>
      </c>
      <c r="AL334">
        <f>COUNTIF(AI:AI,AK334)</f>
        <v>0</v>
      </c>
      <c r="AM334">
        <f>SUMIF(AI:AI,AK334,AJ:AJ)</f>
        <v>0</v>
      </c>
      <c r="AP334" t="s">
        <v>12</v>
      </c>
      <c r="AQ334" t="s">
        <v>125</v>
      </c>
      <c r="BP334" t="s">
        <v>33</v>
      </c>
      <c r="BQ334" t="s">
        <v>454</v>
      </c>
      <c r="BR334">
        <f t="shared" si="62"/>
        <v>8</v>
      </c>
      <c r="BS334">
        <f t="shared" si="63"/>
        <v>2024</v>
      </c>
      <c r="BT334">
        <v>5</v>
      </c>
      <c r="BU334" t="str">
        <f t="shared" si="64"/>
        <v>2024-8</v>
      </c>
      <c r="BV334">
        <f t="shared" si="65"/>
        <v>0</v>
      </c>
      <c r="BX334" t="s">
        <v>10</v>
      </c>
      <c r="BY334" t="s">
        <v>258</v>
      </c>
      <c r="BZ334">
        <v>81410</v>
      </c>
      <c r="CA334">
        <f t="shared" si="66"/>
        <v>1</v>
      </c>
      <c r="CB334">
        <f t="shared" si="67"/>
        <v>2024</v>
      </c>
      <c r="CC334" t="str">
        <f t="shared" si="68"/>
        <v>2024-1</v>
      </c>
    </row>
    <row r="335" spans="1:81" x14ac:dyDescent="0.25">
      <c r="A335" t="s">
        <v>17</v>
      </c>
      <c r="B335" t="s">
        <v>259</v>
      </c>
      <c r="C335" t="s">
        <v>258</v>
      </c>
      <c r="D335">
        <v>43010</v>
      </c>
      <c r="E335">
        <v>7</v>
      </c>
      <c r="P335" t="s">
        <v>36</v>
      </c>
      <c r="Q335" t="s">
        <v>54</v>
      </c>
      <c r="R335">
        <v>10</v>
      </c>
      <c r="AI335" t="s">
        <v>259</v>
      </c>
      <c r="AJ335">
        <v>43010</v>
      </c>
      <c r="AL335">
        <f>COUNTIF(AI:AI,AK335)</f>
        <v>0</v>
      </c>
      <c r="AM335">
        <f>SUMIF(AI:AI,AK335,AJ:AJ)</f>
        <v>0</v>
      </c>
      <c r="AP335" t="s">
        <v>32</v>
      </c>
      <c r="AQ335" t="s">
        <v>18</v>
      </c>
      <c r="BP335" t="s">
        <v>23</v>
      </c>
      <c r="BQ335" t="s">
        <v>16</v>
      </c>
      <c r="BR335">
        <f t="shared" si="62"/>
        <v>9</v>
      </c>
      <c r="BS335">
        <f t="shared" si="63"/>
        <v>2023</v>
      </c>
      <c r="BT335">
        <v>7</v>
      </c>
      <c r="BU335" t="str">
        <f t="shared" si="64"/>
        <v>2023-9</v>
      </c>
      <c r="BV335">
        <f t="shared" si="65"/>
        <v>1</v>
      </c>
      <c r="BX335" t="s">
        <v>17</v>
      </c>
      <c r="BY335" t="s">
        <v>258</v>
      </c>
      <c r="BZ335">
        <v>43010</v>
      </c>
      <c r="CA335">
        <f t="shared" si="66"/>
        <v>1</v>
      </c>
      <c r="CB335">
        <f t="shared" si="67"/>
        <v>2024</v>
      </c>
      <c r="CC335" t="str">
        <f t="shared" si="68"/>
        <v>2024-1</v>
      </c>
    </row>
    <row r="336" spans="1:81" x14ac:dyDescent="0.25">
      <c r="A336" t="s">
        <v>10</v>
      </c>
      <c r="B336" t="s">
        <v>95</v>
      </c>
      <c r="C336" t="s">
        <v>260</v>
      </c>
      <c r="D336">
        <v>18518</v>
      </c>
      <c r="E336">
        <v>9</v>
      </c>
      <c r="P336" t="s">
        <v>10</v>
      </c>
      <c r="Q336" t="s">
        <v>19</v>
      </c>
      <c r="R336">
        <v>8</v>
      </c>
      <c r="AI336" t="s">
        <v>95</v>
      </c>
      <c r="AJ336">
        <v>18518</v>
      </c>
      <c r="AL336">
        <f>COUNTIF(AI:AI,AK336)</f>
        <v>0</v>
      </c>
      <c r="AM336">
        <f>SUMIF(AI:AI,AK336,AJ:AJ)</f>
        <v>0</v>
      </c>
      <c r="AP336" t="s">
        <v>8</v>
      </c>
      <c r="AQ336" t="s">
        <v>136</v>
      </c>
      <c r="BP336" t="s">
        <v>23</v>
      </c>
      <c r="BQ336" t="s">
        <v>31</v>
      </c>
      <c r="BR336">
        <f t="shared" si="62"/>
        <v>9</v>
      </c>
      <c r="BS336">
        <f t="shared" si="63"/>
        <v>2023</v>
      </c>
      <c r="BT336">
        <v>9</v>
      </c>
      <c r="BU336" t="str">
        <f t="shared" si="64"/>
        <v>2023-9</v>
      </c>
      <c r="BV336">
        <f t="shared" si="65"/>
        <v>2</v>
      </c>
      <c r="BX336" t="s">
        <v>10</v>
      </c>
      <c r="BY336" t="s">
        <v>260</v>
      </c>
      <c r="BZ336">
        <v>18518</v>
      </c>
      <c r="CA336">
        <f t="shared" si="66"/>
        <v>1</v>
      </c>
      <c r="CB336">
        <f t="shared" si="67"/>
        <v>2024</v>
      </c>
      <c r="CC336" t="str">
        <f t="shared" si="68"/>
        <v>2024-1</v>
      </c>
    </row>
    <row r="337" spans="1:81" x14ac:dyDescent="0.25">
      <c r="A337" t="s">
        <v>27</v>
      </c>
      <c r="B337" t="s">
        <v>173</v>
      </c>
      <c r="C337" t="s">
        <v>260</v>
      </c>
      <c r="D337">
        <v>98171</v>
      </c>
      <c r="E337">
        <v>4</v>
      </c>
      <c r="P337" t="s">
        <v>5</v>
      </c>
      <c r="Q337" t="s">
        <v>144</v>
      </c>
      <c r="R337">
        <v>9</v>
      </c>
      <c r="AI337" t="s">
        <v>173</v>
      </c>
      <c r="AJ337">
        <v>98171</v>
      </c>
      <c r="AL337">
        <f>COUNTIF(AI:AI,AK337)</f>
        <v>0</v>
      </c>
      <c r="AM337">
        <f>SUMIF(AI:AI,AK337,AJ:AJ)</f>
        <v>0</v>
      </c>
      <c r="AP337" t="s">
        <v>14</v>
      </c>
      <c r="AQ337" t="s">
        <v>173</v>
      </c>
      <c r="BP337" t="s">
        <v>23</v>
      </c>
      <c r="BQ337" t="s">
        <v>43</v>
      </c>
      <c r="BR337">
        <f t="shared" si="62"/>
        <v>9</v>
      </c>
      <c r="BS337">
        <f t="shared" si="63"/>
        <v>2023</v>
      </c>
      <c r="BT337">
        <v>4</v>
      </c>
      <c r="BU337" t="str">
        <f t="shared" si="64"/>
        <v>2023-9</v>
      </c>
      <c r="BV337">
        <f t="shared" si="65"/>
        <v>0</v>
      </c>
      <c r="BX337" t="s">
        <v>27</v>
      </c>
      <c r="BY337" t="s">
        <v>260</v>
      </c>
      <c r="BZ337">
        <v>98171</v>
      </c>
      <c r="CA337">
        <f t="shared" si="66"/>
        <v>1</v>
      </c>
      <c r="CB337">
        <f t="shared" si="67"/>
        <v>2024</v>
      </c>
      <c r="CC337" t="str">
        <f t="shared" si="68"/>
        <v>2024-1</v>
      </c>
    </row>
    <row r="338" spans="1:81" x14ac:dyDescent="0.25">
      <c r="A338" t="s">
        <v>36</v>
      </c>
      <c r="B338" t="s">
        <v>54</v>
      </c>
      <c r="C338" t="s">
        <v>260</v>
      </c>
      <c r="D338">
        <v>52592</v>
      </c>
      <c r="E338">
        <v>10</v>
      </c>
      <c r="P338" t="s">
        <v>36</v>
      </c>
      <c r="Q338" t="s">
        <v>184</v>
      </c>
      <c r="R338">
        <v>2</v>
      </c>
      <c r="AI338" t="s">
        <v>54</v>
      </c>
      <c r="AJ338">
        <v>52592</v>
      </c>
      <c r="AL338">
        <f>COUNTIF(AI:AI,AK338)</f>
        <v>0</v>
      </c>
      <c r="AM338">
        <f>SUMIF(AI:AI,AK338,AJ:AJ)</f>
        <v>0</v>
      </c>
      <c r="AP338" t="s">
        <v>17</v>
      </c>
      <c r="AQ338" t="s">
        <v>69</v>
      </c>
      <c r="BP338" t="s">
        <v>23</v>
      </c>
      <c r="BQ338" t="s">
        <v>43</v>
      </c>
      <c r="BR338">
        <f t="shared" si="62"/>
        <v>9</v>
      </c>
      <c r="BS338">
        <f t="shared" si="63"/>
        <v>2023</v>
      </c>
      <c r="BT338">
        <v>10</v>
      </c>
      <c r="BU338" t="str">
        <f t="shared" si="64"/>
        <v>2023-9</v>
      </c>
      <c r="BV338">
        <f t="shared" si="65"/>
        <v>2</v>
      </c>
      <c r="BX338" t="s">
        <v>36</v>
      </c>
      <c r="BY338" t="s">
        <v>260</v>
      </c>
      <c r="BZ338">
        <v>52592</v>
      </c>
      <c r="CA338">
        <f t="shared" si="66"/>
        <v>1</v>
      </c>
      <c r="CB338">
        <f t="shared" si="67"/>
        <v>2024</v>
      </c>
      <c r="CC338" t="str">
        <f t="shared" si="68"/>
        <v>2024-1</v>
      </c>
    </row>
    <row r="339" spans="1:81" x14ac:dyDescent="0.25">
      <c r="A339" t="s">
        <v>10</v>
      </c>
      <c r="B339" t="s">
        <v>19</v>
      </c>
      <c r="C339" t="s">
        <v>260</v>
      </c>
      <c r="D339">
        <v>86298</v>
      </c>
      <c r="E339">
        <v>8</v>
      </c>
      <c r="P339" t="s">
        <v>10</v>
      </c>
      <c r="Q339" t="s">
        <v>156</v>
      </c>
      <c r="R339">
        <v>7</v>
      </c>
      <c r="AI339" t="s">
        <v>19</v>
      </c>
      <c r="AJ339">
        <v>86298</v>
      </c>
      <c r="AL339">
        <f>COUNTIF(AI:AI,AK339)</f>
        <v>0</v>
      </c>
      <c r="AM339">
        <f>SUMIF(AI:AI,AK339,AJ:AJ)</f>
        <v>0</v>
      </c>
      <c r="AP339" t="s">
        <v>27</v>
      </c>
      <c r="AQ339" t="s">
        <v>231</v>
      </c>
      <c r="BP339" t="s">
        <v>23</v>
      </c>
      <c r="BQ339" t="s">
        <v>49</v>
      </c>
      <c r="BR339">
        <f t="shared" si="62"/>
        <v>9</v>
      </c>
      <c r="BS339">
        <f t="shared" si="63"/>
        <v>2023</v>
      </c>
      <c r="BT339">
        <v>8</v>
      </c>
      <c r="BU339" t="str">
        <f t="shared" si="64"/>
        <v>2023-9</v>
      </c>
      <c r="BV339">
        <f t="shared" si="65"/>
        <v>1</v>
      </c>
      <c r="BX339" t="s">
        <v>10</v>
      </c>
      <c r="BY339" t="s">
        <v>260</v>
      </c>
      <c r="BZ339">
        <v>86298</v>
      </c>
      <c r="CA339">
        <f t="shared" si="66"/>
        <v>1</v>
      </c>
      <c r="CB339">
        <f t="shared" si="67"/>
        <v>2024</v>
      </c>
      <c r="CC339" t="str">
        <f t="shared" si="68"/>
        <v>2024-1</v>
      </c>
    </row>
    <row r="340" spans="1:81" x14ac:dyDescent="0.25">
      <c r="A340" t="s">
        <v>5</v>
      </c>
      <c r="B340" t="s">
        <v>144</v>
      </c>
      <c r="C340" t="s">
        <v>260</v>
      </c>
      <c r="D340">
        <v>24625</v>
      </c>
      <c r="E340">
        <v>9</v>
      </c>
      <c r="P340" t="s">
        <v>20</v>
      </c>
      <c r="Q340" t="s">
        <v>58</v>
      </c>
      <c r="R340">
        <v>7</v>
      </c>
      <c r="AI340" t="s">
        <v>144</v>
      </c>
      <c r="AJ340">
        <v>24625</v>
      </c>
      <c r="AL340">
        <f>COUNTIF(AI:AI,AK340)</f>
        <v>0</v>
      </c>
      <c r="AM340">
        <f>SUMIF(AI:AI,AK340,AJ:AJ)</f>
        <v>0</v>
      </c>
      <c r="AP340" t="s">
        <v>33</v>
      </c>
      <c r="AQ340" t="s">
        <v>47</v>
      </c>
      <c r="BP340" t="s">
        <v>23</v>
      </c>
      <c r="BQ340" t="s">
        <v>49</v>
      </c>
      <c r="BR340">
        <f t="shared" si="62"/>
        <v>9</v>
      </c>
      <c r="BS340">
        <f t="shared" si="63"/>
        <v>2023</v>
      </c>
      <c r="BT340">
        <v>9</v>
      </c>
      <c r="BU340" t="str">
        <f t="shared" si="64"/>
        <v>2023-9</v>
      </c>
      <c r="BV340">
        <f t="shared" si="65"/>
        <v>2</v>
      </c>
      <c r="BX340" t="s">
        <v>5</v>
      </c>
      <c r="BY340" t="s">
        <v>260</v>
      </c>
      <c r="BZ340">
        <v>24625</v>
      </c>
      <c r="CA340">
        <f t="shared" si="66"/>
        <v>1</v>
      </c>
      <c r="CB340">
        <f t="shared" si="67"/>
        <v>2024</v>
      </c>
      <c r="CC340" t="str">
        <f t="shared" si="68"/>
        <v>2024-1</v>
      </c>
    </row>
    <row r="341" spans="1:81" x14ac:dyDescent="0.25">
      <c r="A341" t="s">
        <v>36</v>
      </c>
      <c r="B341" t="s">
        <v>184</v>
      </c>
      <c r="C341" t="s">
        <v>261</v>
      </c>
      <c r="D341">
        <v>25423</v>
      </c>
      <c r="E341">
        <v>2</v>
      </c>
      <c r="P341" t="s">
        <v>33</v>
      </c>
      <c r="Q341" t="s">
        <v>263</v>
      </c>
      <c r="R341">
        <v>8</v>
      </c>
      <c r="AI341" t="s">
        <v>184</v>
      </c>
      <c r="AJ341">
        <v>25423</v>
      </c>
      <c r="AL341">
        <f>COUNTIF(AI:AI,AK341)</f>
        <v>0</v>
      </c>
      <c r="AM341">
        <f>SUMIF(AI:AI,AK341,AJ:AJ)</f>
        <v>0</v>
      </c>
      <c r="AP341" t="s">
        <v>27</v>
      </c>
      <c r="AQ341" t="s">
        <v>165</v>
      </c>
      <c r="BP341" t="s">
        <v>23</v>
      </c>
      <c r="BQ341" t="s">
        <v>49</v>
      </c>
      <c r="BR341">
        <f t="shared" si="62"/>
        <v>9</v>
      </c>
      <c r="BS341">
        <f t="shared" si="63"/>
        <v>2023</v>
      </c>
      <c r="BT341">
        <v>2</v>
      </c>
      <c r="BU341" t="str">
        <f t="shared" si="64"/>
        <v>2023-9</v>
      </c>
      <c r="BV341">
        <f t="shared" si="65"/>
        <v>0</v>
      </c>
      <c r="BX341" t="s">
        <v>36</v>
      </c>
      <c r="BY341" t="s">
        <v>261</v>
      </c>
      <c r="BZ341">
        <v>25423</v>
      </c>
      <c r="CA341">
        <f t="shared" si="66"/>
        <v>1</v>
      </c>
      <c r="CB341">
        <f t="shared" si="67"/>
        <v>2024</v>
      </c>
      <c r="CC341" t="str">
        <f t="shared" si="68"/>
        <v>2024-1</v>
      </c>
    </row>
    <row r="342" spans="1:81" x14ac:dyDescent="0.25">
      <c r="A342" t="s">
        <v>10</v>
      </c>
      <c r="B342" t="s">
        <v>156</v>
      </c>
      <c r="C342" t="s">
        <v>262</v>
      </c>
      <c r="D342">
        <v>10391</v>
      </c>
      <c r="E342">
        <v>7</v>
      </c>
      <c r="P342" t="s">
        <v>23</v>
      </c>
      <c r="Q342" t="s">
        <v>256</v>
      </c>
      <c r="R342">
        <v>1</v>
      </c>
      <c r="AI342" t="s">
        <v>156</v>
      </c>
      <c r="AJ342">
        <v>10391</v>
      </c>
      <c r="AL342">
        <f>COUNTIF(AI:AI,AK342)</f>
        <v>0</v>
      </c>
      <c r="AM342">
        <f>SUMIF(AI:AI,AK342,AJ:AJ)</f>
        <v>0</v>
      </c>
      <c r="AP342" t="s">
        <v>17</v>
      </c>
      <c r="AQ342" t="s">
        <v>74</v>
      </c>
      <c r="BP342" t="s">
        <v>23</v>
      </c>
      <c r="BQ342" t="s">
        <v>59</v>
      </c>
      <c r="BR342">
        <f t="shared" si="62"/>
        <v>9</v>
      </c>
      <c r="BS342">
        <f t="shared" si="63"/>
        <v>2023</v>
      </c>
      <c r="BT342">
        <v>7</v>
      </c>
      <c r="BU342" t="str">
        <f t="shared" si="64"/>
        <v>2023-9</v>
      </c>
      <c r="BV342">
        <f t="shared" si="65"/>
        <v>1</v>
      </c>
      <c r="BX342" t="s">
        <v>10</v>
      </c>
      <c r="BY342" t="s">
        <v>262</v>
      </c>
      <c r="BZ342">
        <v>10391</v>
      </c>
      <c r="CA342">
        <f t="shared" si="66"/>
        <v>1</v>
      </c>
      <c r="CB342">
        <f t="shared" si="67"/>
        <v>2024</v>
      </c>
      <c r="CC342" t="str">
        <f t="shared" si="68"/>
        <v>2024-1</v>
      </c>
    </row>
    <row r="343" spans="1:81" x14ac:dyDescent="0.25">
      <c r="A343" t="s">
        <v>20</v>
      </c>
      <c r="B343" t="s">
        <v>58</v>
      </c>
      <c r="C343" t="s">
        <v>262</v>
      </c>
      <c r="D343">
        <v>85152</v>
      </c>
      <c r="E343">
        <v>7</v>
      </c>
      <c r="P343" t="s">
        <v>33</v>
      </c>
      <c r="Q343" t="s">
        <v>42</v>
      </c>
      <c r="R343">
        <v>6</v>
      </c>
      <c r="AI343" t="s">
        <v>58</v>
      </c>
      <c r="AJ343">
        <v>85152</v>
      </c>
      <c r="AL343">
        <f>COUNTIF(AI:AI,AK343)</f>
        <v>0</v>
      </c>
      <c r="AM343">
        <f>SUMIF(AI:AI,AK343,AJ:AJ)</f>
        <v>0</v>
      </c>
      <c r="AP343" t="s">
        <v>10</v>
      </c>
      <c r="AQ343" t="s">
        <v>121</v>
      </c>
      <c r="BP343" t="s">
        <v>23</v>
      </c>
      <c r="BQ343" t="s">
        <v>64</v>
      </c>
      <c r="BR343">
        <f t="shared" ref="BR343:BR406" si="69">MONTH(BQ343)</f>
        <v>9</v>
      </c>
      <c r="BS343">
        <f t="shared" si="63"/>
        <v>2023</v>
      </c>
      <c r="BT343">
        <v>7</v>
      </c>
      <c r="BU343" t="str">
        <f t="shared" si="64"/>
        <v>2023-9</v>
      </c>
      <c r="BV343">
        <f t="shared" si="65"/>
        <v>1</v>
      </c>
      <c r="BX343" t="s">
        <v>20</v>
      </c>
      <c r="BY343" t="s">
        <v>262</v>
      </c>
      <c r="BZ343">
        <v>85152</v>
      </c>
      <c r="CA343">
        <f t="shared" si="66"/>
        <v>1</v>
      </c>
      <c r="CB343">
        <f t="shared" si="67"/>
        <v>2024</v>
      </c>
      <c r="CC343" t="str">
        <f t="shared" si="68"/>
        <v>2024-1</v>
      </c>
    </row>
    <row r="344" spans="1:81" x14ac:dyDescent="0.25">
      <c r="A344" t="s">
        <v>33</v>
      </c>
      <c r="B344" t="s">
        <v>263</v>
      </c>
      <c r="C344" t="s">
        <v>264</v>
      </c>
      <c r="D344">
        <v>79719</v>
      </c>
      <c r="E344">
        <v>8</v>
      </c>
      <c r="P344" t="s">
        <v>27</v>
      </c>
      <c r="Q344" t="s">
        <v>142</v>
      </c>
      <c r="R344">
        <v>5</v>
      </c>
      <c r="AI344" t="s">
        <v>263</v>
      </c>
      <c r="AJ344">
        <v>79719</v>
      </c>
      <c r="AL344">
        <f>COUNTIF(AI:AI,AK344)</f>
        <v>0</v>
      </c>
      <c r="AM344">
        <f>SUMIF(AI:AI,AK344,AJ:AJ)</f>
        <v>0</v>
      </c>
      <c r="AP344" t="s">
        <v>27</v>
      </c>
      <c r="AQ344" t="s">
        <v>84</v>
      </c>
      <c r="BP344" t="s">
        <v>23</v>
      </c>
      <c r="BQ344" t="s">
        <v>66</v>
      </c>
      <c r="BR344">
        <f t="shared" si="69"/>
        <v>9</v>
      </c>
      <c r="BS344">
        <f t="shared" si="63"/>
        <v>2023</v>
      </c>
      <c r="BT344">
        <v>8</v>
      </c>
      <c r="BU344" t="str">
        <f t="shared" si="64"/>
        <v>2023-9</v>
      </c>
      <c r="BV344">
        <f t="shared" si="65"/>
        <v>1</v>
      </c>
      <c r="BX344" t="s">
        <v>33</v>
      </c>
      <c r="BY344" t="s">
        <v>264</v>
      </c>
      <c r="BZ344">
        <v>79719</v>
      </c>
      <c r="CA344">
        <f t="shared" si="66"/>
        <v>1</v>
      </c>
      <c r="CB344">
        <f t="shared" si="67"/>
        <v>2024</v>
      </c>
      <c r="CC344" t="str">
        <f t="shared" si="68"/>
        <v>2024-1</v>
      </c>
    </row>
    <row r="345" spans="1:81" x14ac:dyDescent="0.25">
      <c r="A345" t="s">
        <v>23</v>
      </c>
      <c r="B345" t="s">
        <v>256</v>
      </c>
      <c r="C345" t="s">
        <v>264</v>
      </c>
      <c r="D345">
        <v>66404</v>
      </c>
      <c r="E345">
        <v>1</v>
      </c>
      <c r="P345" t="s">
        <v>36</v>
      </c>
      <c r="Q345" t="s">
        <v>19</v>
      </c>
      <c r="R345">
        <v>9</v>
      </c>
      <c r="AI345" t="s">
        <v>256</v>
      </c>
      <c r="AJ345">
        <v>66404</v>
      </c>
      <c r="AL345">
        <f>COUNTIF(AI:AI,AK345)</f>
        <v>0</v>
      </c>
      <c r="AM345">
        <f>SUMIF(AI:AI,AK345,AJ:AJ)</f>
        <v>0</v>
      </c>
      <c r="AP345" t="s">
        <v>17</v>
      </c>
      <c r="AQ345" t="s">
        <v>274</v>
      </c>
      <c r="BP345" t="s">
        <v>23</v>
      </c>
      <c r="BQ345" t="s">
        <v>102</v>
      </c>
      <c r="BR345">
        <f t="shared" si="69"/>
        <v>10</v>
      </c>
      <c r="BS345">
        <f t="shared" si="63"/>
        <v>2023</v>
      </c>
      <c r="BT345">
        <v>1</v>
      </c>
      <c r="BU345" t="str">
        <f t="shared" si="64"/>
        <v>2023-10</v>
      </c>
      <c r="BV345">
        <f t="shared" si="65"/>
        <v>0</v>
      </c>
      <c r="BX345" t="s">
        <v>23</v>
      </c>
      <c r="BY345" t="s">
        <v>264</v>
      </c>
      <c r="BZ345">
        <v>66404</v>
      </c>
      <c r="CA345">
        <f t="shared" si="66"/>
        <v>1</v>
      </c>
      <c r="CB345">
        <f t="shared" si="67"/>
        <v>2024</v>
      </c>
      <c r="CC345" t="str">
        <f t="shared" si="68"/>
        <v>2024-1</v>
      </c>
    </row>
    <row r="346" spans="1:81" x14ac:dyDescent="0.25">
      <c r="A346" t="s">
        <v>33</v>
      </c>
      <c r="B346" t="s">
        <v>42</v>
      </c>
      <c r="C346" t="s">
        <v>264</v>
      </c>
      <c r="D346">
        <v>96261</v>
      </c>
      <c r="E346">
        <v>6</v>
      </c>
      <c r="P346" t="s">
        <v>33</v>
      </c>
      <c r="Q346" t="s">
        <v>116</v>
      </c>
      <c r="R346">
        <v>8</v>
      </c>
      <c r="AI346" t="s">
        <v>42</v>
      </c>
      <c r="AJ346">
        <v>96261</v>
      </c>
      <c r="AL346">
        <f>COUNTIF(AI:AI,AK346)</f>
        <v>0</v>
      </c>
      <c r="AM346">
        <f>SUMIF(AI:AI,AK346,AJ:AJ)</f>
        <v>0</v>
      </c>
      <c r="AP346" t="s">
        <v>10</v>
      </c>
      <c r="AQ346" t="s">
        <v>222</v>
      </c>
      <c r="BP346" t="s">
        <v>23</v>
      </c>
      <c r="BQ346" t="s">
        <v>102</v>
      </c>
      <c r="BR346">
        <f t="shared" si="69"/>
        <v>10</v>
      </c>
      <c r="BS346">
        <f t="shared" si="63"/>
        <v>2023</v>
      </c>
      <c r="BT346">
        <v>6</v>
      </c>
      <c r="BU346" t="str">
        <f t="shared" si="64"/>
        <v>2023-10</v>
      </c>
      <c r="BV346">
        <f t="shared" si="65"/>
        <v>0</v>
      </c>
      <c r="BX346" t="s">
        <v>33</v>
      </c>
      <c r="BY346" t="s">
        <v>264</v>
      </c>
      <c r="BZ346">
        <v>96261</v>
      </c>
      <c r="CA346">
        <f t="shared" si="66"/>
        <v>1</v>
      </c>
      <c r="CB346">
        <f t="shared" si="67"/>
        <v>2024</v>
      </c>
      <c r="CC346" t="str">
        <f t="shared" si="68"/>
        <v>2024-1</v>
      </c>
    </row>
    <row r="347" spans="1:81" x14ac:dyDescent="0.25">
      <c r="A347" t="s">
        <v>27</v>
      </c>
      <c r="B347" t="s">
        <v>142</v>
      </c>
      <c r="C347" t="s">
        <v>265</v>
      </c>
      <c r="D347">
        <v>29595</v>
      </c>
      <c r="E347">
        <v>5</v>
      </c>
      <c r="P347" t="s">
        <v>32</v>
      </c>
      <c r="Q347" t="s">
        <v>263</v>
      </c>
      <c r="R347">
        <v>8</v>
      </c>
      <c r="AI347" t="s">
        <v>142</v>
      </c>
      <c r="AJ347">
        <v>29595</v>
      </c>
      <c r="AL347">
        <f>COUNTIF(AI:AI,AK347)</f>
        <v>0</v>
      </c>
      <c r="AM347">
        <f>SUMIF(AI:AI,AK347,AJ:AJ)</f>
        <v>0</v>
      </c>
      <c r="AP347" t="s">
        <v>27</v>
      </c>
      <c r="AQ347" t="s">
        <v>129</v>
      </c>
      <c r="BP347" t="s">
        <v>23</v>
      </c>
      <c r="BQ347" t="s">
        <v>108</v>
      </c>
      <c r="BR347">
        <f t="shared" si="69"/>
        <v>10</v>
      </c>
      <c r="BS347">
        <f t="shared" si="63"/>
        <v>2023</v>
      </c>
      <c r="BT347">
        <v>5</v>
      </c>
      <c r="BU347" t="str">
        <f t="shared" si="64"/>
        <v>2023-10</v>
      </c>
      <c r="BV347">
        <f t="shared" si="65"/>
        <v>0</v>
      </c>
      <c r="BX347" t="s">
        <v>27</v>
      </c>
      <c r="BY347" t="s">
        <v>265</v>
      </c>
      <c r="BZ347">
        <v>29595</v>
      </c>
      <c r="CA347">
        <f t="shared" si="66"/>
        <v>1</v>
      </c>
      <c r="CB347">
        <f t="shared" si="67"/>
        <v>2024</v>
      </c>
      <c r="CC347" t="str">
        <f t="shared" si="68"/>
        <v>2024-1</v>
      </c>
    </row>
    <row r="348" spans="1:81" x14ac:dyDescent="0.25">
      <c r="A348" t="s">
        <v>36</v>
      </c>
      <c r="B348" t="s">
        <v>19</v>
      </c>
      <c r="C348" t="s">
        <v>265</v>
      </c>
      <c r="D348">
        <v>55948</v>
      </c>
      <c r="E348">
        <v>9</v>
      </c>
      <c r="P348" t="s">
        <v>10</v>
      </c>
      <c r="Q348" t="s">
        <v>213</v>
      </c>
      <c r="R348">
        <v>9</v>
      </c>
      <c r="AI348" t="s">
        <v>19</v>
      </c>
      <c r="AJ348">
        <v>55948</v>
      </c>
      <c r="AL348">
        <f>COUNTIF(AI:AI,AK348)</f>
        <v>0</v>
      </c>
      <c r="AM348">
        <f>SUMIF(AI:AI,AK348,AJ:AJ)</f>
        <v>0</v>
      </c>
      <c r="AP348" t="s">
        <v>33</v>
      </c>
      <c r="AQ348" t="s">
        <v>225</v>
      </c>
      <c r="BP348" t="s">
        <v>23</v>
      </c>
      <c r="BQ348" t="s">
        <v>117</v>
      </c>
      <c r="BR348">
        <f t="shared" si="69"/>
        <v>10</v>
      </c>
      <c r="BS348">
        <f t="shared" si="63"/>
        <v>2023</v>
      </c>
      <c r="BT348">
        <v>9</v>
      </c>
      <c r="BU348" t="str">
        <f t="shared" si="64"/>
        <v>2023-10</v>
      </c>
      <c r="BV348">
        <f t="shared" si="65"/>
        <v>2</v>
      </c>
      <c r="BX348" t="s">
        <v>36</v>
      </c>
      <c r="BY348" t="s">
        <v>265</v>
      </c>
      <c r="BZ348">
        <v>55948</v>
      </c>
      <c r="CA348">
        <f t="shared" si="66"/>
        <v>1</v>
      </c>
      <c r="CB348">
        <f t="shared" si="67"/>
        <v>2024</v>
      </c>
      <c r="CC348" t="str">
        <f t="shared" si="68"/>
        <v>2024-1</v>
      </c>
    </row>
    <row r="349" spans="1:81" x14ac:dyDescent="0.25">
      <c r="A349" t="s">
        <v>33</v>
      </c>
      <c r="B349" t="s">
        <v>116</v>
      </c>
      <c r="C349" t="s">
        <v>265</v>
      </c>
      <c r="D349">
        <v>66111</v>
      </c>
      <c r="E349">
        <v>8</v>
      </c>
      <c r="P349" t="s">
        <v>14</v>
      </c>
      <c r="Q349" t="s">
        <v>148</v>
      </c>
      <c r="R349">
        <v>6</v>
      </c>
      <c r="AI349" t="s">
        <v>116</v>
      </c>
      <c r="AJ349">
        <v>66111</v>
      </c>
      <c r="AL349">
        <f>COUNTIF(AI:AI,AK349)</f>
        <v>0</v>
      </c>
      <c r="AM349">
        <f>SUMIF(AI:AI,AK349,AJ:AJ)</f>
        <v>0</v>
      </c>
      <c r="AP349" t="s">
        <v>8</v>
      </c>
      <c r="AQ349" t="s">
        <v>276</v>
      </c>
      <c r="BP349" t="s">
        <v>23</v>
      </c>
      <c r="BQ349" t="s">
        <v>130</v>
      </c>
      <c r="BR349">
        <f t="shared" si="69"/>
        <v>10</v>
      </c>
      <c r="BS349">
        <f t="shared" si="63"/>
        <v>2023</v>
      </c>
      <c r="BT349">
        <v>8</v>
      </c>
      <c r="BU349" t="str">
        <f t="shared" si="64"/>
        <v>2023-10</v>
      </c>
      <c r="BV349">
        <f t="shared" si="65"/>
        <v>1</v>
      </c>
      <c r="BX349" t="s">
        <v>33</v>
      </c>
      <c r="BY349" t="s">
        <v>265</v>
      </c>
      <c r="BZ349">
        <v>66111</v>
      </c>
      <c r="CA349">
        <f t="shared" si="66"/>
        <v>1</v>
      </c>
      <c r="CB349">
        <f t="shared" si="67"/>
        <v>2024</v>
      </c>
      <c r="CC349" t="str">
        <f t="shared" si="68"/>
        <v>2024-1</v>
      </c>
    </row>
    <row r="350" spans="1:81" x14ac:dyDescent="0.25">
      <c r="A350" t="s">
        <v>32</v>
      </c>
      <c r="B350" t="s">
        <v>263</v>
      </c>
      <c r="C350" t="s">
        <v>265</v>
      </c>
      <c r="D350">
        <v>14657</v>
      </c>
      <c r="E350">
        <v>8</v>
      </c>
      <c r="P350" t="s">
        <v>8</v>
      </c>
      <c r="Q350" t="s">
        <v>266</v>
      </c>
      <c r="R350">
        <v>7</v>
      </c>
      <c r="AI350" t="s">
        <v>263</v>
      </c>
      <c r="AJ350">
        <v>14657</v>
      </c>
      <c r="AL350">
        <f>COUNTIF(AI:AI,AK350)</f>
        <v>0</v>
      </c>
      <c r="AM350">
        <f>SUMIF(AI:AI,AK350,AJ:AJ)</f>
        <v>0</v>
      </c>
      <c r="AP350" t="s">
        <v>32</v>
      </c>
      <c r="AQ350" t="s">
        <v>278</v>
      </c>
      <c r="BP350" t="s">
        <v>23</v>
      </c>
      <c r="BQ350" t="s">
        <v>134</v>
      </c>
      <c r="BR350">
        <f t="shared" si="69"/>
        <v>10</v>
      </c>
      <c r="BS350">
        <f t="shared" si="63"/>
        <v>2023</v>
      </c>
      <c r="BT350">
        <v>8</v>
      </c>
      <c r="BU350" t="str">
        <f t="shared" si="64"/>
        <v>2023-10</v>
      </c>
      <c r="BV350">
        <f t="shared" si="65"/>
        <v>1</v>
      </c>
      <c r="BX350" t="s">
        <v>32</v>
      </c>
      <c r="BY350" t="s">
        <v>265</v>
      </c>
      <c r="BZ350">
        <v>14657</v>
      </c>
      <c r="CA350">
        <f t="shared" si="66"/>
        <v>1</v>
      </c>
      <c r="CB350">
        <f t="shared" si="67"/>
        <v>2024</v>
      </c>
      <c r="CC350" t="str">
        <f t="shared" si="68"/>
        <v>2024-1</v>
      </c>
    </row>
    <row r="351" spans="1:81" x14ac:dyDescent="0.25">
      <c r="A351" t="s">
        <v>10</v>
      </c>
      <c r="B351" t="s">
        <v>213</v>
      </c>
      <c r="C351" t="s">
        <v>265</v>
      </c>
      <c r="D351">
        <v>78057</v>
      </c>
      <c r="E351">
        <v>9</v>
      </c>
      <c r="P351" t="s">
        <v>17</v>
      </c>
      <c r="Q351" t="s">
        <v>254</v>
      </c>
      <c r="R351">
        <v>9</v>
      </c>
      <c r="AI351" t="s">
        <v>213</v>
      </c>
      <c r="AJ351">
        <v>78057</v>
      </c>
      <c r="AL351">
        <f>COUNTIF(AI:AI,AK351)</f>
        <v>0</v>
      </c>
      <c r="AM351">
        <f>SUMIF(AI:AI,AK351,AJ:AJ)</f>
        <v>0</v>
      </c>
      <c r="AP351" t="s">
        <v>33</v>
      </c>
      <c r="AQ351" t="s">
        <v>30</v>
      </c>
      <c r="BP351" t="s">
        <v>23</v>
      </c>
      <c r="BQ351" t="s">
        <v>141</v>
      </c>
      <c r="BR351">
        <f t="shared" si="69"/>
        <v>10</v>
      </c>
      <c r="BS351">
        <f t="shared" si="63"/>
        <v>2023</v>
      </c>
      <c r="BT351">
        <v>9</v>
      </c>
      <c r="BU351" t="str">
        <f t="shared" si="64"/>
        <v>2023-10</v>
      </c>
      <c r="BV351">
        <f t="shared" si="65"/>
        <v>2</v>
      </c>
      <c r="BX351" t="s">
        <v>10</v>
      </c>
      <c r="BY351" t="s">
        <v>265</v>
      </c>
      <c r="BZ351">
        <v>78057</v>
      </c>
      <c r="CA351">
        <f t="shared" si="66"/>
        <v>1</v>
      </c>
      <c r="CB351">
        <f t="shared" si="67"/>
        <v>2024</v>
      </c>
      <c r="CC351" t="str">
        <f t="shared" si="68"/>
        <v>2024-1</v>
      </c>
    </row>
    <row r="352" spans="1:81" x14ac:dyDescent="0.25">
      <c r="A352" t="s">
        <v>14</v>
      </c>
      <c r="B352" t="s">
        <v>148</v>
      </c>
      <c r="C352" t="s">
        <v>265</v>
      </c>
      <c r="D352">
        <v>39487</v>
      </c>
      <c r="E352">
        <v>6</v>
      </c>
      <c r="P352" t="s">
        <v>8</v>
      </c>
      <c r="Q352" t="s">
        <v>229</v>
      </c>
      <c r="R352">
        <v>5</v>
      </c>
      <c r="AI352" t="s">
        <v>148</v>
      </c>
      <c r="AJ352">
        <v>39487</v>
      </c>
      <c r="AL352">
        <f>COUNTIF(AI:AI,AK352)</f>
        <v>0</v>
      </c>
      <c r="AM352">
        <f>SUMIF(AI:AI,AK352,AJ:AJ)</f>
        <v>0</v>
      </c>
      <c r="AP352" t="s">
        <v>10</v>
      </c>
      <c r="AQ352" t="s">
        <v>110</v>
      </c>
      <c r="BP352" t="s">
        <v>23</v>
      </c>
      <c r="BQ352" t="s">
        <v>146</v>
      </c>
      <c r="BR352">
        <f t="shared" si="69"/>
        <v>10</v>
      </c>
      <c r="BS352">
        <f t="shared" si="63"/>
        <v>2023</v>
      </c>
      <c r="BT352">
        <v>6</v>
      </c>
      <c r="BU352" t="str">
        <f t="shared" si="64"/>
        <v>2023-10</v>
      </c>
      <c r="BV352">
        <f t="shared" si="65"/>
        <v>0</v>
      </c>
      <c r="BX352" t="s">
        <v>14</v>
      </c>
      <c r="BY352" t="s">
        <v>265</v>
      </c>
      <c r="BZ352">
        <v>39487</v>
      </c>
      <c r="CA352">
        <f t="shared" si="66"/>
        <v>1</v>
      </c>
      <c r="CB352">
        <f t="shared" si="67"/>
        <v>2024</v>
      </c>
      <c r="CC352" t="str">
        <f t="shared" si="68"/>
        <v>2024-1</v>
      </c>
    </row>
    <row r="353" spans="1:81" x14ac:dyDescent="0.25">
      <c r="A353" t="s">
        <v>8</v>
      </c>
      <c r="B353" t="s">
        <v>266</v>
      </c>
      <c r="C353" t="s">
        <v>267</v>
      </c>
      <c r="D353">
        <v>43308</v>
      </c>
      <c r="E353">
        <v>7</v>
      </c>
      <c r="P353" t="s">
        <v>32</v>
      </c>
      <c r="Q353" t="s">
        <v>168</v>
      </c>
      <c r="R353">
        <v>8</v>
      </c>
      <c r="AI353" t="s">
        <v>266</v>
      </c>
      <c r="AJ353">
        <v>43308</v>
      </c>
      <c r="AL353">
        <f>COUNTIF(AI:AI,AK353)</f>
        <v>0</v>
      </c>
      <c r="AM353">
        <f>SUMIF(AI:AI,AK353,AJ:AJ)</f>
        <v>0</v>
      </c>
      <c r="AP353" t="s">
        <v>12</v>
      </c>
      <c r="AQ353" t="s">
        <v>279</v>
      </c>
      <c r="BP353" t="s">
        <v>23</v>
      </c>
      <c r="BQ353" t="s">
        <v>153</v>
      </c>
      <c r="BR353">
        <f t="shared" si="69"/>
        <v>10</v>
      </c>
      <c r="BS353">
        <f t="shared" si="63"/>
        <v>2023</v>
      </c>
      <c r="BT353">
        <v>7</v>
      </c>
      <c r="BU353" t="str">
        <f t="shared" si="64"/>
        <v>2023-10</v>
      </c>
      <c r="BV353">
        <f t="shared" si="65"/>
        <v>1</v>
      </c>
      <c r="BX353" t="s">
        <v>8</v>
      </c>
      <c r="BY353" t="s">
        <v>267</v>
      </c>
      <c r="BZ353">
        <v>43308</v>
      </c>
      <c r="CA353">
        <f t="shared" si="66"/>
        <v>1</v>
      </c>
      <c r="CB353">
        <f t="shared" si="67"/>
        <v>2024</v>
      </c>
      <c r="CC353" t="str">
        <f t="shared" si="68"/>
        <v>2024-1</v>
      </c>
    </row>
    <row r="354" spans="1:81" x14ac:dyDescent="0.25">
      <c r="A354" t="s">
        <v>17</v>
      </c>
      <c r="B354" t="s">
        <v>254</v>
      </c>
      <c r="C354" t="s">
        <v>268</v>
      </c>
      <c r="D354">
        <v>11819</v>
      </c>
      <c r="E354">
        <v>9</v>
      </c>
      <c r="P354" t="s">
        <v>20</v>
      </c>
      <c r="Q354" t="s">
        <v>87</v>
      </c>
      <c r="R354">
        <v>7</v>
      </c>
      <c r="AI354" t="s">
        <v>254</v>
      </c>
      <c r="AJ354">
        <v>11819</v>
      </c>
      <c r="AL354">
        <f>COUNTIF(AI:AI,AK354)</f>
        <v>0</v>
      </c>
      <c r="AM354">
        <f>SUMIF(AI:AI,AK354,AJ:AJ)</f>
        <v>0</v>
      </c>
      <c r="AP354" t="s">
        <v>36</v>
      </c>
      <c r="AQ354" t="s">
        <v>274</v>
      </c>
      <c r="BP354" t="s">
        <v>23</v>
      </c>
      <c r="BQ354" t="s">
        <v>160</v>
      </c>
      <c r="BR354">
        <f t="shared" si="69"/>
        <v>11</v>
      </c>
      <c r="BS354">
        <f t="shared" si="63"/>
        <v>2023</v>
      </c>
      <c r="BT354">
        <v>9</v>
      </c>
      <c r="BU354" t="str">
        <f t="shared" si="64"/>
        <v>2023-11</v>
      </c>
      <c r="BV354">
        <f t="shared" si="65"/>
        <v>2</v>
      </c>
      <c r="BX354" t="s">
        <v>17</v>
      </c>
      <c r="BY354" t="s">
        <v>268</v>
      </c>
      <c r="BZ354">
        <v>11819</v>
      </c>
      <c r="CA354">
        <f t="shared" si="66"/>
        <v>1</v>
      </c>
      <c r="CB354">
        <f t="shared" si="67"/>
        <v>2024</v>
      </c>
      <c r="CC354" t="str">
        <f t="shared" si="68"/>
        <v>2024-1</v>
      </c>
    </row>
    <row r="355" spans="1:81" x14ac:dyDescent="0.25">
      <c r="A355" t="s">
        <v>8</v>
      </c>
      <c r="B355" t="s">
        <v>229</v>
      </c>
      <c r="C355" t="s">
        <v>268</v>
      </c>
      <c r="D355">
        <v>56932</v>
      </c>
      <c r="E355">
        <v>5</v>
      </c>
      <c r="P355" t="s">
        <v>23</v>
      </c>
      <c r="Q355" t="s">
        <v>269</v>
      </c>
      <c r="R355">
        <v>4</v>
      </c>
      <c r="AI355" t="s">
        <v>229</v>
      </c>
      <c r="AJ355">
        <v>56932</v>
      </c>
      <c r="AL355">
        <f>COUNTIF(AI:AI,AK355)</f>
        <v>0</v>
      </c>
      <c r="AM355">
        <f>SUMIF(AI:AI,AK355,AJ:AJ)</f>
        <v>0</v>
      </c>
      <c r="AP355" t="s">
        <v>12</v>
      </c>
      <c r="AQ355" t="s">
        <v>93</v>
      </c>
      <c r="BP355" t="s">
        <v>23</v>
      </c>
      <c r="BQ355" t="s">
        <v>160</v>
      </c>
      <c r="BR355">
        <f t="shared" si="69"/>
        <v>11</v>
      </c>
      <c r="BS355">
        <f t="shared" si="63"/>
        <v>2023</v>
      </c>
      <c r="BT355">
        <v>5</v>
      </c>
      <c r="BU355" t="str">
        <f t="shared" si="64"/>
        <v>2023-11</v>
      </c>
      <c r="BV355">
        <f t="shared" si="65"/>
        <v>0</v>
      </c>
      <c r="BX355" t="s">
        <v>8</v>
      </c>
      <c r="BY355" t="s">
        <v>268</v>
      </c>
      <c r="BZ355">
        <v>56932</v>
      </c>
      <c r="CA355">
        <f t="shared" si="66"/>
        <v>1</v>
      </c>
      <c r="CB355">
        <f t="shared" si="67"/>
        <v>2024</v>
      </c>
      <c r="CC355" t="str">
        <f t="shared" si="68"/>
        <v>2024-1</v>
      </c>
    </row>
    <row r="356" spans="1:81" x14ac:dyDescent="0.25">
      <c r="A356" t="s">
        <v>32</v>
      </c>
      <c r="B356" t="s">
        <v>168</v>
      </c>
      <c r="C356" t="s">
        <v>268</v>
      </c>
      <c r="D356">
        <v>16401</v>
      </c>
      <c r="E356">
        <v>8</v>
      </c>
      <c r="P356" t="s">
        <v>32</v>
      </c>
      <c r="Q356" t="s">
        <v>24</v>
      </c>
      <c r="R356">
        <v>6</v>
      </c>
      <c r="AI356" t="s">
        <v>168</v>
      </c>
      <c r="AJ356">
        <v>16401</v>
      </c>
      <c r="AL356">
        <f>COUNTIF(AI:AI,AK356)</f>
        <v>0</v>
      </c>
      <c r="AM356">
        <f>SUMIF(AI:AI,AK356,AJ:AJ)</f>
        <v>0</v>
      </c>
      <c r="AP356" t="s">
        <v>36</v>
      </c>
      <c r="AQ356" t="s">
        <v>107</v>
      </c>
      <c r="BP356" t="s">
        <v>23</v>
      </c>
      <c r="BQ356" t="s">
        <v>170</v>
      </c>
      <c r="BR356">
        <f t="shared" si="69"/>
        <v>11</v>
      </c>
      <c r="BS356">
        <f t="shared" si="63"/>
        <v>2023</v>
      </c>
      <c r="BT356">
        <v>8</v>
      </c>
      <c r="BU356" t="str">
        <f t="shared" si="64"/>
        <v>2023-11</v>
      </c>
      <c r="BV356">
        <f t="shared" si="65"/>
        <v>1</v>
      </c>
      <c r="BX356" t="s">
        <v>32</v>
      </c>
      <c r="BY356" t="s">
        <v>268</v>
      </c>
      <c r="BZ356">
        <v>16401</v>
      </c>
      <c r="CA356">
        <f t="shared" si="66"/>
        <v>1</v>
      </c>
      <c r="CB356">
        <f t="shared" si="67"/>
        <v>2024</v>
      </c>
      <c r="CC356" t="str">
        <f t="shared" si="68"/>
        <v>2024-1</v>
      </c>
    </row>
    <row r="357" spans="1:81" x14ac:dyDescent="0.25">
      <c r="A357" t="s">
        <v>20</v>
      </c>
      <c r="B357" t="s">
        <v>87</v>
      </c>
      <c r="C357" t="s">
        <v>268</v>
      </c>
      <c r="D357">
        <v>31317</v>
      </c>
      <c r="E357">
        <v>7</v>
      </c>
      <c r="P357" t="s">
        <v>20</v>
      </c>
      <c r="Q357" t="s">
        <v>41</v>
      </c>
      <c r="R357">
        <v>10</v>
      </c>
      <c r="AI357" t="s">
        <v>87</v>
      </c>
      <c r="AJ357">
        <v>31317</v>
      </c>
      <c r="AL357">
        <f>COUNTIF(AI:AI,AK357)</f>
        <v>0</v>
      </c>
      <c r="AM357">
        <f>SUMIF(AI:AI,AK357,AJ:AJ)</f>
        <v>0</v>
      </c>
      <c r="AP357" t="s">
        <v>20</v>
      </c>
      <c r="AQ357" t="s">
        <v>281</v>
      </c>
      <c r="BP357" t="s">
        <v>23</v>
      </c>
      <c r="BQ357" t="s">
        <v>194</v>
      </c>
      <c r="BR357">
        <f t="shared" si="69"/>
        <v>11</v>
      </c>
      <c r="BS357">
        <f t="shared" si="63"/>
        <v>2023</v>
      </c>
      <c r="BT357">
        <v>7</v>
      </c>
      <c r="BU357" t="str">
        <f t="shared" si="64"/>
        <v>2023-11</v>
      </c>
      <c r="BV357">
        <f t="shared" si="65"/>
        <v>1</v>
      </c>
      <c r="BX357" t="s">
        <v>20</v>
      </c>
      <c r="BY357" t="s">
        <v>268</v>
      </c>
      <c r="BZ357">
        <v>31317</v>
      </c>
      <c r="CA357">
        <f t="shared" si="66"/>
        <v>1</v>
      </c>
      <c r="CB357">
        <f t="shared" si="67"/>
        <v>2024</v>
      </c>
      <c r="CC357" t="str">
        <f t="shared" si="68"/>
        <v>2024-1</v>
      </c>
    </row>
    <row r="358" spans="1:81" x14ac:dyDescent="0.25">
      <c r="A358" t="s">
        <v>23</v>
      </c>
      <c r="B358" t="s">
        <v>269</v>
      </c>
      <c r="C358" t="s">
        <v>268</v>
      </c>
      <c r="D358">
        <v>80818</v>
      </c>
      <c r="E358">
        <v>4</v>
      </c>
      <c r="P358" t="s">
        <v>36</v>
      </c>
      <c r="Q358" t="s">
        <v>47</v>
      </c>
      <c r="R358">
        <v>7</v>
      </c>
      <c r="AI358" t="s">
        <v>269</v>
      </c>
      <c r="AJ358">
        <v>80818</v>
      </c>
      <c r="AL358">
        <f>COUNTIF(AI:AI,AK358)</f>
        <v>0</v>
      </c>
      <c r="AM358">
        <f>SUMIF(AI:AI,AK358,AJ:AJ)</f>
        <v>0</v>
      </c>
      <c r="AP358" t="s">
        <v>10</v>
      </c>
      <c r="AQ358" t="s">
        <v>135</v>
      </c>
      <c r="BP358" t="s">
        <v>23</v>
      </c>
      <c r="BQ358" t="s">
        <v>194</v>
      </c>
      <c r="BR358">
        <f t="shared" si="69"/>
        <v>11</v>
      </c>
      <c r="BS358">
        <f t="shared" si="63"/>
        <v>2023</v>
      </c>
      <c r="BT358">
        <v>4</v>
      </c>
      <c r="BU358" t="str">
        <f t="shared" si="64"/>
        <v>2023-11</v>
      </c>
      <c r="BV358">
        <f t="shared" si="65"/>
        <v>0</v>
      </c>
      <c r="BX358" t="s">
        <v>23</v>
      </c>
      <c r="BY358" t="s">
        <v>268</v>
      </c>
      <c r="BZ358">
        <v>80818</v>
      </c>
      <c r="CA358">
        <f t="shared" si="66"/>
        <v>1</v>
      </c>
      <c r="CB358">
        <f t="shared" si="67"/>
        <v>2024</v>
      </c>
      <c r="CC358" t="str">
        <f t="shared" si="68"/>
        <v>2024-1</v>
      </c>
    </row>
    <row r="359" spans="1:81" x14ac:dyDescent="0.25">
      <c r="A359" t="s">
        <v>32</v>
      </c>
      <c r="B359" t="s">
        <v>24</v>
      </c>
      <c r="C359" t="s">
        <v>270</v>
      </c>
      <c r="D359">
        <v>84460</v>
      </c>
      <c r="E359">
        <v>6</v>
      </c>
      <c r="P359" t="s">
        <v>12</v>
      </c>
      <c r="Q359" t="s">
        <v>125</v>
      </c>
      <c r="R359">
        <v>7</v>
      </c>
      <c r="AI359" t="s">
        <v>24</v>
      </c>
      <c r="AJ359">
        <v>84460</v>
      </c>
      <c r="AL359">
        <f>COUNTIF(AI:AI,AK359)</f>
        <v>0</v>
      </c>
      <c r="AM359">
        <f>SUMIF(AI:AI,AK359,AJ:AJ)</f>
        <v>0</v>
      </c>
      <c r="AP359" t="s">
        <v>5</v>
      </c>
      <c r="AQ359" t="s">
        <v>48</v>
      </c>
      <c r="BP359" t="s">
        <v>23</v>
      </c>
      <c r="BQ359" t="s">
        <v>194</v>
      </c>
      <c r="BR359">
        <f t="shared" si="69"/>
        <v>11</v>
      </c>
      <c r="BS359">
        <f t="shared" si="63"/>
        <v>2023</v>
      </c>
      <c r="BT359">
        <v>6</v>
      </c>
      <c r="BU359" t="str">
        <f t="shared" si="64"/>
        <v>2023-11</v>
      </c>
      <c r="BV359">
        <f t="shared" si="65"/>
        <v>0</v>
      </c>
      <c r="BX359" t="s">
        <v>32</v>
      </c>
      <c r="BY359" t="s">
        <v>270</v>
      </c>
      <c r="BZ359">
        <v>84460</v>
      </c>
      <c r="CA359">
        <f t="shared" si="66"/>
        <v>1</v>
      </c>
      <c r="CB359">
        <f t="shared" si="67"/>
        <v>2024</v>
      </c>
      <c r="CC359" t="str">
        <f t="shared" si="68"/>
        <v>2024-1</v>
      </c>
    </row>
    <row r="360" spans="1:81" x14ac:dyDescent="0.25">
      <c r="A360" t="s">
        <v>20</v>
      </c>
      <c r="B360" t="s">
        <v>41</v>
      </c>
      <c r="C360" t="s">
        <v>270</v>
      </c>
      <c r="D360">
        <v>67280</v>
      </c>
      <c r="E360">
        <v>10</v>
      </c>
      <c r="P360" t="s">
        <v>32</v>
      </c>
      <c r="Q360" t="s">
        <v>18</v>
      </c>
      <c r="R360">
        <v>7</v>
      </c>
      <c r="AI360" t="s">
        <v>41</v>
      </c>
      <c r="AJ360">
        <v>67280</v>
      </c>
      <c r="AL360">
        <f>COUNTIF(AI:AI,AK360)</f>
        <v>0</v>
      </c>
      <c r="AM360">
        <f>SUMIF(AI:AI,AK360,AJ:AJ)</f>
        <v>0</v>
      </c>
      <c r="AP360" t="s">
        <v>17</v>
      </c>
      <c r="AQ360" t="s">
        <v>139</v>
      </c>
      <c r="BP360" t="s">
        <v>23</v>
      </c>
      <c r="BQ360" t="s">
        <v>205</v>
      </c>
      <c r="BR360">
        <f t="shared" si="69"/>
        <v>11</v>
      </c>
      <c r="BS360">
        <f t="shared" si="63"/>
        <v>2023</v>
      </c>
      <c r="BT360">
        <v>10</v>
      </c>
      <c r="BU360" t="str">
        <f t="shared" si="64"/>
        <v>2023-11</v>
      </c>
      <c r="BV360">
        <f t="shared" si="65"/>
        <v>2</v>
      </c>
      <c r="BX360" t="s">
        <v>20</v>
      </c>
      <c r="BY360" t="s">
        <v>270</v>
      </c>
      <c r="BZ360">
        <v>67280</v>
      </c>
      <c r="CA360">
        <f t="shared" si="66"/>
        <v>1</v>
      </c>
      <c r="CB360">
        <f t="shared" si="67"/>
        <v>2024</v>
      </c>
      <c r="CC360" t="str">
        <f t="shared" si="68"/>
        <v>2024-1</v>
      </c>
    </row>
    <row r="361" spans="1:81" x14ac:dyDescent="0.25">
      <c r="A361" t="s">
        <v>36</v>
      </c>
      <c r="B361" t="s">
        <v>47</v>
      </c>
      <c r="C361" t="s">
        <v>271</v>
      </c>
      <c r="D361">
        <v>49332</v>
      </c>
      <c r="E361">
        <v>7</v>
      </c>
      <c r="P361" t="s">
        <v>12</v>
      </c>
      <c r="Q361" t="s">
        <v>13</v>
      </c>
      <c r="R361">
        <v>9</v>
      </c>
      <c r="AI361" t="s">
        <v>47</v>
      </c>
      <c r="AJ361">
        <v>49332</v>
      </c>
      <c r="AL361">
        <f>COUNTIF(AI:AI,AK361)</f>
        <v>0</v>
      </c>
      <c r="AM361">
        <f>SUMIF(AI:AI,AK361,AJ:AJ)</f>
        <v>0</v>
      </c>
      <c r="AP361" t="s">
        <v>17</v>
      </c>
      <c r="AQ361" t="s">
        <v>152</v>
      </c>
      <c r="BP361" t="s">
        <v>23</v>
      </c>
      <c r="BQ361" t="s">
        <v>210</v>
      </c>
      <c r="BR361">
        <f t="shared" si="69"/>
        <v>12</v>
      </c>
      <c r="BS361">
        <f t="shared" si="63"/>
        <v>2023</v>
      </c>
      <c r="BT361">
        <v>7</v>
      </c>
      <c r="BU361" t="str">
        <f t="shared" si="64"/>
        <v>2023-12</v>
      </c>
      <c r="BV361">
        <f t="shared" si="65"/>
        <v>1</v>
      </c>
      <c r="BX361" t="s">
        <v>36</v>
      </c>
      <c r="BY361" t="s">
        <v>271</v>
      </c>
      <c r="BZ361">
        <v>49332</v>
      </c>
      <c r="CA361">
        <f t="shared" si="66"/>
        <v>1</v>
      </c>
      <c r="CB361">
        <f t="shared" si="67"/>
        <v>2024</v>
      </c>
      <c r="CC361" t="str">
        <f t="shared" si="68"/>
        <v>2024-1</v>
      </c>
    </row>
    <row r="362" spans="1:81" x14ac:dyDescent="0.25">
      <c r="A362" t="s">
        <v>12</v>
      </c>
      <c r="B362" t="s">
        <v>125</v>
      </c>
      <c r="C362" t="s">
        <v>271</v>
      </c>
      <c r="D362">
        <v>15123</v>
      </c>
      <c r="E362">
        <v>7</v>
      </c>
      <c r="P362" t="s">
        <v>8</v>
      </c>
      <c r="Q362" t="s">
        <v>136</v>
      </c>
      <c r="R362">
        <v>6</v>
      </c>
      <c r="AI362" t="s">
        <v>125</v>
      </c>
      <c r="AJ362">
        <v>15123</v>
      </c>
      <c r="AL362">
        <f>COUNTIF(AI:AI,AK362)</f>
        <v>0</v>
      </c>
      <c r="AM362">
        <f>SUMIF(AI:AI,AK362,AJ:AJ)</f>
        <v>0</v>
      </c>
      <c r="AP362" t="s">
        <v>17</v>
      </c>
      <c r="AQ362" t="s">
        <v>283</v>
      </c>
      <c r="BP362" t="s">
        <v>23</v>
      </c>
      <c r="BQ362" t="s">
        <v>221</v>
      </c>
      <c r="BR362">
        <f t="shared" si="69"/>
        <v>12</v>
      </c>
      <c r="BS362">
        <f t="shared" si="63"/>
        <v>2023</v>
      </c>
      <c r="BT362">
        <v>7</v>
      </c>
      <c r="BU362" t="str">
        <f t="shared" si="64"/>
        <v>2023-12</v>
      </c>
      <c r="BV362">
        <f t="shared" si="65"/>
        <v>1</v>
      </c>
      <c r="BX362" t="s">
        <v>12</v>
      </c>
      <c r="BY362" t="s">
        <v>271</v>
      </c>
      <c r="BZ362">
        <v>15123</v>
      </c>
      <c r="CA362">
        <f t="shared" si="66"/>
        <v>1</v>
      </c>
      <c r="CB362">
        <f t="shared" si="67"/>
        <v>2024</v>
      </c>
      <c r="CC362" t="str">
        <f t="shared" si="68"/>
        <v>2024-1</v>
      </c>
    </row>
    <row r="363" spans="1:81" x14ac:dyDescent="0.25">
      <c r="A363" t="s">
        <v>32</v>
      </c>
      <c r="B363" t="s">
        <v>18</v>
      </c>
      <c r="C363" t="s">
        <v>271</v>
      </c>
      <c r="D363">
        <v>38841</v>
      </c>
      <c r="E363">
        <v>7</v>
      </c>
      <c r="P363" t="s">
        <v>17</v>
      </c>
      <c r="Q363" t="s">
        <v>158</v>
      </c>
      <c r="R363">
        <v>8</v>
      </c>
      <c r="AI363" t="s">
        <v>18</v>
      </c>
      <c r="AJ363">
        <v>38841</v>
      </c>
      <c r="AL363">
        <f>COUNTIF(AI:AI,AK363)</f>
        <v>0</v>
      </c>
      <c r="AM363">
        <f>SUMIF(AI:AI,AK363,AJ:AJ)</f>
        <v>0</v>
      </c>
      <c r="AP363" t="s">
        <v>14</v>
      </c>
      <c r="AQ363" t="s">
        <v>177</v>
      </c>
      <c r="BP363" t="s">
        <v>23</v>
      </c>
      <c r="BQ363" t="s">
        <v>232</v>
      </c>
      <c r="BR363">
        <f t="shared" si="69"/>
        <v>12</v>
      </c>
      <c r="BS363">
        <f t="shared" si="63"/>
        <v>2023</v>
      </c>
      <c r="BT363">
        <v>7</v>
      </c>
      <c r="BU363" t="str">
        <f t="shared" si="64"/>
        <v>2023-12</v>
      </c>
      <c r="BV363">
        <f t="shared" si="65"/>
        <v>1</v>
      </c>
      <c r="BX363" t="s">
        <v>32</v>
      </c>
      <c r="BY363" t="s">
        <v>271</v>
      </c>
      <c r="BZ363">
        <v>38841</v>
      </c>
      <c r="CA363">
        <f t="shared" si="66"/>
        <v>1</v>
      </c>
      <c r="CB363">
        <f t="shared" si="67"/>
        <v>2024</v>
      </c>
      <c r="CC363" t="str">
        <f t="shared" si="68"/>
        <v>2024-1</v>
      </c>
    </row>
    <row r="364" spans="1:81" x14ac:dyDescent="0.25">
      <c r="A364" t="s">
        <v>12</v>
      </c>
      <c r="B364" t="s">
        <v>13</v>
      </c>
      <c r="C364" t="s">
        <v>271</v>
      </c>
      <c r="D364">
        <v>84258</v>
      </c>
      <c r="E364">
        <v>9</v>
      </c>
      <c r="P364" t="s">
        <v>12</v>
      </c>
      <c r="Q364" t="s">
        <v>177</v>
      </c>
      <c r="R364">
        <v>9</v>
      </c>
      <c r="AI364" t="s">
        <v>13</v>
      </c>
      <c r="AJ364">
        <v>84258</v>
      </c>
      <c r="AL364">
        <f>COUNTIF(AI:AI,AK364)</f>
        <v>0</v>
      </c>
      <c r="AM364">
        <f>SUMIF(AI:AI,AK364,AJ:AJ)</f>
        <v>0</v>
      </c>
      <c r="AP364" t="s">
        <v>8</v>
      </c>
      <c r="AQ364" t="s">
        <v>45</v>
      </c>
      <c r="BP364" t="s">
        <v>23</v>
      </c>
      <c r="BQ364" t="s">
        <v>246</v>
      </c>
      <c r="BR364">
        <f t="shared" si="69"/>
        <v>12</v>
      </c>
      <c r="BS364">
        <f t="shared" si="63"/>
        <v>2023</v>
      </c>
      <c r="BT364">
        <v>9</v>
      </c>
      <c r="BU364" t="str">
        <f t="shared" si="64"/>
        <v>2023-12</v>
      </c>
      <c r="BV364">
        <f t="shared" si="65"/>
        <v>2</v>
      </c>
      <c r="BX364" t="s">
        <v>12</v>
      </c>
      <c r="BY364" t="s">
        <v>271</v>
      </c>
      <c r="BZ364">
        <v>84258</v>
      </c>
      <c r="CA364">
        <f t="shared" si="66"/>
        <v>1</v>
      </c>
      <c r="CB364">
        <f t="shared" si="67"/>
        <v>2024</v>
      </c>
      <c r="CC364" t="str">
        <f t="shared" si="68"/>
        <v>2024-1</v>
      </c>
    </row>
    <row r="365" spans="1:81" x14ac:dyDescent="0.25">
      <c r="A365" t="s">
        <v>8</v>
      </c>
      <c r="B365" t="s">
        <v>136</v>
      </c>
      <c r="C365" t="s">
        <v>272</v>
      </c>
      <c r="D365">
        <v>65326</v>
      </c>
      <c r="E365">
        <v>6</v>
      </c>
      <c r="P365" t="s">
        <v>14</v>
      </c>
      <c r="Q365" t="s">
        <v>173</v>
      </c>
      <c r="R365">
        <v>7</v>
      </c>
      <c r="AI365" t="s">
        <v>136</v>
      </c>
      <c r="AJ365">
        <v>65326</v>
      </c>
      <c r="AL365">
        <f>COUNTIF(AI:AI,AK365)</f>
        <v>0</v>
      </c>
      <c r="AM365">
        <f>SUMIF(AI:AI,AK365,AJ:AJ)</f>
        <v>0</v>
      </c>
      <c r="AP365" t="s">
        <v>27</v>
      </c>
      <c r="AQ365" t="s">
        <v>41</v>
      </c>
      <c r="BP365" t="s">
        <v>23</v>
      </c>
      <c r="BQ365" t="s">
        <v>264</v>
      </c>
      <c r="BR365">
        <f t="shared" si="69"/>
        <v>1</v>
      </c>
      <c r="BS365">
        <f t="shared" si="63"/>
        <v>2024</v>
      </c>
      <c r="BT365">
        <v>6</v>
      </c>
      <c r="BU365" t="str">
        <f t="shared" si="64"/>
        <v>2024-1</v>
      </c>
      <c r="BV365">
        <f t="shared" si="65"/>
        <v>0</v>
      </c>
      <c r="BX365" t="s">
        <v>8</v>
      </c>
      <c r="BY365" t="s">
        <v>272</v>
      </c>
      <c r="BZ365">
        <v>65326</v>
      </c>
      <c r="CA365">
        <f t="shared" si="66"/>
        <v>1</v>
      </c>
      <c r="CB365">
        <f t="shared" si="67"/>
        <v>2024</v>
      </c>
      <c r="CC365" t="str">
        <f t="shared" si="68"/>
        <v>2024-1</v>
      </c>
    </row>
    <row r="366" spans="1:81" x14ac:dyDescent="0.25">
      <c r="A366" t="s">
        <v>17</v>
      </c>
      <c r="B366" t="s">
        <v>158</v>
      </c>
      <c r="C366" t="s">
        <v>272</v>
      </c>
      <c r="D366">
        <v>12457</v>
      </c>
      <c r="E366">
        <v>8</v>
      </c>
      <c r="P366" t="s">
        <v>17</v>
      </c>
      <c r="Q366" t="s">
        <v>69</v>
      </c>
      <c r="R366">
        <v>8</v>
      </c>
      <c r="AI366" t="s">
        <v>158</v>
      </c>
      <c r="AJ366">
        <v>12457</v>
      </c>
      <c r="AL366">
        <f>COUNTIF(AI:AI,AK366)</f>
        <v>0</v>
      </c>
      <c r="AM366">
        <f>SUMIF(AI:AI,AK366,AJ:AJ)</f>
        <v>0</v>
      </c>
      <c r="AP366" t="s">
        <v>17</v>
      </c>
      <c r="AQ366" t="s">
        <v>62</v>
      </c>
      <c r="BP366" t="s">
        <v>23</v>
      </c>
      <c r="BQ366" t="s">
        <v>268</v>
      </c>
      <c r="BR366">
        <f t="shared" si="69"/>
        <v>1</v>
      </c>
      <c r="BS366">
        <f t="shared" si="63"/>
        <v>2024</v>
      </c>
      <c r="BT366">
        <v>8</v>
      </c>
      <c r="BU366" t="str">
        <f t="shared" si="64"/>
        <v>2024-1</v>
      </c>
      <c r="BV366">
        <f t="shared" si="65"/>
        <v>1</v>
      </c>
      <c r="BX366" t="s">
        <v>17</v>
      </c>
      <c r="BY366" t="s">
        <v>272</v>
      </c>
      <c r="BZ366">
        <v>12457</v>
      </c>
      <c r="CA366">
        <f t="shared" si="66"/>
        <v>1</v>
      </c>
      <c r="CB366">
        <f t="shared" si="67"/>
        <v>2024</v>
      </c>
      <c r="CC366" t="str">
        <f t="shared" si="68"/>
        <v>2024-1</v>
      </c>
    </row>
    <row r="367" spans="1:81" x14ac:dyDescent="0.25">
      <c r="A367" t="s">
        <v>12</v>
      </c>
      <c r="B367" t="s">
        <v>177</v>
      </c>
      <c r="C367" t="s">
        <v>272</v>
      </c>
      <c r="D367">
        <v>38339</v>
      </c>
      <c r="E367">
        <v>9</v>
      </c>
      <c r="P367" t="s">
        <v>27</v>
      </c>
      <c r="Q367" t="s">
        <v>231</v>
      </c>
      <c r="R367">
        <v>5</v>
      </c>
      <c r="AI367" t="s">
        <v>177</v>
      </c>
      <c r="AJ367">
        <v>38339</v>
      </c>
      <c r="AL367">
        <f>COUNTIF(AI:AI,AK367)</f>
        <v>0</v>
      </c>
      <c r="AM367">
        <f>SUMIF(AI:AI,AK367,AJ:AJ)</f>
        <v>0</v>
      </c>
      <c r="AP367" t="s">
        <v>36</v>
      </c>
      <c r="AQ367" t="s">
        <v>244</v>
      </c>
      <c r="BP367" t="s">
        <v>23</v>
      </c>
      <c r="BQ367" t="s">
        <v>289</v>
      </c>
      <c r="BR367">
        <f t="shared" si="69"/>
        <v>2</v>
      </c>
      <c r="BS367">
        <f t="shared" si="63"/>
        <v>2024</v>
      </c>
      <c r="BT367">
        <v>9</v>
      </c>
      <c r="BU367" t="str">
        <f t="shared" si="64"/>
        <v>2024-2</v>
      </c>
      <c r="BV367">
        <f t="shared" si="65"/>
        <v>2</v>
      </c>
      <c r="BX367" t="s">
        <v>12</v>
      </c>
      <c r="BY367" t="s">
        <v>272</v>
      </c>
      <c r="BZ367">
        <v>38339</v>
      </c>
      <c r="CA367">
        <f t="shared" si="66"/>
        <v>1</v>
      </c>
      <c r="CB367">
        <f t="shared" si="67"/>
        <v>2024</v>
      </c>
      <c r="CC367" t="str">
        <f t="shared" si="68"/>
        <v>2024-1</v>
      </c>
    </row>
    <row r="368" spans="1:81" x14ac:dyDescent="0.25">
      <c r="A368" t="s">
        <v>14</v>
      </c>
      <c r="B368" t="s">
        <v>173</v>
      </c>
      <c r="C368" t="s">
        <v>272</v>
      </c>
      <c r="D368">
        <v>63929</v>
      </c>
      <c r="E368">
        <v>7</v>
      </c>
      <c r="P368" t="s">
        <v>33</v>
      </c>
      <c r="Q368" t="s">
        <v>47</v>
      </c>
      <c r="R368">
        <v>6</v>
      </c>
      <c r="AI368" t="s">
        <v>173</v>
      </c>
      <c r="AJ368">
        <v>63929</v>
      </c>
      <c r="AL368">
        <f>COUNTIF(AI:AI,AK368)</f>
        <v>0</v>
      </c>
      <c r="AM368">
        <f>SUMIF(AI:AI,AK368,AJ:AJ)</f>
        <v>0</v>
      </c>
      <c r="AP368" t="s">
        <v>8</v>
      </c>
      <c r="AQ368" t="s">
        <v>133</v>
      </c>
      <c r="BP368" t="s">
        <v>23</v>
      </c>
      <c r="BQ368" t="s">
        <v>295</v>
      </c>
      <c r="BR368">
        <f t="shared" si="69"/>
        <v>2</v>
      </c>
      <c r="BS368">
        <f t="shared" si="63"/>
        <v>2024</v>
      </c>
      <c r="BT368">
        <v>7</v>
      </c>
      <c r="BU368" t="str">
        <f t="shared" si="64"/>
        <v>2024-2</v>
      </c>
      <c r="BV368">
        <f t="shared" si="65"/>
        <v>1</v>
      </c>
      <c r="BX368" t="s">
        <v>14</v>
      </c>
      <c r="BY368" t="s">
        <v>272</v>
      </c>
      <c r="BZ368">
        <v>63929</v>
      </c>
      <c r="CA368">
        <f t="shared" si="66"/>
        <v>1</v>
      </c>
      <c r="CB368">
        <f t="shared" si="67"/>
        <v>2024</v>
      </c>
      <c r="CC368" t="str">
        <f t="shared" si="68"/>
        <v>2024-1</v>
      </c>
    </row>
    <row r="369" spans="1:81" x14ac:dyDescent="0.25">
      <c r="A369" t="s">
        <v>17</v>
      </c>
      <c r="B369" t="s">
        <v>69</v>
      </c>
      <c r="C369" t="s">
        <v>272</v>
      </c>
      <c r="D369">
        <v>85556</v>
      </c>
      <c r="E369">
        <v>8</v>
      </c>
      <c r="P369" t="s">
        <v>27</v>
      </c>
      <c r="Q369" t="s">
        <v>165</v>
      </c>
      <c r="R369">
        <v>9</v>
      </c>
      <c r="AI369" t="s">
        <v>69</v>
      </c>
      <c r="AJ369">
        <v>85556</v>
      </c>
      <c r="AL369">
        <f>COUNTIF(AI:AI,AK369)</f>
        <v>0</v>
      </c>
      <c r="AM369">
        <f>SUMIF(AI:AI,AK369,AJ:AJ)</f>
        <v>0</v>
      </c>
      <c r="AP369" t="s">
        <v>8</v>
      </c>
      <c r="AQ369" t="s">
        <v>121</v>
      </c>
      <c r="BP369" t="s">
        <v>23</v>
      </c>
      <c r="BQ369" t="s">
        <v>299</v>
      </c>
      <c r="BR369">
        <f t="shared" si="69"/>
        <v>2</v>
      </c>
      <c r="BS369">
        <f t="shared" si="63"/>
        <v>2024</v>
      </c>
      <c r="BT369">
        <v>8</v>
      </c>
      <c r="BU369" t="str">
        <f t="shared" si="64"/>
        <v>2024-2</v>
      </c>
      <c r="BV369">
        <f t="shared" si="65"/>
        <v>1</v>
      </c>
      <c r="BX369" t="s">
        <v>17</v>
      </c>
      <c r="BY369" t="s">
        <v>272</v>
      </c>
      <c r="BZ369">
        <v>85556</v>
      </c>
      <c r="CA369">
        <f t="shared" si="66"/>
        <v>1</v>
      </c>
      <c r="CB369">
        <f t="shared" si="67"/>
        <v>2024</v>
      </c>
      <c r="CC369" t="str">
        <f t="shared" si="68"/>
        <v>2024-1</v>
      </c>
    </row>
    <row r="370" spans="1:81" x14ac:dyDescent="0.25">
      <c r="A370" t="s">
        <v>27</v>
      </c>
      <c r="B370" t="s">
        <v>231</v>
      </c>
      <c r="C370" t="s">
        <v>272</v>
      </c>
      <c r="D370">
        <v>35173</v>
      </c>
      <c r="E370">
        <v>5</v>
      </c>
      <c r="P370" t="s">
        <v>17</v>
      </c>
      <c r="Q370" t="s">
        <v>74</v>
      </c>
      <c r="R370">
        <v>8</v>
      </c>
      <c r="AI370" t="s">
        <v>231</v>
      </c>
      <c r="AJ370">
        <v>35173</v>
      </c>
      <c r="AL370">
        <f>COUNTIF(AI:AI,AK370)</f>
        <v>0</v>
      </c>
      <c r="AM370">
        <f>SUMIF(AI:AI,AK370,AJ:AJ)</f>
        <v>0</v>
      </c>
      <c r="AP370" t="s">
        <v>5</v>
      </c>
      <c r="AQ370" t="s">
        <v>220</v>
      </c>
      <c r="BP370" t="s">
        <v>23</v>
      </c>
      <c r="BQ370" t="s">
        <v>309</v>
      </c>
      <c r="BR370">
        <f t="shared" si="69"/>
        <v>2</v>
      </c>
      <c r="BS370">
        <f t="shared" si="63"/>
        <v>2024</v>
      </c>
      <c r="BT370">
        <v>5</v>
      </c>
      <c r="BU370" t="str">
        <f t="shared" si="64"/>
        <v>2024-2</v>
      </c>
      <c r="BV370">
        <f t="shared" si="65"/>
        <v>0</v>
      </c>
      <c r="BX370" t="s">
        <v>27</v>
      </c>
      <c r="BY370" t="s">
        <v>272</v>
      </c>
      <c r="BZ370">
        <v>35173</v>
      </c>
      <c r="CA370">
        <f t="shared" si="66"/>
        <v>1</v>
      </c>
      <c r="CB370">
        <f t="shared" si="67"/>
        <v>2024</v>
      </c>
      <c r="CC370" t="str">
        <f t="shared" si="68"/>
        <v>2024-1</v>
      </c>
    </row>
    <row r="371" spans="1:81" x14ac:dyDescent="0.25">
      <c r="A371" t="s">
        <v>33</v>
      </c>
      <c r="B371" t="s">
        <v>47</v>
      </c>
      <c r="C371" t="s">
        <v>272</v>
      </c>
      <c r="D371">
        <v>57403</v>
      </c>
      <c r="E371">
        <v>6</v>
      </c>
      <c r="P371" t="s">
        <v>10</v>
      </c>
      <c r="Q371" t="s">
        <v>121</v>
      </c>
      <c r="R371">
        <v>6</v>
      </c>
      <c r="AI371" t="s">
        <v>47</v>
      </c>
      <c r="AJ371">
        <v>57403</v>
      </c>
      <c r="AL371">
        <f>COUNTIF(AI:AI,AK371)</f>
        <v>0</v>
      </c>
      <c r="AM371">
        <f>SUMIF(AI:AI,AK371,AJ:AJ)</f>
        <v>0</v>
      </c>
      <c r="AP371" t="s">
        <v>14</v>
      </c>
      <c r="AQ371" t="s">
        <v>266</v>
      </c>
      <c r="BP371" t="s">
        <v>23</v>
      </c>
      <c r="BQ371" t="s">
        <v>313</v>
      </c>
      <c r="BR371">
        <f t="shared" si="69"/>
        <v>2</v>
      </c>
      <c r="BS371">
        <f t="shared" si="63"/>
        <v>2024</v>
      </c>
      <c r="BT371">
        <v>6</v>
      </c>
      <c r="BU371" t="str">
        <f t="shared" si="64"/>
        <v>2024-2</v>
      </c>
      <c r="BV371">
        <f t="shared" si="65"/>
        <v>0</v>
      </c>
      <c r="BX371" t="s">
        <v>33</v>
      </c>
      <c r="BY371" t="s">
        <v>272</v>
      </c>
      <c r="BZ371">
        <v>57403</v>
      </c>
      <c r="CA371">
        <f t="shared" si="66"/>
        <v>1</v>
      </c>
      <c r="CB371">
        <f t="shared" si="67"/>
        <v>2024</v>
      </c>
      <c r="CC371" t="str">
        <f t="shared" si="68"/>
        <v>2024-1</v>
      </c>
    </row>
    <row r="372" spans="1:81" x14ac:dyDescent="0.25">
      <c r="A372" t="s">
        <v>10</v>
      </c>
      <c r="B372" t="s">
        <v>111</v>
      </c>
      <c r="C372" t="s">
        <v>272</v>
      </c>
      <c r="D372">
        <v>33252</v>
      </c>
      <c r="E372">
        <v>6</v>
      </c>
      <c r="P372" t="s">
        <v>27</v>
      </c>
      <c r="Q372" t="s">
        <v>84</v>
      </c>
      <c r="R372">
        <v>1</v>
      </c>
      <c r="AI372" t="s">
        <v>111</v>
      </c>
      <c r="AJ372">
        <v>33252</v>
      </c>
      <c r="AL372">
        <f>COUNTIF(AI:AI,AK372)</f>
        <v>0</v>
      </c>
      <c r="AM372">
        <f>SUMIF(AI:AI,AK372,AJ:AJ)</f>
        <v>0</v>
      </c>
      <c r="AP372" t="s">
        <v>14</v>
      </c>
      <c r="AQ372" t="s">
        <v>125</v>
      </c>
      <c r="BP372" t="s">
        <v>23</v>
      </c>
      <c r="BQ372" t="s">
        <v>314</v>
      </c>
      <c r="BR372">
        <f t="shared" si="69"/>
        <v>3</v>
      </c>
      <c r="BS372">
        <f t="shared" si="63"/>
        <v>2024</v>
      </c>
      <c r="BT372">
        <v>6</v>
      </c>
      <c r="BU372" t="str">
        <f t="shared" si="64"/>
        <v>2024-3</v>
      </c>
      <c r="BV372">
        <f t="shared" si="65"/>
        <v>0</v>
      </c>
      <c r="BX372" t="s">
        <v>10</v>
      </c>
      <c r="BY372" t="s">
        <v>272</v>
      </c>
      <c r="BZ372">
        <v>33252</v>
      </c>
      <c r="CA372">
        <f t="shared" si="66"/>
        <v>1</v>
      </c>
      <c r="CB372">
        <f t="shared" si="67"/>
        <v>2024</v>
      </c>
      <c r="CC372" t="str">
        <f t="shared" si="68"/>
        <v>2024-1</v>
      </c>
    </row>
    <row r="373" spans="1:81" x14ac:dyDescent="0.25">
      <c r="A373" t="s">
        <v>27</v>
      </c>
      <c r="B373" t="s">
        <v>165</v>
      </c>
      <c r="C373" t="s">
        <v>272</v>
      </c>
      <c r="D373">
        <v>83184</v>
      </c>
      <c r="E373">
        <v>9</v>
      </c>
      <c r="P373" t="s">
        <v>17</v>
      </c>
      <c r="Q373" t="s">
        <v>274</v>
      </c>
      <c r="R373">
        <v>9</v>
      </c>
      <c r="AI373" t="s">
        <v>165</v>
      </c>
      <c r="AJ373">
        <v>83184</v>
      </c>
      <c r="AL373">
        <f>COUNTIF(AI:AI,AK373)</f>
        <v>0</v>
      </c>
      <c r="AM373">
        <f>SUMIF(AI:AI,AK373,AJ:AJ)</f>
        <v>0</v>
      </c>
      <c r="AP373" t="s">
        <v>32</v>
      </c>
      <c r="AQ373" t="s">
        <v>286</v>
      </c>
      <c r="BP373" t="s">
        <v>23</v>
      </c>
      <c r="BQ373" t="s">
        <v>315</v>
      </c>
      <c r="BR373">
        <f t="shared" si="69"/>
        <v>3</v>
      </c>
      <c r="BS373">
        <f t="shared" si="63"/>
        <v>2024</v>
      </c>
      <c r="BT373">
        <v>9</v>
      </c>
      <c r="BU373" t="str">
        <f t="shared" si="64"/>
        <v>2024-3</v>
      </c>
      <c r="BV373">
        <f t="shared" si="65"/>
        <v>2</v>
      </c>
      <c r="BX373" t="s">
        <v>27</v>
      </c>
      <c r="BY373" t="s">
        <v>272</v>
      </c>
      <c r="BZ373">
        <v>83184</v>
      </c>
      <c r="CA373">
        <f t="shared" si="66"/>
        <v>1</v>
      </c>
      <c r="CB373">
        <f t="shared" si="67"/>
        <v>2024</v>
      </c>
      <c r="CC373" t="str">
        <f t="shared" si="68"/>
        <v>2024-1</v>
      </c>
    </row>
    <row r="374" spans="1:81" x14ac:dyDescent="0.25">
      <c r="A374" t="s">
        <v>17</v>
      </c>
      <c r="B374" t="s">
        <v>74</v>
      </c>
      <c r="C374" t="s">
        <v>273</v>
      </c>
      <c r="D374">
        <v>36532</v>
      </c>
      <c r="E374">
        <v>8</v>
      </c>
      <c r="P374" t="s">
        <v>10</v>
      </c>
      <c r="Q374" t="s">
        <v>222</v>
      </c>
      <c r="R374">
        <v>7</v>
      </c>
      <c r="AI374" t="s">
        <v>74</v>
      </c>
      <c r="AJ374">
        <v>36532</v>
      </c>
      <c r="AL374">
        <f>COUNTIF(AI:AI,AK374)</f>
        <v>0</v>
      </c>
      <c r="AM374">
        <f>SUMIF(AI:AI,AK374,AJ:AJ)</f>
        <v>0</v>
      </c>
      <c r="AP374" t="s">
        <v>33</v>
      </c>
      <c r="AQ374" t="s">
        <v>287</v>
      </c>
      <c r="BP374" t="s">
        <v>23</v>
      </c>
      <c r="BQ374" t="s">
        <v>318</v>
      </c>
      <c r="BR374">
        <f t="shared" si="69"/>
        <v>3</v>
      </c>
      <c r="BS374">
        <f t="shared" si="63"/>
        <v>2024</v>
      </c>
      <c r="BT374">
        <v>8</v>
      </c>
      <c r="BU374" t="str">
        <f t="shared" si="64"/>
        <v>2024-3</v>
      </c>
      <c r="BV374">
        <f t="shared" si="65"/>
        <v>1</v>
      </c>
      <c r="BX374" t="s">
        <v>17</v>
      </c>
      <c r="BY374" t="s">
        <v>273</v>
      </c>
      <c r="BZ374">
        <v>36532</v>
      </c>
      <c r="CA374">
        <f t="shared" si="66"/>
        <v>1</v>
      </c>
      <c r="CB374">
        <f t="shared" si="67"/>
        <v>2024</v>
      </c>
      <c r="CC374" t="str">
        <f t="shared" si="68"/>
        <v>2024-1</v>
      </c>
    </row>
    <row r="375" spans="1:81" x14ac:dyDescent="0.25">
      <c r="A375" t="s">
        <v>10</v>
      </c>
      <c r="B375" t="s">
        <v>121</v>
      </c>
      <c r="C375" t="s">
        <v>273</v>
      </c>
      <c r="D375">
        <v>20859</v>
      </c>
      <c r="E375">
        <v>6</v>
      </c>
      <c r="P375" t="s">
        <v>27</v>
      </c>
      <c r="Q375" t="s">
        <v>129</v>
      </c>
      <c r="R375">
        <v>10</v>
      </c>
      <c r="AI375" t="s">
        <v>121</v>
      </c>
      <c r="AJ375">
        <v>20859</v>
      </c>
      <c r="AL375">
        <f>COUNTIF(AI:AI,AK375)</f>
        <v>0</v>
      </c>
      <c r="AM375">
        <f>SUMIF(AI:AI,AK375,AJ:AJ)</f>
        <v>0</v>
      </c>
      <c r="AP375" t="s">
        <v>36</v>
      </c>
      <c r="AQ375" t="s">
        <v>67</v>
      </c>
      <c r="BP375" t="s">
        <v>23</v>
      </c>
      <c r="BQ375" t="s">
        <v>320</v>
      </c>
      <c r="BR375">
        <f t="shared" si="69"/>
        <v>3</v>
      </c>
      <c r="BS375">
        <f t="shared" si="63"/>
        <v>2024</v>
      </c>
      <c r="BT375">
        <v>6</v>
      </c>
      <c r="BU375" t="str">
        <f t="shared" si="64"/>
        <v>2024-3</v>
      </c>
      <c r="BV375">
        <f t="shared" si="65"/>
        <v>0</v>
      </c>
      <c r="BX375" t="s">
        <v>10</v>
      </c>
      <c r="BY375" t="s">
        <v>273</v>
      </c>
      <c r="BZ375">
        <v>20859</v>
      </c>
      <c r="CA375">
        <f t="shared" si="66"/>
        <v>1</v>
      </c>
      <c r="CB375">
        <f t="shared" si="67"/>
        <v>2024</v>
      </c>
      <c r="CC375" t="str">
        <f t="shared" si="68"/>
        <v>2024-1</v>
      </c>
    </row>
    <row r="376" spans="1:81" x14ac:dyDescent="0.25">
      <c r="A376" t="s">
        <v>27</v>
      </c>
      <c r="B376" t="s">
        <v>84</v>
      </c>
      <c r="C376" t="s">
        <v>273</v>
      </c>
      <c r="D376">
        <v>91876</v>
      </c>
      <c r="E376">
        <v>1</v>
      </c>
      <c r="P376" t="s">
        <v>33</v>
      </c>
      <c r="Q376" t="s">
        <v>225</v>
      </c>
      <c r="R376">
        <v>9</v>
      </c>
      <c r="AI376" t="s">
        <v>84</v>
      </c>
      <c r="AJ376">
        <v>91876</v>
      </c>
      <c r="AL376">
        <f>COUNTIF(AI:AI,AK376)</f>
        <v>0</v>
      </c>
      <c r="AM376">
        <f>SUMIF(AI:AI,AK376,AJ:AJ)</f>
        <v>0</v>
      </c>
      <c r="AP376" t="s">
        <v>8</v>
      </c>
      <c r="AQ376" t="s">
        <v>41</v>
      </c>
      <c r="BP376" t="s">
        <v>23</v>
      </c>
      <c r="BQ376" t="s">
        <v>320</v>
      </c>
      <c r="BR376">
        <f t="shared" si="69"/>
        <v>3</v>
      </c>
      <c r="BS376">
        <f t="shared" si="63"/>
        <v>2024</v>
      </c>
      <c r="BT376">
        <v>1</v>
      </c>
      <c r="BU376" t="str">
        <f t="shared" si="64"/>
        <v>2024-3</v>
      </c>
      <c r="BV376">
        <f t="shared" si="65"/>
        <v>0</v>
      </c>
      <c r="BX376" t="s">
        <v>27</v>
      </c>
      <c r="BY376" t="s">
        <v>273</v>
      </c>
      <c r="BZ376">
        <v>91876</v>
      </c>
      <c r="CA376">
        <f t="shared" si="66"/>
        <v>1</v>
      </c>
      <c r="CB376">
        <f t="shared" si="67"/>
        <v>2024</v>
      </c>
      <c r="CC376" t="str">
        <f t="shared" si="68"/>
        <v>2024-1</v>
      </c>
    </row>
    <row r="377" spans="1:81" x14ac:dyDescent="0.25">
      <c r="A377" t="s">
        <v>17</v>
      </c>
      <c r="B377" t="s">
        <v>274</v>
      </c>
      <c r="C377" t="s">
        <v>275</v>
      </c>
      <c r="D377">
        <v>64079</v>
      </c>
      <c r="E377">
        <v>9</v>
      </c>
      <c r="P377" t="s">
        <v>8</v>
      </c>
      <c r="Q377" t="s">
        <v>276</v>
      </c>
      <c r="R377">
        <v>9</v>
      </c>
      <c r="AI377" t="s">
        <v>274</v>
      </c>
      <c r="AJ377">
        <v>64079</v>
      </c>
      <c r="AL377">
        <f>COUNTIF(AI:AI,AK377)</f>
        <v>0</v>
      </c>
      <c r="AM377">
        <f>SUMIF(AI:AI,AK377,AJ:AJ)</f>
        <v>0</v>
      </c>
      <c r="AP377" t="s">
        <v>12</v>
      </c>
      <c r="AQ377" t="s">
        <v>69</v>
      </c>
      <c r="BP377" t="s">
        <v>23</v>
      </c>
      <c r="BQ377" t="s">
        <v>323</v>
      </c>
      <c r="BR377">
        <f t="shared" si="69"/>
        <v>3</v>
      </c>
      <c r="BS377">
        <f t="shared" si="63"/>
        <v>2024</v>
      </c>
      <c r="BT377">
        <v>9</v>
      </c>
      <c r="BU377" t="str">
        <f t="shared" si="64"/>
        <v>2024-3</v>
      </c>
      <c r="BV377">
        <f t="shared" si="65"/>
        <v>2</v>
      </c>
      <c r="BX377" t="s">
        <v>17</v>
      </c>
      <c r="BY377" t="s">
        <v>275</v>
      </c>
      <c r="BZ377">
        <v>64079</v>
      </c>
      <c r="CA377">
        <f t="shared" si="66"/>
        <v>1</v>
      </c>
      <c r="CB377">
        <f t="shared" si="67"/>
        <v>2024</v>
      </c>
      <c r="CC377" t="str">
        <f t="shared" si="68"/>
        <v>2024-1</v>
      </c>
    </row>
    <row r="378" spans="1:81" x14ac:dyDescent="0.25">
      <c r="A378" t="s">
        <v>10</v>
      </c>
      <c r="B378" t="s">
        <v>222</v>
      </c>
      <c r="C378" t="s">
        <v>275</v>
      </c>
      <c r="D378">
        <v>86170</v>
      </c>
      <c r="E378">
        <v>7</v>
      </c>
      <c r="P378" t="s">
        <v>32</v>
      </c>
      <c r="Q378" t="s">
        <v>278</v>
      </c>
      <c r="R378">
        <v>6</v>
      </c>
      <c r="AI378" t="s">
        <v>222</v>
      </c>
      <c r="AJ378">
        <v>86170</v>
      </c>
      <c r="AL378">
        <f>COUNTIF(AI:AI,AK378)</f>
        <v>0</v>
      </c>
      <c r="AM378">
        <f>SUMIF(AI:AI,AK378,AJ:AJ)</f>
        <v>0</v>
      </c>
      <c r="AP378" t="s">
        <v>10</v>
      </c>
      <c r="AQ378" t="s">
        <v>182</v>
      </c>
      <c r="BP378" t="s">
        <v>23</v>
      </c>
      <c r="BQ378" t="s">
        <v>328</v>
      </c>
      <c r="BR378">
        <f t="shared" si="69"/>
        <v>3</v>
      </c>
      <c r="BS378">
        <f t="shared" si="63"/>
        <v>2024</v>
      </c>
      <c r="BT378">
        <v>7</v>
      </c>
      <c r="BU378" t="str">
        <f t="shared" si="64"/>
        <v>2024-3</v>
      </c>
      <c r="BV378">
        <f t="shared" si="65"/>
        <v>1</v>
      </c>
      <c r="BX378" t="s">
        <v>10</v>
      </c>
      <c r="BY378" t="s">
        <v>275</v>
      </c>
      <c r="BZ378">
        <v>86170</v>
      </c>
      <c r="CA378">
        <f t="shared" si="66"/>
        <v>1</v>
      </c>
      <c r="CB378">
        <f t="shared" si="67"/>
        <v>2024</v>
      </c>
      <c r="CC378" t="str">
        <f t="shared" si="68"/>
        <v>2024-1</v>
      </c>
    </row>
    <row r="379" spans="1:81" x14ac:dyDescent="0.25">
      <c r="A379" t="s">
        <v>27</v>
      </c>
      <c r="B379" t="s">
        <v>129</v>
      </c>
      <c r="C379" t="s">
        <v>275</v>
      </c>
      <c r="D379">
        <v>73813</v>
      </c>
      <c r="E379">
        <v>10</v>
      </c>
      <c r="P379" t="s">
        <v>33</v>
      </c>
      <c r="Q379" t="s">
        <v>30</v>
      </c>
      <c r="R379">
        <v>8</v>
      </c>
      <c r="AI379" t="s">
        <v>129</v>
      </c>
      <c r="AJ379">
        <v>73813</v>
      </c>
      <c r="AL379">
        <f>COUNTIF(AI:AI,AK379)</f>
        <v>0</v>
      </c>
      <c r="AM379">
        <f>SUMIF(AI:AI,AK379,AJ:AJ)</f>
        <v>0</v>
      </c>
      <c r="AP379" t="s">
        <v>17</v>
      </c>
      <c r="AQ379" t="s">
        <v>263</v>
      </c>
      <c r="BP379" t="s">
        <v>23</v>
      </c>
      <c r="BQ379" t="s">
        <v>333</v>
      </c>
      <c r="BR379">
        <f t="shared" si="69"/>
        <v>3</v>
      </c>
      <c r="BS379">
        <f t="shared" si="63"/>
        <v>2024</v>
      </c>
      <c r="BT379">
        <v>10</v>
      </c>
      <c r="BU379" t="str">
        <f t="shared" si="64"/>
        <v>2024-3</v>
      </c>
      <c r="BV379">
        <f t="shared" si="65"/>
        <v>2</v>
      </c>
      <c r="BX379" t="s">
        <v>27</v>
      </c>
      <c r="BY379" t="s">
        <v>275</v>
      </c>
      <c r="BZ379">
        <v>73813</v>
      </c>
      <c r="CA379">
        <f t="shared" si="66"/>
        <v>1</v>
      </c>
      <c r="CB379">
        <f t="shared" si="67"/>
        <v>2024</v>
      </c>
      <c r="CC379" t="str">
        <f t="shared" si="68"/>
        <v>2024-1</v>
      </c>
    </row>
    <row r="380" spans="1:81" x14ac:dyDescent="0.25">
      <c r="A380" t="s">
        <v>33</v>
      </c>
      <c r="B380" t="s">
        <v>225</v>
      </c>
      <c r="C380" t="s">
        <v>275</v>
      </c>
      <c r="D380">
        <v>54723</v>
      </c>
      <c r="E380">
        <v>9</v>
      </c>
      <c r="P380" t="s">
        <v>10</v>
      </c>
      <c r="Q380" t="s">
        <v>110</v>
      </c>
      <c r="R380">
        <v>6</v>
      </c>
      <c r="AI380" t="s">
        <v>225</v>
      </c>
      <c r="AJ380">
        <v>54723</v>
      </c>
      <c r="AL380">
        <f>COUNTIF(AI:AI,AK380)</f>
        <v>0</v>
      </c>
      <c r="AM380">
        <f>SUMIF(AI:AI,AK380,AJ:AJ)</f>
        <v>0</v>
      </c>
      <c r="AP380" t="s">
        <v>33</v>
      </c>
      <c r="AQ380" t="s">
        <v>156</v>
      </c>
      <c r="BP380" t="s">
        <v>23</v>
      </c>
      <c r="BQ380" t="s">
        <v>335</v>
      </c>
      <c r="BR380">
        <f t="shared" si="69"/>
        <v>3</v>
      </c>
      <c r="BS380">
        <f t="shared" si="63"/>
        <v>2024</v>
      </c>
      <c r="BT380">
        <v>9</v>
      </c>
      <c r="BU380" t="str">
        <f t="shared" si="64"/>
        <v>2024-3</v>
      </c>
      <c r="BV380">
        <f t="shared" si="65"/>
        <v>2</v>
      </c>
      <c r="BX380" t="s">
        <v>33</v>
      </c>
      <c r="BY380" t="s">
        <v>275</v>
      </c>
      <c r="BZ380">
        <v>54723</v>
      </c>
      <c r="CA380">
        <f t="shared" si="66"/>
        <v>1</v>
      </c>
      <c r="CB380">
        <f t="shared" si="67"/>
        <v>2024</v>
      </c>
      <c r="CC380" t="str">
        <f t="shared" si="68"/>
        <v>2024-1</v>
      </c>
    </row>
    <row r="381" spans="1:81" x14ac:dyDescent="0.25">
      <c r="A381" t="s">
        <v>8</v>
      </c>
      <c r="B381" t="s">
        <v>276</v>
      </c>
      <c r="C381" t="s">
        <v>277</v>
      </c>
      <c r="D381">
        <v>38822</v>
      </c>
      <c r="E381">
        <v>9</v>
      </c>
      <c r="P381" t="s">
        <v>12</v>
      </c>
      <c r="Q381" t="s">
        <v>279</v>
      </c>
      <c r="R381">
        <v>8</v>
      </c>
      <c r="AI381" t="s">
        <v>276</v>
      </c>
      <c r="AJ381">
        <v>38822</v>
      </c>
      <c r="AL381">
        <f>COUNTIF(AI:AI,AK381)</f>
        <v>0</v>
      </c>
      <c r="AM381">
        <f>SUMIF(AI:AI,AK381,AJ:AJ)</f>
        <v>0</v>
      </c>
      <c r="AP381" t="s">
        <v>32</v>
      </c>
      <c r="AQ381" t="s">
        <v>120</v>
      </c>
      <c r="BP381" t="s">
        <v>23</v>
      </c>
      <c r="BQ381" t="s">
        <v>335</v>
      </c>
      <c r="BR381">
        <f t="shared" si="69"/>
        <v>3</v>
      </c>
      <c r="BS381">
        <f t="shared" si="63"/>
        <v>2024</v>
      </c>
      <c r="BT381">
        <v>9</v>
      </c>
      <c r="BU381" t="str">
        <f t="shared" si="64"/>
        <v>2024-3</v>
      </c>
      <c r="BV381">
        <f t="shared" si="65"/>
        <v>2</v>
      </c>
      <c r="BX381" t="s">
        <v>8</v>
      </c>
      <c r="BY381" t="s">
        <v>277</v>
      </c>
      <c r="BZ381">
        <v>38822</v>
      </c>
      <c r="CA381">
        <f t="shared" si="66"/>
        <v>1</v>
      </c>
      <c r="CB381">
        <f t="shared" si="67"/>
        <v>2024</v>
      </c>
      <c r="CC381" t="str">
        <f t="shared" si="68"/>
        <v>2024-1</v>
      </c>
    </row>
    <row r="382" spans="1:81" x14ac:dyDescent="0.25">
      <c r="A382" t="s">
        <v>32</v>
      </c>
      <c r="B382" t="s">
        <v>278</v>
      </c>
      <c r="C382" t="s">
        <v>277</v>
      </c>
      <c r="D382">
        <v>73054</v>
      </c>
      <c r="E382">
        <v>6</v>
      </c>
      <c r="P382" t="s">
        <v>36</v>
      </c>
      <c r="Q382" t="s">
        <v>274</v>
      </c>
      <c r="R382">
        <v>3</v>
      </c>
      <c r="AI382" t="s">
        <v>278</v>
      </c>
      <c r="AJ382">
        <v>73054</v>
      </c>
      <c r="AL382">
        <f>COUNTIF(AI:AI,AK382)</f>
        <v>0</v>
      </c>
      <c r="AM382">
        <f>SUMIF(AI:AI,AK382,AJ:AJ)</f>
        <v>0</v>
      </c>
      <c r="AP382" t="s">
        <v>10</v>
      </c>
      <c r="AQ382" t="s">
        <v>290</v>
      </c>
      <c r="BP382" t="s">
        <v>23</v>
      </c>
      <c r="BQ382" t="s">
        <v>339</v>
      </c>
      <c r="BR382">
        <f t="shared" si="69"/>
        <v>3</v>
      </c>
      <c r="BS382">
        <f t="shared" si="63"/>
        <v>2024</v>
      </c>
      <c r="BT382">
        <v>6</v>
      </c>
      <c r="BU382" t="str">
        <f t="shared" si="64"/>
        <v>2024-3</v>
      </c>
      <c r="BV382">
        <f t="shared" si="65"/>
        <v>0</v>
      </c>
      <c r="BX382" t="s">
        <v>32</v>
      </c>
      <c r="BY382" t="s">
        <v>277</v>
      </c>
      <c r="BZ382">
        <v>73054</v>
      </c>
      <c r="CA382">
        <f t="shared" si="66"/>
        <v>1</v>
      </c>
      <c r="CB382">
        <f t="shared" si="67"/>
        <v>2024</v>
      </c>
      <c r="CC382" t="str">
        <f t="shared" si="68"/>
        <v>2024-1</v>
      </c>
    </row>
    <row r="383" spans="1:81" x14ac:dyDescent="0.25">
      <c r="A383" t="s">
        <v>33</v>
      </c>
      <c r="B383" t="s">
        <v>30</v>
      </c>
      <c r="C383" t="s">
        <v>277</v>
      </c>
      <c r="D383">
        <v>86564</v>
      </c>
      <c r="E383">
        <v>8</v>
      </c>
      <c r="P383" t="s">
        <v>12</v>
      </c>
      <c r="Q383" t="s">
        <v>93</v>
      </c>
      <c r="R383">
        <v>3</v>
      </c>
      <c r="AI383" t="s">
        <v>30</v>
      </c>
      <c r="AJ383">
        <v>86564</v>
      </c>
      <c r="AL383">
        <f>COUNTIF(AI:AI,AK383)</f>
        <v>0</v>
      </c>
      <c r="AM383">
        <f>SUMIF(AI:AI,AK383,AJ:AJ)</f>
        <v>0</v>
      </c>
      <c r="AP383" t="s">
        <v>23</v>
      </c>
      <c r="AQ383" t="s">
        <v>173</v>
      </c>
      <c r="BP383" t="s">
        <v>23</v>
      </c>
      <c r="BQ383" t="s">
        <v>340</v>
      </c>
      <c r="BR383">
        <f t="shared" si="69"/>
        <v>4</v>
      </c>
      <c r="BS383">
        <f t="shared" si="63"/>
        <v>2024</v>
      </c>
      <c r="BT383">
        <v>8</v>
      </c>
      <c r="BU383" t="str">
        <f t="shared" si="64"/>
        <v>2024-4</v>
      </c>
      <c r="BV383">
        <f t="shared" si="65"/>
        <v>1</v>
      </c>
      <c r="BX383" t="s">
        <v>33</v>
      </c>
      <c r="BY383" t="s">
        <v>277</v>
      </c>
      <c r="BZ383">
        <v>86564</v>
      </c>
      <c r="CA383">
        <f t="shared" si="66"/>
        <v>1</v>
      </c>
      <c r="CB383">
        <f t="shared" si="67"/>
        <v>2024</v>
      </c>
      <c r="CC383" t="str">
        <f t="shared" si="68"/>
        <v>2024-1</v>
      </c>
    </row>
    <row r="384" spans="1:81" x14ac:dyDescent="0.25">
      <c r="A384" t="s">
        <v>10</v>
      </c>
      <c r="B384" t="s">
        <v>110</v>
      </c>
      <c r="C384" t="s">
        <v>277</v>
      </c>
      <c r="D384">
        <v>70083</v>
      </c>
      <c r="E384">
        <v>6</v>
      </c>
      <c r="P384" t="s">
        <v>36</v>
      </c>
      <c r="Q384" t="s">
        <v>107</v>
      </c>
      <c r="R384">
        <v>5</v>
      </c>
      <c r="AI384" t="s">
        <v>110</v>
      </c>
      <c r="AJ384">
        <v>70083</v>
      </c>
      <c r="AL384">
        <f>COUNTIF(AI:AI,AK384)</f>
        <v>0</v>
      </c>
      <c r="AM384">
        <f>SUMIF(AI:AI,AK384,AJ:AJ)</f>
        <v>0</v>
      </c>
      <c r="AP384" t="s">
        <v>12</v>
      </c>
      <c r="AQ384" t="s">
        <v>254</v>
      </c>
      <c r="BP384" t="s">
        <v>23</v>
      </c>
      <c r="BQ384" t="s">
        <v>340</v>
      </c>
      <c r="BR384">
        <f t="shared" si="69"/>
        <v>4</v>
      </c>
      <c r="BS384">
        <f t="shared" si="63"/>
        <v>2024</v>
      </c>
      <c r="BT384">
        <v>6</v>
      </c>
      <c r="BU384" t="str">
        <f t="shared" si="64"/>
        <v>2024-4</v>
      </c>
      <c r="BV384">
        <f t="shared" si="65"/>
        <v>0</v>
      </c>
      <c r="BX384" t="s">
        <v>10</v>
      </c>
      <c r="BY384" t="s">
        <v>277</v>
      </c>
      <c r="BZ384">
        <v>70083</v>
      </c>
      <c r="CA384">
        <f t="shared" si="66"/>
        <v>1</v>
      </c>
      <c r="CB384">
        <f t="shared" si="67"/>
        <v>2024</v>
      </c>
      <c r="CC384" t="str">
        <f t="shared" si="68"/>
        <v>2024-1</v>
      </c>
    </row>
    <row r="385" spans="1:81" x14ac:dyDescent="0.25">
      <c r="A385" t="s">
        <v>12</v>
      </c>
      <c r="B385" t="s">
        <v>279</v>
      </c>
      <c r="C385" t="s">
        <v>280</v>
      </c>
      <c r="D385">
        <v>76727</v>
      </c>
      <c r="E385">
        <v>8</v>
      </c>
      <c r="P385" t="s">
        <v>20</v>
      </c>
      <c r="Q385" t="s">
        <v>281</v>
      </c>
      <c r="R385">
        <v>10</v>
      </c>
      <c r="AI385" t="s">
        <v>279</v>
      </c>
      <c r="AJ385">
        <v>76727</v>
      </c>
      <c r="AL385">
        <f>COUNTIF(AI:AI,AK385)</f>
        <v>0</v>
      </c>
      <c r="AM385">
        <f>SUMIF(AI:AI,AK385,AJ:AJ)</f>
        <v>0</v>
      </c>
      <c r="AP385" t="s">
        <v>32</v>
      </c>
      <c r="AQ385" t="s">
        <v>269</v>
      </c>
      <c r="BP385" t="s">
        <v>23</v>
      </c>
      <c r="BQ385" t="s">
        <v>346</v>
      </c>
      <c r="BR385">
        <f t="shared" si="69"/>
        <v>4</v>
      </c>
      <c r="BS385">
        <f t="shared" si="63"/>
        <v>2024</v>
      </c>
      <c r="BT385">
        <v>8</v>
      </c>
      <c r="BU385" t="str">
        <f t="shared" si="64"/>
        <v>2024-4</v>
      </c>
      <c r="BV385">
        <f t="shared" si="65"/>
        <v>1</v>
      </c>
      <c r="BX385" t="s">
        <v>12</v>
      </c>
      <c r="BY385" t="s">
        <v>280</v>
      </c>
      <c r="BZ385">
        <v>76727</v>
      </c>
      <c r="CA385">
        <f t="shared" si="66"/>
        <v>1</v>
      </c>
      <c r="CB385">
        <f t="shared" si="67"/>
        <v>2024</v>
      </c>
      <c r="CC385" t="str">
        <f t="shared" si="68"/>
        <v>2024-1</v>
      </c>
    </row>
    <row r="386" spans="1:81" x14ac:dyDescent="0.25">
      <c r="A386" t="s">
        <v>36</v>
      </c>
      <c r="B386" t="s">
        <v>274</v>
      </c>
      <c r="C386" t="s">
        <v>280</v>
      </c>
      <c r="D386">
        <v>44344</v>
      </c>
      <c r="E386">
        <v>3</v>
      </c>
      <c r="P386" t="s">
        <v>10</v>
      </c>
      <c r="Q386" t="s">
        <v>135</v>
      </c>
      <c r="R386">
        <v>5</v>
      </c>
      <c r="AI386" t="s">
        <v>274</v>
      </c>
      <c r="AJ386">
        <v>44344</v>
      </c>
      <c r="AL386">
        <f>COUNTIF(AI:AI,AK386)</f>
        <v>0</v>
      </c>
      <c r="AM386">
        <f>SUMIF(AI:AI,AK386,AJ:AJ)</f>
        <v>0</v>
      </c>
      <c r="AP386" t="s">
        <v>36</v>
      </c>
      <c r="AQ386" t="s">
        <v>171</v>
      </c>
      <c r="BP386" t="s">
        <v>23</v>
      </c>
      <c r="BQ386" t="s">
        <v>346</v>
      </c>
      <c r="BR386">
        <f t="shared" si="69"/>
        <v>4</v>
      </c>
      <c r="BS386">
        <f t="shared" si="63"/>
        <v>2024</v>
      </c>
      <c r="BT386">
        <v>3</v>
      </c>
      <c r="BU386" t="str">
        <f t="shared" si="64"/>
        <v>2024-4</v>
      </c>
      <c r="BV386">
        <f t="shared" si="65"/>
        <v>0</v>
      </c>
      <c r="BX386" t="s">
        <v>36</v>
      </c>
      <c r="BY386" t="s">
        <v>280</v>
      </c>
      <c r="BZ386">
        <v>44344</v>
      </c>
      <c r="CA386">
        <f t="shared" si="66"/>
        <v>1</v>
      </c>
      <c r="CB386">
        <f t="shared" si="67"/>
        <v>2024</v>
      </c>
      <c r="CC386" t="str">
        <f t="shared" si="68"/>
        <v>2024-1</v>
      </c>
    </row>
    <row r="387" spans="1:81" x14ac:dyDescent="0.25">
      <c r="A387" t="s">
        <v>12</v>
      </c>
      <c r="B387" t="s">
        <v>93</v>
      </c>
      <c r="C387" t="s">
        <v>280</v>
      </c>
      <c r="D387">
        <v>50818</v>
      </c>
      <c r="E387">
        <v>3</v>
      </c>
      <c r="P387" t="s">
        <v>5</v>
      </c>
      <c r="Q387" t="s">
        <v>48</v>
      </c>
      <c r="R387">
        <v>5</v>
      </c>
      <c r="AI387" t="s">
        <v>93</v>
      </c>
      <c r="AJ387">
        <v>50818</v>
      </c>
      <c r="AL387">
        <f>COUNTIF(AI:AI,AK387)</f>
        <v>0</v>
      </c>
      <c r="AM387">
        <f>SUMIF(AI:AI,AK387,AJ:AJ)</f>
        <v>0</v>
      </c>
      <c r="AP387" t="s">
        <v>32</v>
      </c>
      <c r="AQ387" t="s">
        <v>249</v>
      </c>
      <c r="BP387" t="s">
        <v>23</v>
      </c>
      <c r="BQ387" t="s">
        <v>349</v>
      </c>
      <c r="BR387">
        <f t="shared" si="69"/>
        <v>4</v>
      </c>
      <c r="BS387">
        <f t="shared" ref="BS387:BS450" si="70">YEAR(BQ387)</f>
        <v>2024</v>
      </c>
      <c r="BT387">
        <v>3</v>
      </c>
      <c r="BU387" t="str">
        <f t="shared" ref="BU387:BU450" si="71">BS387&amp;"-"&amp;BR387</f>
        <v>2024-4</v>
      </c>
      <c r="BV387">
        <f t="shared" ref="BV387:BV450" si="72">IF(BT387&lt;7,0,IF(BT387&lt;9,1,2))</f>
        <v>0</v>
      </c>
      <c r="BX387" t="s">
        <v>12</v>
      </c>
      <c r="BY387" t="s">
        <v>280</v>
      </c>
      <c r="BZ387">
        <v>50818</v>
      </c>
      <c r="CA387">
        <f t="shared" ref="CA387:CA450" si="73">MONTH(BY387)</f>
        <v>1</v>
      </c>
      <c r="CB387">
        <f t="shared" ref="CB387:CB450" si="74">YEAR(BY387)</f>
        <v>2024</v>
      </c>
      <c r="CC387" t="str">
        <f t="shared" ref="CC387:CC450" si="75">CB387&amp;"-"&amp;CA387</f>
        <v>2024-1</v>
      </c>
    </row>
    <row r="388" spans="1:81" x14ac:dyDescent="0.25">
      <c r="A388" t="s">
        <v>36</v>
      </c>
      <c r="B388" t="s">
        <v>107</v>
      </c>
      <c r="C388" t="s">
        <v>280</v>
      </c>
      <c r="D388">
        <v>95020</v>
      </c>
      <c r="E388">
        <v>5</v>
      </c>
      <c r="P388" t="s">
        <v>17</v>
      </c>
      <c r="Q388" t="s">
        <v>139</v>
      </c>
      <c r="R388">
        <v>9</v>
      </c>
      <c r="AI388" t="s">
        <v>107</v>
      </c>
      <c r="AJ388">
        <v>95020</v>
      </c>
      <c r="AL388">
        <f>COUNTIF(AI:AI,AK388)</f>
        <v>0</v>
      </c>
      <c r="AM388">
        <f>SUMIF(AI:AI,AK388,AJ:AJ)</f>
        <v>0</v>
      </c>
      <c r="AP388" t="s">
        <v>14</v>
      </c>
      <c r="AQ388" t="s">
        <v>48</v>
      </c>
      <c r="BP388" t="s">
        <v>23</v>
      </c>
      <c r="BQ388" t="s">
        <v>351</v>
      </c>
      <c r="BR388">
        <f t="shared" si="69"/>
        <v>4</v>
      </c>
      <c r="BS388">
        <f t="shared" si="70"/>
        <v>2024</v>
      </c>
      <c r="BT388">
        <v>5</v>
      </c>
      <c r="BU388" t="str">
        <f t="shared" si="71"/>
        <v>2024-4</v>
      </c>
      <c r="BV388">
        <f t="shared" si="72"/>
        <v>0</v>
      </c>
      <c r="BX388" t="s">
        <v>36</v>
      </c>
      <c r="BY388" t="s">
        <v>280</v>
      </c>
      <c r="BZ388">
        <v>95020</v>
      </c>
      <c r="CA388">
        <f t="shared" si="73"/>
        <v>1</v>
      </c>
      <c r="CB388">
        <f t="shared" si="74"/>
        <v>2024</v>
      </c>
      <c r="CC388" t="str">
        <f t="shared" si="75"/>
        <v>2024-1</v>
      </c>
    </row>
    <row r="389" spans="1:81" x14ac:dyDescent="0.25">
      <c r="A389" t="s">
        <v>20</v>
      </c>
      <c r="B389" t="s">
        <v>281</v>
      </c>
      <c r="C389" t="s">
        <v>282</v>
      </c>
      <c r="D389">
        <v>50614</v>
      </c>
      <c r="E389">
        <v>10</v>
      </c>
      <c r="P389" t="s">
        <v>17</v>
      </c>
      <c r="Q389" t="s">
        <v>152</v>
      </c>
      <c r="R389">
        <v>6</v>
      </c>
      <c r="AI389" t="s">
        <v>281</v>
      </c>
      <c r="AJ389">
        <v>50614</v>
      </c>
      <c r="AL389">
        <f>COUNTIF(AI:AI,AK389)</f>
        <v>0</v>
      </c>
      <c r="AM389">
        <f>SUMIF(AI:AI,AK389,AJ:AJ)</f>
        <v>0</v>
      </c>
      <c r="AP389" t="s">
        <v>8</v>
      </c>
      <c r="AQ389" t="s">
        <v>195</v>
      </c>
      <c r="BP389" t="s">
        <v>23</v>
      </c>
      <c r="BQ389" t="s">
        <v>358</v>
      </c>
      <c r="BR389">
        <f t="shared" si="69"/>
        <v>4</v>
      </c>
      <c r="BS389">
        <f t="shared" si="70"/>
        <v>2024</v>
      </c>
      <c r="BT389">
        <v>10</v>
      </c>
      <c r="BU389" t="str">
        <f t="shared" si="71"/>
        <v>2024-4</v>
      </c>
      <c r="BV389">
        <f t="shared" si="72"/>
        <v>2</v>
      </c>
      <c r="BX389" t="s">
        <v>20</v>
      </c>
      <c r="BY389" t="s">
        <v>282</v>
      </c>
      <c r="BZ389">
        <v>50614</v>
      </c>
      <c r="CA389">
        <f t="shared" si="73"/>
        <v>1</v>
      </c>
      <c r="CB389">
        <f t="shared" si="74"/>
        <v>2024</v>
      </c>
      <c r="CC389" t="str">
        <f t="shared" si="75"/>
        <v>2024-1</v>
      </c>
    </row>
    <row r="390" spans="1:81" x14ac:dyDescent="0.25">
      <c r="A390" t="s">
        <v>10</v>
      </c>
      <c r="B390" t="s">
        <v>135</v>
      </c>
      <c r="C390" t="s">
        <v>282</v>
      </c>
      <c r="D390">
        <v>50474</v>
      </c>
      <c r="E390">
        <v>5</v>
      </c>
      <c r="P390" t="s">
        <v>17</v>
      </c>
      <c r="Q390" t="s">
        <v>283</v>
      </c>
      <c r="R390">
        <v>6</v>
      </c>
      <c r="AI390" t="s">
        <v>135</v>
      </c>
      <c r="AJ390">
        <v>50474</v>
      </c>
      <c r="AL390">
        <f>COUNTIF(AI:AI,AK390)</f>
        <v>0</v>
      </c>
      <c r="AM390">
        <f>SUMIF(AI:AI,AK390,AJ:AJ)</f>
        <v>0</v>
      </c>
      <c r="AP390" t="s">
        <v>10</v>
      </c>
      <c r="AQ390" t="s">
        <v>30</v>
      </c>
      <c r="BP390" t="s">
        <v>23</v>
      </c>
      <c r="BQ390" t="s">
        <v>359</v>
      </c>
      <c r="BR390">
        <f t="shared" si="69"/>
        <v>4</v>
      </c>
      <c r="BS390">
        <f t="shared" si="70"/>
        <v>2024</v>
      </c>
      <c r="BT390">
        <v>5</v>
      </c>
      <c r="BU390" t="str">
        <f t="shared" si="71"/>
        <v>2024-4</v>
      </c>
      <c r="BV390">
        <f t="shared" si="72"/>
        <v>0</v>
      </c>
      <c r="BX390" t="s">
        <v>10</v>
      </c>
      <c r="BY390" t="s">
        <v>282</v>
      </c>
      <c r="BZ390">
        <v>50474</v>
      </c>
      <c r="CA390">
        <f t="shared" si="73"/>
        <v>1</v>
      </c>
      <c r="CB390">
        <f t="shared" si="74"/>
        <v>2024</v>
      </c>
      <c r="CC390" t="str">
        <f t="shared" si="75"/>
        <v>2024-1</v>
      </c>
    </row>
    <row r="391" spans="1:81" x14ac:dyDescent="0.25">
      <c r="A391" t="s">
        <v>5</v>
      </c>
      <c r="B391" t="s">
        <v>48</v>
      </c>
      <c r="C391" t="s">
        <v>282</v>
      </c>
      <c r="D391">
        <v>52204</v>
      </c>
      <c r="E391">
        <v>5</v>
      </c>
      <c r="P391" t="s">
        <v>14</v>
      </c>
      <c r="Q391" t="s">
        <v>177</v>
      </c>
      <c r="R391">
        <v>7</v>
      </c>
      <c r="AI391" t="s">
        <v>48</v>
      </c>
      <c r="AJ391">
        <v>52204</v>
      </c>
      <c r="AL391">
        <f>COUNTIF(AI:AI,AK391)</f>
        <v>0</v>
      </c>
      <c r="AM391">
        <f>SUMIF(AI:AI,AK391,AJ:AJ)</f>
        <v>0</v>
      </c>
      <c r="AP391" t="s">
        <v>27</v>
      </c>
      <c r="AQ391" t="s">
        <v>269</v>
      </c>
      <c r="BP391" t="s">
        <v>23</v>
      </c>
      <c r="BQ391" t="s">
        <v>363</v>
      </c>
      <c r="BR391">
        <f t="shared" si="69"/>
        <v>5</v>
      </c>
      <c r="BS391">
        <f t="shared" si="70"/>
        <v>2024</v>
      </c>
      <c r="BT391">
        <v>5</v>
      </c>
      <c r="BU391" t="str">
        <f t="shared" si="71"/>
        <v>2024-5</v>
      </c>
      <c r="BV391">
        <f t="shared" si="72"/>
        <v>0</v>
      </c>
      <c r="BX391" t="s">
        <v>5</v>
      </c>
      <c r="BY391" t="s">
        <v>282</v>
      </c>
      <c r="BZ391">
        <v>52204</v>
      </c>
      <c r="CA391">
        <f t="shared" si="73"/>
        <v>1</v>
      </c>
      <c r="CB391">
        <f t="shared" si="74"/>
        <v>2024</v>
      </c>
      <c r="CC391" t="str">
        <f t="shared" si="75"/>
        <v>2024-1</v>
      </c>
    </row>
    <row r="392" spans="1:81" x14ac:dyDescent="0.25">
      <c r="A392" t="s">
        <v>17</v>
      </c>
      <c r="B392" t="s">
        <v>139</v>
      </c>
      <c r="C392" t="s">
        <v>282</v>
      </c>
      <c r="D392">
        <v>29481</v>
      </c>
      <c r="E392">
        <v>9</v>
      </c>
      <c r="P392" t="s">
        <v>8</v>
      </c>
      <c r="Q392" t="s">
        <v>45</v>
      </c>
      <c r="R392">
        <v>6</v>
      </c>
      <c r="AI392" t="s">
        <v>139</v>
      </c>
      <c r="AJ392">
        <v>29481</v>
      </c>
      <c r="AL392">
        <f>COUNTIF(AI:AI,AK392)</f>
        <v>0</v>
      </c>
      <c r="AM392">
        <f>SUMIF(AI:AI,AK392,AJ:AJ)</f>
        <v>0</v>
      </c>
      <c r="AP392" t="s">
        <v>32</v>
      </c>
      <c r="AQ392" t="s">
        <v>180</v>
      </c>
      <c r="BP392" t="s">
        <v>23</v>
      </c>
      <c r="BQ392" t="s">
        <v>363</v>
      </c>
      <c r="BR392">
        <f t="shared" si="69"/>
        <v>5</v>
      </c>
      <c r="BS392">
        <f t="shared" si="70"/>
        <v>2024</v>
      </c>
      <c r="BT392">
        <v>9</v>
      </c>
      <c r="BU392" t="str">
        <f t="shared" si="71"/>
        <v>2024-5</v>
      </c>
      <c r="BV392">
        <f t="shared" si="72"/>
        <v>2</v>
      </c>
      <c r="BX392" t="s">
        <v>17</v>
      </c>
      <c r="BY392" t="s">
        <v>282</v>
      </c>
      <c r="BZ392">
        <v>29481</v>
      </c>
      <c r="CA392">
        <f t="shared" si="73"/>
        <v>1</v>
      </c>
      <c r="CB392">
        <f t="shared" si="74"/>
        <v>2024</v>
      </c>
      <c r="CC392" t="str">
        <f t="shared" si="75"/>
        <v>2024-1</v>
      </c>
    </row>
    <row r="393" spans="1:81" x14ac:dyDescent="0.25">
      <c r="A393" t="s">
        <v>17</v>
      </c>
      <c r="B393" t="s">
        <v>152</v>
      </c>
      <c r="C393" t="s">
        <v>282</v>
      </c>
      <c r="D393">
        <v>22344</v>
      </c>
      <c r="E393">
        <v>6</v>
      </c>
      <c r="P393" t="s">
        <v>27</v>
      </c>
      <c r="Q393" t="s">
        <v>41</v>
      </c>
      <c r="R393">
        <v>5</v>
      </c>
      <c r="AI393" t="s">
        <v>152</v>
      </c>
      <c r="AJ393">
        <v>22344</v>
      </c>
      <c r="AL393">
        <f>COUNTIF(AI:AI,AK393)</f>
        <v>0</v>
      </c>
      <c r="AM393">
        <f>SUMIF(AI:AI,AK393,AJ:AJ)</f>
        <v>0</v>
      </c>
      <c r="AP393" t="s">
        <v>27</v>
      </c>
      <c r="AQ393" t="s">
        <v>276</v>
      </c>
      <c r="BP393" t="s">
        <v>23</v>
      </c>
      <c r="BQ393" t="s">
        <v>367</v>
      </c>
      <c r="BR393">
        <f t="shared" si="69"/>
        <v>5</v>
      </c>
      <c r="BS393">
        <f t="shared" si="70"/>
        <v>2024</v>
      </c>
      <c r="BT393">
        <v>6</v>
      </c>
      <c r="BU393" t="str">
        <f t="shared" si="71"/>
        <v>2024-5</v>
      </c>
      <c r="BV393">
        <f t="shared" si="72"/>
        <v>0</v>
      </c>
      <c r="BX393" t="s">
        <v>17</v>
      </c>
      <c r="BY393" t="s">
        <v>282</v>
      </c>
      <c r="BZ393">
        <v>22344</v>
      </c>
      <c r="CA393">
        <f t="shared" si="73"/>
        <v>1</v>
      </c>
      <c r="CB393">
        <f t="shared" si="74"/>
        <v>2024</v>
      </c>
      <c r="CC393" t="str">
        <f t="shared" si="75"/>
        <v>2024-1</v>
      </c>
    </row>
    <row r="394" spans="1:81" x14ac:dyDescent="0.25">
      <c r="A394" t="s">
        <v>17</v>
      </c>
      <c r="B394" t="s">
        <v>283</v>
      </c>
      <c r="C394" t="s">
        <v>282</v>
      </c>
      <c r="D394">
        <v>34416</v>
      </c>
      <c r="E394">
        <v>6</v>
      </c>
      <c r="P394" t="s">
        <v>17</v>
      </c>
      <c r="Q394" t="s">
        <v>62</v>
      </c>
      <c r="R394">
        <v>5</v>
      </c>
      <c r="AI394" t="s">
        <v>283</v>
      </c>
      <c r="AJ394">
        <v>34416</v>
      </c>
      <c r="AL394">
        <f>COUNTIF(AI:AI,AK394)</f>
        <v>0</v>
      </c>
      <c r="AM394">
        <f>SUMIF(AI:AI,AK394,AJ:AJ)</f>
        <v>0</v>
      </c>
      <c r="AP394" t="s">
        <v>5</v>
      </c>
      <c r="AQ394" t="s">
        <v>42</v>
      </c>
      <c r="BP394" t="s">
        <v>23</v>
      </c>
      <c r="BQ394" t="s">
        <v>374</v>
      </c>
      <c r="BR394">
        <f t="shared" si="69"/>
        <v>5</v>
      </c>
      <c r="BS394">
        <f t="shared" si="70"/>
        <v>2024</v>
      </c>
      <c r="BT394">
        <v>6</v>
      </c>
      <c r="BU394" t="str">
        <f t="shared" si="71"/>
        <v>2024-5</v>
      </c>
      <c r="BV394">
        <f t="shared" si="72"/>
        <v>0</v>
      </c>
      <c r="BX394" t="s">
        <v>17</v>
      </c>
      <c r="BY394" t="s">
        <v>282</v>
      </c>
      <c r="BZ394">
        <v>34416</v>
      </c>
      <c r="CA394">
        <f t="shared" si="73"/>
        <v>1</v>
      </c>
      <c r="CB394">
        <f t="shared" si="74"/>
        <v>2024</v>
      </c>
      <c r="CC394" t="str">
        <f t="shared" si="75"/>
        <v>2024-1</v>
      </c>
    </row>
    <row r="395" spans="1:81" x14ac:dyDescent="0.25">
      <c r="A395" t="s">
        <v>14</v>
      </c>
      <c r="B395" t="s">
        <v>177</v>
      </c>
      <c r="C395" t="s">
        <v>282</v>
      </c>
      <c r="D395">
        <v>16091</v>
      </c>
      <c r="E395">
        <v>7</v>
      </c>
      <c r="P395" t="s">
        <v>32</v>
      </c>
      <c r="Q395" t="s">
        <v>47</v>
      </c>
      <c r="R395">
        <v>7</v>
      </c>
      <c r="AI395" t="s">
        <v>177</v>
      </c>
      <c r="AJ395">
        <v>16091</v>
      </c>
      <c r="AL395">
        <f>COUNTIF(AI:AI,AK395)</f>
        <v>0</v>
      </c>
      <c r="AM395">
        <f>SUMIF(AI:AI,AK395,AJ:AJ)</f>
        <v>0</v>
      </c>
      <c r="AP395" t="s">
        <v>33</v>
      </c>
      <c r="AQ395" t="s">
        <v>245</v>
      </c>
      <c r="BP395" t="s">
        <v>23</v>
      </c>
      <c r="BQ395" t="s">
        <v>374</v>
      </c>
      <c r="BR395">
        <f t="shared" si="69"/>
        <v>5</v>
      </c>
      <c r="BS395">
        <f t="shared" si="70"/>
        <v>2024</v>
      </c>
      <c r="BT395">
        <v>7</v>
      </c>
      <c r="BU395" t="str">
        <f t="shared" si="71"/>
        <v>2024-5</v>
      </c>
      <c r="BV395">
        <f t="shared" si="72"/>
        <v>1</v>
      </c>
      <c r="BX395" t="s">
        <v>14</v>
      </c>
      <c r="BY395" t="s">
        <v>282</v>
      </c>
      <c r="BZ395">
        <v>16091</v>
      </c>
      <c r="CA395">
        <f t="shared" si="73"/>
        <v>1</v>
      </c>
      <c r="CB395">
        <f t="shared" si="74"/>
        <v>2024</v>
      </c>
      <c r="CC395" t="str">
        <f t="shared" si="75"/>
        <v>2024-1</v>
      </c>
    </row>
    <row r="396" spans="1:81" x14ac:dyDescent="0.25">
      <c r="A396" t="s">
        <v>8</v>
      </c>
      <c r="B396" t="s">
        <v>45</v>
      </c>
      <c r="C396" t="s">
        <v>282</v>
      </c>
      <c r="D396">
        <v>79184</v>
      </c>
      <c r="E396">
        <v>6</v>
      </c>
      <c r="P396" t="s">
        <v>36</v>
      </c>
      <c r="Q396" t="s">
        <v>244</v>
      </c>
      <c r="R396">
        <v>8</v>
      </c>
      <c r="AI396" t="s">
        <v>45</v>
      </c>
      <c r="AJ396">
        <v>79184</v>
      </c>
      <c r="AL396">
        <f>COUNTIF(AI:AI,AK396)</f>
        <v>0</v>
      </c>
      <c r="AM396">
        <f>SUMIF(AI:AI,AK396,AJ:AJ)</f>
        <v>0</v>
      </c>
      <c r="AP396" t="s">
        <v>32</v>
      </c>
      <c r="AQ396" t="s">
        <v>60</v>
      </c>
      <c r="BP396" t="s">
        <v>23</v>
      </c>
      <c r="BQ396" t="s">
        <v>377</v>
      </c>
      <c r="BR396">
        <f t="shared" si="69"/>
        <v>5</v>
      </c>
      <c r="BS396">
        <f t="shared" si="70"/>
        <v>2024</v>
      </c>
      <c r="BT396">
        <v>6</v>
      </c>
      <c r="BU396" t="str">
        <f t="shared" si="71"/>
        <v>2024-5</v>
      </c>
      <c r="BV396">
        <f t="shared" si="72"/>
        <v>0</v>
      </c>
      <c r="BX396" t="s">
        <v>8</v>
      </c>
      <c r="BY396" t="s">
        <v>282</v>
      </c>
      <c r="BZ396">
        <v>79184</v>
      </c>
      <c r="CA396">
        <f t="shared" si="73"/>
        <v>1</v>
      </c>
      <c r="CB396">
        <f t="shared" si="74"/>
        <v>2024</v>
      </c>
      <c r="CC396" t="str">
        <f t="shared" si="75"/>
        <v>2024-1</v>
      </c>
    </row>
    <row r="397" spans="1:81" x14ac:dyDescent="0.25">
      <c r="A397" t="s">
        <v>27</v>
      </c>
      <c r="B397" t="s">
        <v>41</v>
      </c>
      <c r="C397" t="s">
        <v>282</v>
      </c>
      <c r="D397">
        <v>92995</v>
      </c>
      <c r="E397">
        <v>5</v>
      </c>
      <c r="P397" t="s">
        <v>8</v>
      </c>
      <c r="Q397" t="s">
        <v>133</v>
      </c>
      <c r="R397">
        <v>8</v>
      </c>
      <c r="AI397" t="s">
        <v>41</v>
      </c>
      <c r="AJ397">
        <v>92995</v>
      </c>
      <c r="AL397">
        <f>COUNTIF(AI:AI,AK397)</f>
        <v>0</v>
      </c>
      <c r="AM397">
        <f>SUMIF(AI:AI,AK397,AJ:AJ)</f>
        <v>0</v>
      </c>
      <c r="AP397" t="s">
        <v>33</v>
      </c>
      <c r="AQ397" t="s">
        <v>294</v>
      </c>
      <c r="BP397" t="s">
        <v>23</v>
      </c>
      <c r="BQ397" t="s">
        <v>378</v>
      </c>
      <c r="BR397">
        <f t="shared" si="69"/>
        <v>5</v>
      </c>
      <c r="BS397">
        <f t="shared" si="70"/>
        <v>2024</v>
      </c>
      <c r="BT397">
        <v>5</v>
      </c>
      <c r="BU397" t="str">
        <f t="shared" si="71"/>
        <v>2024-5</v>
      </c>
      <c r="BV397">
        <f t="shared" si="72"/>
        <v>0</v>
      </c>
      <c r="BX397" t="s">
        <v>27</v>
      </c>
      <c r="BY397" t="s">
        <v>282</v>
      </c>
      <c r="BZ397">
        <v>92995</v>
      </c>
      <c r="CA397">
        <f t="shared" si="73"/>
        <v>1</v>
      </c>
      <c r="CB397">
        <f t="shared" si="74"/>
        <v>2024</v>
      </c>
      <c r="CC397" t="str">
        <f t="shared" si="75"/>
        <v>2024-1</v>
      </c>
    </row>
    <row r="398" spans="1:81" x14ac:dyDescent="0.25">
      <c r="A398" t="s">
        <v>17</v>
      </c>
      <c r="B398" t="s">
        <v>62</v>
      </c>
      <c r="C398" t="s">
        <v>282</v>
      </c>
      <c r="D398">
        <v>58525</v>
      </c>
      <c r="E398">
        <v>5</v>
      </c>
      <c r="P398" t="s">
        <v>8</v>
      </c>
      <c r="Q398" t="s">
        <v>121</v>
      </c>
      <c r="R398">
        <v>7</v>
      </c>
      <c r="AI398" t="s">
        <v>62</v>
      </c>
      <c r="AJ398">
        <v>58525</v>
      </c>
      <c r="AL398">
        <f>COUNTIF(AI:AI,AK398)</f>
        <v>0</v>
      </c>
      <c r="AM398">
        <f>SUMIF(AI:AI,AK398,AJ:AJ)</f>
        <v>0</v>
      </c>
      <c r="AP398" t="s">
        <v>32</v>
      </c>
      <c r="AQ398" t="s">
        <v>296</v>
      </c>
      <c r="BP398" t="s">
        <v>23</v>
      </c>
      <c r="BQ398" t="s">
        <v>379</v>
      </c>
      <c r="BR398">
        <f t="shared" si="69"/>
        <v>5</v>
      </c>
      <c r="BS398">
        <f t="shared" si="70"/>
        <v>2024</v>
      </c>
      <c r="BT398">
        <v>5</v>
      </c>
      <c r="BU398" t="str">
        <f t="shared" si="71"/>
        <v>2024-5</v>
      </c>
      <c r="BV398">
        <f t="shared" si="72"/>
        <v>0</v>
      </c>
      <c r="BX398" t="s">
        <v>17</v>
      </c>
      <c r="BY398" t="s">
        <v>282</v>
      </c>
      <c r="BZ398">
        <v>58525</v>
      </c>
      <c r="CA398">
        <f t="shared" si="73"/>
        <v>1</v>
      </c>
      <c r="CB398">
        <f t="shared" si="74"/>
        <v>2024</v>
      </c>
      <c r="CC398" t="str">
        <f t="shared" si="75"/>
        <v>2024-1</v>
      </c>
    </row>
    <row r="399" spans="1:81" x14ac:dyDescent="0.25">
      <c r="A399" t="s">
        <v>32</v>
      </c>
      <c r="B399" t="s">
        <v>47</v>
      </c>
      <c r="C399" t="s">
        <v>282</v>
      </c>
      <c r="D399">
        <v>42241</v>
      </c>
      <c r="E399">
        <v>7</v>
      </c>
      <c r="P399" t="s">
        <v>5</v>
      </c>
      <c r="Q399" t="s">
        <v>220</v>
      </c>
      <c r="R399">
        <v>6</v>
      </c>
      <c r="AI399" t="s">
        <v>47</v>
      </c>
      <c r="AJ399">
        <v>42241</v>
      </c>
      <c r="AL399">
        <f>COUNTIF(AI:AI,AK399)</f>
        <v>0</v>
      </c>
      <c r="AM399">
        <f>SUMIF(AI:AI,AK399,AJ:AJ)</f>
        <v>0</v>
      </c>
      <c r="AP399" t="s">
        <v>23</v>
      </c>
      <c r="AQ399" t="s">
        <v>162</v>
      </c>
      <c r="BP399" t="s">
        <v>23</v>
      </c>
      <c r="BQ399" t="s">
        <v>381</v>
      </c>
      <c r="BR399">
        <f t="shared" si="69"/>
        <v>5</v>
      </c>
      <c r="BS399">
        <f t="shared" si="70"/>
        <v>2024</v>
      </c>
      <c r="BT399">
        <v>7</v>
      </c>
      <c r="BU399" t="str">
        <f t="shared" si="71"/>
        <v>2024-5</v>
      </c>
      <c r="BV399">
        <f t="shared" si="72"/>
        <v>1</v>
      </c>
      <c r="BX399" t="s">
        <v>32</v>
      </c>
      <c r="BY399" t="s">
        <v>282</v>
      </c>
      <c r="BZ399">
        <v>42241</v>
      </c>
      <c r="CA399">
        <f t="shared" si="73"/>
        <v>1</v>
      </c>
      <c r="CB399">
        <f t="shared" si="74"/>
        <v>2024</v>
      </c>
      <c r="CC399" t="str">
        <f t="shared" si="75"/>
        <v>2024-1</v>
      </c>
    </row>
    <row r="400" spans="1:81" x14ac:dyDescent="0.25">
      <c r="A400" t="s">
        <v>36</v>
      </c>
      <c r="B400" t="s">
        <v>244</v>
      </c>
      <c r="C400" t="s">
        <v>284</v>
      </c>
      <c r="D400">
        <v>20342</v>
      </c>
      <c r="E400">
        <v>8</v>
      </c>
      <c r="P400" t="s">
        <v>14</v>
      </c>
      <c r="Q400" t="s">
        <v>266</v>
      </c>
      <c r="R400">
        <v>1</v>
      </c>
      <c r="AI400" t="s">
        <v>244</v>
      </c>
      <c r="AJ400">
        <v>20342</v>
      </c>
      <c r="AL400">
        <f>COUNTIF(AI:AI,AK400)</f>
        <v>0</v>
      </c>
      <c r="AM400">
        <f>SUMIF(AI:AI,AK400,AJ:AJ)</f>
        <v>0</v>
      </c>
      <c r="AP400" t="s">
        <v>17</v>
      </c>
      <c r="AQ400" t="s">
        <v>297</v>
      </c>
      <c r="BP400" t="s">
        <v>23</v>
      </c>
      <c r="BQ400" t="s">
        <v>383</v>
      </c>
      <c r="BR400">
        <f t="shared" si="69"/>
        <v>5</v>
      </c>
      <c r="BS400">
        <f t="shared" si="70"/>
        <v>2024</v>
      </c>
      <c r="BT400">
        <v>8</v>
      </c>
      <c r="BU400" t="str">
        <f t="shared" si="71"/>
        <v>2024-5</v>
      </c>
      <c r="BV400">
        <f t="shared" si="72"/>
        <v>1</v>
      </c>
      <c r="BX400" t="s">
        <v>36</v>
      </c>
      <c r="BY400" t="s">
        <v>284</v>
      </c>
      <c r="BZ400">
        <v>20342</v>
      </c>
      <c r="CA400">
        <f t="shared" si="73"/>
        <v>1</v>
      </c>
      <c r="CB400">
        <f t="shared" si="74"/>
        <v>2024</v>
      </c>
      <c r="CC400" t="str">
        <f t="shared" si="75"/>
        <v>2024-1</v>
      </c>
    </row>
    <row r="401" spans="1:81" x14ac:dyDescent="0.25">
      <c r="A401" t="s">
        <v>8</v>
      </c>
      <c r="B401" t="s">
        <v>133</v>
      </c>
      <c r="C401" t="s">
        <v>284</v>
      </c>
      <c r="D401">
        <v>32345</v>
      </c>
      <c r="E401">
        <v>8</v>
      </c>
      <c r="P401" t="s">
        <v>14</v>
      </c>
      <c r="Q401" t="s">
        <v>125</v>
      </c>
      <c r="R401">
        <v>8</v>
      </c>
      <c r="AI401" t="s">
        <v>133</v>
      </c>
      <c r="AJ401">
        <v>32345</v>
      </c>
      <c r="AL401">
        <f>COUNTIF(AI:AI,AK401)</f>
        <v>0</v>
      </c>
      <c r="AM401">
        <f>SUMIF(AI:AI,AK401,AJ:AJ)</f>
        <v>0</v>
      </c>
      <c r="AP401" t="s">
        <v>10</v>
      </c>
      <c r="AQ401" t="s">
        <v>9</v>
      </c>
      <c r="BP401" t="s">
        <v>23</v>
      </c>
      <c r="BQ401" t="s">
        <v>387</v>
      </c>
      <c r="BR401">
        <f t="shared" si="69"/>
        <v>5</v>
      </c>
      <c r="BS401">
        <f t="shared" si="70"/>
        <v>2024</v>
      </c>
      <c r="BT401">
        <v>8</v>
      </c>
      <c r="BU401" t="str">
        <f t="shared" si="71"/>
        <v>2024-5</v>
      </c>
      <c r="BV401">
        <f t="shared" si="72"/>
        <v>1</v>
      </c>
      <c r="BX401" t="s">
        <v>8</v>
      </c>
      <c r="BY401" t="s">
        <v>284</v>
      </c>
      <c r="BZ401">
        <v>32345</v>
      </c>
      <c r="CA401">
        <f t="shared" si="73"/>
        <v>1</v>
      </c>
      <c r="CB401">
        <f t="shared" si="74"/>
        <v>2024</v>
      </c>
      <c r="CC401" t="str">
        <f t="shared" si="75"/>
        <v>2024-1</v>
      </c>
    </row>
    <row r="402" spans="1:81" x14ac:dyDescent="0.25">
      <c r="A402" t="s">
        <v>8</v>
      </c>
      <c r="B402" t="s">
        <v>121</v>
      </c>
      <c r="C402" t="s">
        <v>284</v>
      </c>
      <c r="D402">
        <v>99293</v>
      </c>
      <c r="E402">
        <v>7</v>
      </c>
      <c r="P402" t="s">
        <v>32</v>
      </c>
      <c r="Q402" t="s">
        <v>286</v>
      </c>
      <c r="R402">
        <v>9</v>
      </c>
      <c r="AI402" t="s">
        <v>121</v>
      </c>
      <c r="AJ402">
        <v>99293</v>
      </c>
      <c r="AL402">
        <f>COUNTIF(AI:AI,AK402)</f>
        <v>0</v>
      </c>
      <c r="AM402">
        <f>SUMIF(AI:AI,AK402,AJ:AJ)</f>
        <v>0</v>
      </c>
      <c r="AP402" t="s">
        <v>10</v>
      </c>
      <c r="AQ402" t="s">
        <v>41</v>
      </c>
      <c r="BP402" t="s">
        <v>23</v>
      </c>
      <c r="BQ402" t="s">
        <v>391</v>
      </c>
      <c r="BR402">
        <f t="shared" si="69"/>
        <v>6</v>
      </c>
      <c r="BS402">
        <f t="shared" si="70"/>
        <v>2024</v>
      </c>
      <c r="BT402">
        <v>7</v>
      </c>
      <c r="BU402" t="str">
        <f t="shared" si="71"/>
        <v>2024-6</v>
      </c>
      <c r="BV402">
        <f t="shared" si="72"/>
        <v>1</v>
      </c>
      <c r="BX402" t="s">
        <v>8</v>
      </c>
      <c r="BY402" t="s">
        <v>284</v>
      </c>
      <c r="BZ402">
        <v>99293</v>
      </c>
      <c r="CA402">
        <f t="shared" si="73"/>
        <v>1</v>
      </c>
      <c r="CB402">
        <f t="shared" si="74"/>
        <v>2024</v>
      </c>
      <c r="CC402" t="str">
        <f t="shared" si="75"/>
        <v>2024-1</v>
      </c>
    </row>
    <row r="403" spans="1:81" x14ac:dyDescent="0.25">
      <c r="A403" t="s">
        <v>5</v>
      </c>
      <c r="B403" t="s">
        <v>220</v>
      </c>
      <c r="C403" t="s">
        <v>285</v>
      </c>
      <c r="D403">
        <v>51384</v>
      </c>
      <c r="E403">
        <v>6</v>
      </c>
      <c r="P403" t="s">
        <v>33</v>
      </c>
      <c r="Q403" t="s">
        <v>287</v>
      </c>
      <c r="R403">
        <v>7</v>
      </c>
      <c r="AI403" t="s">
        <v>220</v>
      </c>
      <c r="AJ403">
        <v>51384</v>
      </c>
      <c r="AL403">
        <f>COUNTIF(AI:AI,AK403)</f>
        <v>0</v>
      </c>
      <c r="AM403">
        <f>SUMIF(AI:AI,AK403,AJ:AJ)</f>
        <v>0</v>
      </c>
      <c r="AP403" t="s">
        <v>20</v>
      </c>
      <c r="AQ403" t="s">
        <v>244</v>
      </c>
      <c r="BP403" t="s">
        <v>23</v>
      </c>
      <c r="BQ403" t="s">
        <v>395</v>
      </c>
      <c r="BR403">
        <f t="shared" si="69"/>
        <v>6</v>
      </c>
      <c r="BS403">
        <f t="shared" si="70"/>
        <v>2024</v>
      </c>
      <c r="BT403">
        <v>6</v>
      </c>
      <c r="BU403" t="str">
        <f t="shared" si="71"/>
        <v>2024-6</v>
      </c>
      <c r="BV403">
        <f t="shared" si="72"/>
        <v>0</v>
      </c>
      <c r="BX403" t="s">
        <v>5</v>
      </c>
      <c r="BY403" t="s">
        <v>285</v>
      </c>
      <c r="BZ403">
        <v>51384</v>
      </c>
      <c r="CA403">
        <f t="shared" si="73"/>
        <v>2</v>
      </c>
      <c r="CB403">
        <f t="shared" si="74"/>
        <v>2024</v>
      </c>
      <c r="CC403" t="str">
        <f t="shared" si="75"/>
        <v>2024-2</v>
      </c>
    </row>
    <row r="404" spans="1:81" x14ac:dyDescent="0.25">
      <c r="A404" t="s">
        <v>14</v>
      </c>
      <c r="B404" t="s">
        <v>266</v>
      </c>
      <c r="C404" t="s">
        <v>285</v>
      </c>
      <c r="D404">
        <v>75168</v>
      </c>
      <c r="E404">
        <v>1</v>
      </c>
      <c r="P404" t="s">
        <v>36</v>
      </c>
      <c r="Q404" t="s">
        <v>67</v>
      </c>
      <c r="R404">
        <v>9</v>
      </c>
      <c r="AI404" t="s">
        <v>266</v>
      </c>
      <c r="AJ404">
        <v>75168</v>
      </c>
      <c r="AL404">
        <f>COUNTIF(AI:AI,AK404)</f>
        <v>0</v>
      </c>
      <c r="AM404">
        <f>SUMIF(AI:AI,AK404,AJ:AJ)</f>
        <v>0</v>
      </c>
      <c r="AP404" t="s">
        <v>23</v>
      </c>
      <c r="AQ404" t="s">
        <v>166</v>
      </c>
      <c r="BP404" t="s">
        <v>23</v>
      </c>
      <c r="BQ404" t="s">
        <v>407</v>
      </c>
      <c r="BR404">
        <f t="shared" si="69"/>
        <v>6</v>
      </c>
      <c r="BS404">
        <f t="shared" si="70"/>
        <v>2024</v>
      </c>
      <c r="BT404">
        <v>1</v>
      </c>
      <c r="BU404" t="str">
        <f t="shared" si="71"/>
        <v>2024-6</v>
      </c>
      <c r="BV404">
        <f t="shared" si="72"/>
        <v>0</v>
      </c>
      <c r="BX404" t="s">
        <v>14</v>
      </c>
      <c r="BY404" t="s">
        <v>285</v>
      </c>
      <c r="BZ404">
        <v>75168</v>
      </c>
      <c r="CA404">
        <f t="shared" si="73"/>
        <v>2</v>
      </c>
      <c r="CB404">
        <f t="shared" si="74"/>
        <v>2024</v>
      </c>
      <c r="CC404" t="str">
        <f t="shared" si="75"/>
        <v>2024-2</v>
      </c>
    </row>
    <row r="405" spans="1:81" x14ac:dyDescent="0.25">
      <c r="A405" t="s">
        <v>14</v>
      </c>
      <c r="B405" t="s">
        <v>125</v>
      </c>
      <c r="C405" t="s">
        <v>285</v>
      </c>
      <c r="D405">
        <v>26239</v>
      </c>
      <c r="E405">
        <v>8</v>
      </c>
      <c r="P405" t="s">
        <v>8</v>
      </c>
      <c r="Q405" t="s">
        <v>41</v>
      </c>
      <c r="R405">
        <v>10</v>
      </c>
      <c r="AI405" t="s">
        <v>125</v>
      </c>
      <c r="AJ405">
        <v>26239</v>
      </c>
      <c r="AL405">
        <f>COUNTIF(AI:AI,AK405)</f>
        <v>0</v>
      </c>
      <c r="AM405">
        <f>SUMIF(AI:AI,AK405,AJ:AJ)</f>
        <v>0</v>
      </c>
      <c r="AP405" t="s">
        <v>5</v>
      </c>
      <c r="AQ405" t="s">
        <v>276</v>
      </c>
      <c r="BP405" t="s">
        <v>23</v>
      </c>
      <c r="BQ405" t="s">
        <v>409</v>
      </c>
      <c r="BR405">
        <f t="shared" si="69"/>
        <v>7</v>
      </c>
      <c r="BS405">
        <f t="shared" si="70"/>
        <v>2024</v>
      </c>
      <c r="BT405">
        <v>8</v>
      </c>
      <c r="BU405" t="str">
        <f t="shared" si="71"/>
        <v>2024-7</v>
      </c>
      <c r="BV405">
        <f t="shared" si="72"/>
        <v>1</v>
      </c>
      <c r="BX405" t="s">
        <v>14</v>
      </c>
      <c r="BY405" t="s">
        <v>285</v>
      </c>
      <c r="BZ405">
        <v>26239</v>
      </c>
      <c r="CA405">
        <f t="shared" si="73"/>
        <v>2</v>
      </c>
      <c r="CB405">
        <f t="shared" si="74"/>
        <v>2024</v>
      </c>
      <c r="CC405" t="str">
        <f t="shared" si="75"/>
        <v>2024-2</v>
      </c>
    </row>
    <row r="406" spans="1:81" x14ac:dyDescent="0.25">
      <c r="A406" t="s">
        <v>32</v>
      </c>
      <c r="B406" t="s">
        <v>286</v>
      </c>
      <c r="C406" t="s">
        <v>285</v>
      </c>
      <c r="D406">
        <v>43744</v>
      </c>
      <c r="E406">
        <v>9</v>
      </c>
      <c r="P406" t="s">
        <v>12</v>
      </c>
      <c r="Q406" t="s">
        <v>69</v>
      </c>
      <c r="R406">
        <v>8</v>
      </c>
      <c r="AI406" t="s">
        <v>286</v>
      </c>
      <c r="AJ406">
        <v>43744</v>
      </c>
      <c r="AL406">
        <f>COUNTIF(AI:AI,AK406)</f>
        <v>0</v>
      </c>
      <c r="AM406">
        <f>SUMIF(AI:AI,AK406,AJ:AJ)</f>
        <v>0</v>
      </c>
      <c r="AP406" t="s">
        <v>10</v>
      </c>
      <c r="AQ406" t="s">
        <v>162</v>
      </c>
      <c r="BP406" t="s">
        <v>23</v>
      </c>
      <c r="BQ406" t="s">
        <v>412</v>
      </c>
      <c r="BR406">
        <f t="shared" si="69"/>
        <v>7</v>
      </c>
      <c r="BS406">
        <f t="shared" si="70"/>
        <v>2024</v>
      </c>
      <c r="BT406">
        <v>9</v>
      </c>
      <c r="BU406" t="str">
        <f t="shared" si="71"/>
        <v>2024-7</v>
      </c>
      <c r="BV406">
        <f t="shared" si="72"/>
        <v>2</v>
      </c>
      <c r="BX406" t="s">
        <v>32</v>
      </c>
      <c r="BY406" t="s">
        <v>285</v>
      </c>
      <c r="BZ406">
        <v>43744</v>
      </c>
      <c r="CA406">
        <f t="shared" si="73"/>
        <v>2</v>
      </c>
      <c r="CB406">
        <f t="shared" si="74"/>
        <v>2024</v>
      </c>
      <c r="CC406" t="str">
        <f t="shared" si="75"/>
        <v>2024-2</v>
      </c>
    </row>
    <row r="407" spans="1:81" x14ac:dyDescent="0.25">
      <c r="A407" t="s">
        <v>33</v>
      </c>
      <c r="B407" t="s">
        <v>287</v>
      </c>
      <c r="C407" t="s">
        <v>285</v>
      </c>
      <c r="D407">
        <v>89651</v>
      </c>
      <c r="E407">
        <v>7</v>
      </c>
      <c r="P407" t="s">
        <v>10</v>
      </c>
      <c r="Q407" t="s">
        <v>182</v>
      </c>
      <c r="R407">
        <v>2</v>
      </c>
      <c r="AI407" t="s">
        <v>287</v>
      </c>
      <c r="AJ407">
        <v>89651</v>
      </c>
      <c r="AL407">
        <f>COUNTIF(AI:AI,AK407)</f>
        <v>0</v>
      </c>
      <c r="AM407">
        <f>SUMIF(AI:AI,AK407,AJ:AJ)</f>
        <v>0</v>
      </c>
      <c r="AP407" t="s">
        <v>17</v>
      </c>
      <c r="AQ407" t="s">
        <v>290</v>
      </c>
      <c r="BP407" t="s">
        <v>23</v>
      </c>
      <c r="BQ407" t="s">
        <v>414</v>
      </c>
      <c r="BR407">
        <f t="shared" ref="BR407:BR470" si="76">MONTH(BQ407)</f>
        <v>7</v>
      </c>
      <c r="BS407">
        <f t="shared" si="70"/>
        <v>2024</v>
      </c>
      <c r="BT407">
        <v>7</v>
      </c>
      <c r="BU407" t="str">
        <f t="shared" si="71"/>
        <v>2024-7</v>
      </c>
      <c r="BV407">
        <f t="shared" si="72"/>
        <v>1</v>
      </c>
      <c r="BX407" t="s">
        <v>33</v>
      </c>
      <c r="BY407" t="s">
        <v>285</v>
      </c>
      <c r="BZ407">
        <v>89651</v>
      </c>
      <c r="CA407">
        <f t="shared" si="73"/>
        <v>2</v>
      </c>
      <c r="CB407">
        <f t="shared" si="74"/>
        <v>2024</v>
      </c>
      <c r="CC407" t="str">
        <f t="shared" si="75"/>
        <v>2024-2</v>
      </c>
    </row>
    <row r="408" spans="1:81" x14ac:dyDescent="0.25">
      <c r="A408" t="s">
        <v>36</v>
      </c>
      <c r="B408" t="s">
        <v>67</v>
      </c>
      <c r="C408" t="s">
        <v>285</v>
      </c>
      <c r="D408">
        <v>40591</v>
      </c>
      <c r="E408">
        <v>9</v>
      </c>
      <c r="P408" t="s">
        <v>17</v>
      </c>
      <c r="Q408" t="s">
        <v>263</v>
      </c>
      <c r="R408">
        <v>10</v>
      </c>
      <c r="AI408" t="s">
        <v>67</v>
      </c>
      <c r="AJ408">
        <v>40591</v>
      </c>
      <c r="AL408">
        <f>COUNTIF(AI:AI,AK408)</f>
        <v>0</v>
      </c>
      <c r="AM408">
        <f>SUMIF(AI:AI,AK408,AJ:AJ)</f>
        <v>0</v>
      </c>
      <c r="AP408" t="s">
        <v>20</v>
      </c>
      <c r="AQ408" t="s">
        <v>120</v>
      </c>
      <c r="BP408" t="s">
        <v>23</v>
      </c>
      <c r="BQ408" t="s">
        <v>419</v>
      </c>
      <c r="BR408">
        <f t="shared" si="76"/>
        <v>7</v>
      </c>
      <c r="BS408">
        <f t="shared" si="70"/>
        <v>2024</v>
      </c>
      <c r="BT408">
        <v>9</v>
      </c>
      <c r="BU408" t="str">
        <f t="shared" si="71"/>
        <v>2024-7</v>
      </c>
      <c r="BV408">
        <f t="shared" si="72"/>
        <v>2</v>
      </c>
      <c r="BX408" t="s">
        <v>36</v>
      </c>
      <c r="BY408" t="s">
        <v>285</v>
      </c>
      <c r="BZ408">
        <v>40591</v>
      </c>
      <c r="CA408">
        <f t="shared" si="73"/>
        <v>2</v>
      </c>
      <c r="CB408">
        <f t="shared" si="74"/>
        <v>2024</v>
      </c>
      <c r="CC408" t="str">
        <f t="shared" si="75"/>
        <v>2024-2</v>
      </c>
    </row>
    <row r="409" spans="1:81" x14ac:dyDescent="0.25">
      <c r="A409" t="s">
        <v>8</v>
      </c>
      <c r="B409" t="s">
        <v>41</v>
      </c>
      <c r="C409" t="s">
        <v>288</v>
      </c>
      <c r="D409">
        <v>73267</v>
      </c>
      <c r="E409">
        <v>10</v>
      </c>
      <c r="P409" t="s">
        <v>33</v>
      </c>
      <c r="Q409" t="s">
        <v>156</v>
      </c>
      <c r="R409">
        <v>8</v>
      </c>
      <c r="AI409" t="s">
        <v>41</v>
      </c>
      <c r="AJ409">
        <v>73267</v>
      </c>
      <c r="AL409">
        <f>COUNTIF(AI:AI,AK409)</f>
        <v>0</v>
      </c>
      <c r="AM409">
        <f>SUMIF(AI:AI,AK409,AJ:AJ)</f>
        <v>0</v>
      </c>
      <c r="AP409" t="s">
        <v>20</v>
      </c>
      <c r="AQ409" t="s">
        <v>203</v>
      </c>
      <c r="BP409" t="s">
        <v>23</v>
      </c>
      <c r="BQ409" t="s">
        <v>426</v>
      </c>
      <c r="BR409">
        <f t="shared" si="76"/>
        <v>7</v>
      </c>
      <c r="BS409">
        <f t="shared" si="70"/>
        <v>2024</v>
      </c>
      <c r="BT409">
        <v>10</v>
      </c>
      <c r="BU409" t="str">
        <f t="shared" si="71"/>
        <v>2024-7</v>
      </c>
      <c r="BV409">
        <f t="shared" si="72"/>
        <v>2</v>
      </c>
      <c r="BX409" t="s">
        <v>8</v>
      </c>
      <c r="BY409" t="s">
        <v>288</v>
      </c>
      <c r="BZ409">
        <v>73267</v>
      </c>
      <c r="CA409">
        <f t="shared" si="73"/>
        <v>2</v>
      </c>
      <c r="CB409">
        <f t="shared" si="74"/>
        <v>2024</v>
      </c>
      <c r="CC409" t="str">
        <f t="shared" si="75"/>
        <v>2024-2</v>
      </c>
    </row>
    <row r="410" spans="1:81" x14ac:dyDescent="0.25">
      <c r="A410" t="s">
        <v>12</v>
      </c>
      <c r="B410" t="s">
        <v>69</v>
      </c>
      <c r="C410" t="s">
        <v>288</v>
      </c>
      <c r="D410">
        <v>60228</v>
      </c>
      <c r="E410">
        <v>8</v>
      </c>
      <c r="P410" t="s">
        <v>32</v>
      </c>
      <c r="Q410" t="s">
        <v>120</v>
      </c>
      <c r="R410">
        <v>8</v>
      </c>
      <c r="AI410" t="s">
        <v>69</v>
      </c>
      <c r="AJ410">
        <v>60228</v>
      </c>
      <c r="AL410">
        <f>COUNTIF(AI:AI,AK410)</f>
        <v>0</v>
      </c>
      <c r="AM410">
        <f>SUMIF(AI:AI,AK410,AJ:AJ)</f>
        <v>0</v>
      </c>
      <c r="AP410" t="s">
        <v>17</v>
      </c>
      <c r="AQ410" t="s">
        <v>56</v>
      </c>
      <c r="BP410" t="s">
        <v>23</v>
      </c>
      <c r="BQ410" t="s">
        <v>428</v>
      </c>
      <c r="BR410">
        <f t="shared" si="76"/>
        <v>7</v>
      </c>
      <c r="BS410">
        <f t="shared" si="70"/>
        <v>2024</v>
      </c>
      <c r="BT410">
        <v>8</v>
      </c>
      <c r="BU410" t="str">
        <f t="shared" si="71"/>
        <v>2024-7</v>
      </c>
      <c r="BV410">
        <f t="shared" si="72"/>
        <v>1</v>
      </c>
      <c r="BX410" t="s">
        <v>12</v>
      </c>
      <c r="BY410" t="s">
        <v>288</v>
      </c>
      <c r="BZ410">
        <v>60228</v>
      </c>
      <c r="CA410">
        <f t="shared" si="73"/>
        <v>2</v>
      </c>
      <c r="CB410">
        <f t="shared" si="74"/>
        <v>2024</v>
      </c>
      <c r="CC410" t="str">
        <f t="shared" si="75"/>
        <v>2024-2</v>
      </c>
    </row>
    <row r="411" spans="1:81" x14ac:dyDescent="0.25">
      <c r="A411" t="s">
        <v>10</v>
      </c>
      <c r="B411" t="s">
        <v>182</v>
      </c>
      <c r="C411" t="s">
        <v>288</v>
      </c>
      <c r="D411">
        <v>88601</v>
      </c>
      <c r="E411">
        <v>2</v>
      </c>
      <c r="P411" t="s">
        <v>10</v>
      </c>
      <c r="Q411" t="s">
        <v>290</v>
      </c>
      <c r="R411">
        <v>7</v>
      </c>
      <c r="AI411" t="s">
        <v>182</v>
      </c>
      <c r="AJ411">
        <v>88601</v>
      </c>
      <c r="AL411">
        <f>COUNTIF(AI:AI,AK411)</f>
        <v>0</v>
      </c>
      <c r="AM411">
        <f>SUMIF(AI:AI,AK411,AJ:AJ)</f>
        <v>0</v>
      </c>
      <c r="AP411" t="s">
        <v>32</v>
      </c>
      <c r="AQ411" t="s">
        <v>215</v>
      </c>
      <c r="BP411" t="s">
        <v>23</v>
      </c>
      <c r="BQ411" t="s">
        <v>428</v>
      </c>
      <c r="BR411">
        <f t="shared" si="76"/>
        <v>7</v>
      </c>
      <c r="BS411">
        <f t="shared" si="70"/>
        <v>2024</v>
      </c>
      <c r="BT411">
        <v>2</v>
      </c>
      <c r="BU411" t="str">
        <f t="shared" si="71"/>
        <v>2024-7</v>
      </c>
      <c r="BV411">
        <f t="shared" si="72"/>
        <v>0</v>
      </c>
      <c r="BX411" t="s">
        <v>10</v>
      </c>
      <c r="BY411" t="s">
        <v>288</v>
      </c>
      <c r="BZ411">
        <v>88601</v>
      </c>
      <c r="CA411">
        <f t="shared" si="73"/>
        <v>2</v>
      </c>
      <c r="CB411">
        <f t="shared" si="74"/>
        <v>2024</v>
      </c>
      <c r="CC411" t="str">
        <f t="shared" si="75"/>
        <v>2024-2</v>
      </c>
    </row>
    <row r="412" spans="1:81" x14ac:dyDescent="0.25">
      <c r="A412" t="s">
        <v>17</v>
      </c>
      <c r="B412" t="s">
        <v>263</v>
      </c>
      <c r="C412" t="s">
        <v>288</v>
      </c>
      <c r="D412">
        <v>83003</v>
      </c>
      <c r="E412">
        <v>10</v>
      </c>
      <c r="P412" t="s">
        <v>23</v>
      </c>
      <c r="Q412" t="s">
        <v>173</v>
      </c>
      <c r="R412">
        <v>9</v>
      </c>
      <c r="AI412" t="s">
        <v>263</v>
      </c>
      <c r="AJ412">
        <v>83003</v>
      </c>
      <c r="AL412">
        <f>COUNTIF(AI:AI,AK412)</f>
        <v>0</v>
      </c>
      <c r="AM412">
        <f>SUMIF(AI:AI,AK412,AJ:AJ)</f>
        <v>0</v>
      </c>
      <c r="AP412" t="s">
        <v>14</v>
      </c>
      <c r="AQ412" t="s">
        <v>190</v>
      </c>
      <c r="BP412" t="s">
        <v>23</v>
      </c>
      <c r="BQ412" t="s">
        <v>431</v>
      </c>
      <c r="BR412">
        <f t="shared" si="76"/>
        <v>8</v>
      </c>
      <c r="BS412">
        <f t="shared" si="70"/>
        <v>2024</v>
      </c>
      <c r="BT412">
        <v>10</v>
      </c>
      <c r="BU412" t="str">
        <f t="shared" si="71"/>
        <v>2024-8</v>
      </c>
      <c r="BV412">
        <f t="shared" si="72"/>
        <v>2</v>
      </c>
      <c r="BX412" t="s">
        <v>17</v>
      </c>
      <c r="BY412" t="s">
        <v>288</v>
      </c>
      <c r="BZ412">
        <v>83003</v>
      </c>
      <c r="CA412">
        <f t="shared" si="73"/>
        <v>2</v>
      </c>
      <c r="CB412">
        <f t="shared" si="74"/>
        <v>2024</v>
      </c>
      <c r="CC412" t="str">
        <f t="shared" si="75"/>
        <v>2024-2</v>
      </c>
    </row>
    <row r="413" spans="1:81" x14ac:dyDescent="0.25">
      <c r="A413" t="s">
        <v>33</v>
      </c>
      <c r="B413" t="s">
        <v>156</v>
      </c>
      <c r="C413" t="s">
        <v>289</v>
      </c>
      <c r="D413">
        <v>61773</v>
      </c>
      <c r="E413">
        <v>8</v>
      </c>
      <c r="P413" t="s">
        <v>12</v>
      </c>
      <c r="Q413" t="s">
        <v>254</v>
      </c>
      <c r="R413">
        <v>10</v>
      </c>
      <c r="AI413" t="s">
        <v>156</v>
      </c>
      <c r="AJ413">
        <v>61773</v>
      </c>
      <c r="AL413">
        <f>COUNTIF(AI:AI,AK413)</f>
        <v>0</v>
      </c>
      <c r="AM413">
        <f>SUMIF(AI:AI,AK413,AJ:AJ)</f>
        <v>0</v>
      </c>
      <c r="AP413" t="s">
        <v>33</v>
      </c>
      <c r="AQ413" t="s">
        <v>101</v>
      </c>
      <c r="BP413" t="s">
        <v>23</v>
      </c>
      <c r="BQ413" t="s">
        <v>432</v>
      </c>
      <c r="BR413">
        <f t="shared" si="76"/>
        <v>8</v>
      </c>
      <c r="BS413">
        <f t="shared" si="70"/>
        <v>2024</v>
      </c>
      <c r="BT413">
        <v>8</v>
      </c>
      <c r="BU413" t="str">
        <f t="shared" si="71"/>
        <v>2024-8</v>
      </c>
      <c r="BV413">
        <f t="shared" si="72"/>
        <v>1</v>
      </c>
      <c r="BX413" t="s">
        <v>33</v>
      </c>
      <c r="BY413" t="s">
        <v>289</v>
      </c>
      <c r="BZ413">
        <v>61773</v>
      </c>
      <c r="CA413">
        <f t="shared" si="73"/>
        <v>2</v>
      </c>
      <c r="CB413">
        <f t="shared" si="74"/>
        <v>2024</v>
      </c>
      <c r="CC413" t="str">
        <f t="shared" si="75"/>
        <v>2024-2</v>
      </c>
    </row>
    <row r="414" spans="1:81" x14ac:dyDescent="0.25">
      <c r="A414" t="s">
        <v>32</v>
      </c>
      <c r="B414" t="s">
        <v>120</v>
      </c>
      <c r="C414" t="s">
        <v>289</v>
      </c>
      <c r="D414">
        <v>72100</v>
      </c>
      <c r="E414">
        <v>8</v>
      </c>
      <c r="P414" t="s">
        <v>36</v>
      </c>
      <c r="Q414" t="s">
        <v>125</v>
      </c>
      <c r="R414">
        <v>9</v>
      </c>
      <c r="AI414" t="s">
        <v>120</v>
      </c>
      <c r="AJ414">
        <v>72100</v>
      </c>
      <c r="AL414">
        <f>COUNTIF(AI:AI,AK414)</f>
        <v>0</v>
      </c>
      <c r="AM414">
        <f>SUMIF(AI:AI,AK414,AJ:AJ)</f>
        <v>0</v>
      </c>
      <c r="AP414" t="s">
        <v>12</v>
      </c>
      <c r="AQ414" t="s">
        <v>118</v>
      </c>
      <c r="BP414" t="s">
        <v>23</v>
      </c>
      <c r="BQ414" t="s">
        <v>432</v>
      </c>
      <c r="BR414">
        <f t="shared" si="76"/>
        <v>8</v>
      </c>
      <c r="BS414">
        <f t="shared" si="70"/>
        <v>2024</v>
      </c>
      <c r="BT414">
        <v>8</v>
      </c>
      <c r="BU414" t="str">
        <f t="shared" si="71"/>
        <v>2024-8</v>
      </c>
      <c r="BV414">
        <f t="shared" si="72"/>
        <v>1</v>
      </c>
      <c r="BX414" t="s">
        <v>32</v>
      </c>
      <c r="BY414" t="s">
        <v>289</v>
      </c>
      <c r="BZ414">
        <v>72100</v>
      </c>
      <c r="CA414">
        <f t="shared" si="73"/>
        <v>2</v>
      </c>
      <c r="CB414">
        <f t="shared" si="74"/>
        <v>2024</v>
      </c>
      <c r="CC414" t="str">
        <f t="shared" si="75"/>
        <v>2024-2</v>
      </c>
    </row>
    <row r="415" spans="1:81" x14ac:dyDescent="0.25">
      <c r="A415" t="s">
        <v>10</v>
      </c>
      <c r="B415" t="s">
        <v>290</v>
      </c>
      <c r="C415" t="s">
        <v>289</v>
      </c>
      <c r="D415">
        <v>86245</v>
      </c>
      <c r="E415">
        <v>7</v>
      </c>
      <c r="P415" t="s">
        <v>32</v>
      </c>
      <c r="Q415" t="s">
        <v>269</v>
      </c>
      <c r="R415">
        <v>7</v>
      </c>
      <c r="AI415" t="s">
        <v>290</v>
      </c>
      <c r="AJ415">
        <v>86245</v>
      </c>
      <c r="AL415">
        <f>COUNTIF(AI:AI,AK415)</f>
        <v>0</v>
      </c>
      <c r="AM415">
        <f>SUMIF(AI:AI,AK415,AJ:AJ)</f>
        <v>0</v>
      </c>
      <c r="AP415" t="s">
        <v>27</v>
      </c>
      <c r="AQ415" t="s">
        <v>303</v>
      </c>
      <c r="BP415" t="s">
        <v>23</v>
      </c>
      <c r="BQ415" t="s">
        <v>435</v>
      </c>
      <c r="BR415">
        <f t="shared" si="76"/>
        <v>8</v>
      </c>
      <c r="BS415">
        <f t="shared" si="70"/>
        <v>2024</v>
      </c>
      <c r="BT415">
        <v>7</v>
      </c>
      <c r="BU415" t="str">
        <f t="shared" si="71"/>
        <v>2024-8</v>
      </c>
      <c r="BV415">
        <f t="shared" si="72"/>
        <v>1</v>
      </c>
      <c r="BX415" t="s">
        <v>10</v>
      </c>
      <c r="BY415" t="s">
        <v>289</v>
      </c>
      <c r="BZ415">
        <v>86245</v>
      </c>
      <c r="CA415">
        <f t="shared" si="73"/>
        <v>2</v>
      </c>
      <c r="CB415">
        <f t="shared" si="74"/>
        <v>2024</v>
      </c>
      <c r="CC415" t="str">
        <f t="shared" si="75"/>
        <v>2024-2</v>
      </c>
    </row>
    <row r="416" spans="1:81" x14ac:dyDescent="0.25">
      <c r="A416" t="s">
        <v>23</v>
      </c>
      <c r="B416" t="s">
        <v>173</v>
      </c>
      <c r="C416" t="s">
        <v>289</v>
      </c>
      <c r="D416">
        <v>54038</v>
      </c>
      <c r="E416">
        <v>9</v>
      </c>
      <c r="P416" t="s">
        <v>32</v>
      </c>
      <c r="Q416" t="s">
        <v>45</v>
      </c>
      <c r="R416">
        <v>4</v>
      </c>
      <c r="AI416" t="s">
        <v>173</v>
      </c>
      <c r="AJ416">
        <v>54038</v>
      </c>
      <c r="AL416">
        <f>COUNTIF(AI:AI,AK416)</f>
        <v>0</v>
      </c>
      <c r="AM416">
        <f>SUMIF(AI:AI,AK416,AJ:AJ)</f>
        <v>0</v>
      </c>
      <c r="AP416" t="s">
        <v>17</v>
      </c>
      <c r="AQ416" t="s">
        <v>97</v>
      </c>
      <c r="BP416" t="s">
        <v>23</v>
      </c>
      <c r="BQ416" t="s">
        <v>437</v>
      </c>
      <c r="BR416">
        <f t="shared" si="76"/>
        <v>8</v>
      </c>
      <c r="BS416">
        <f t="shared" si="70"/>
        <v>2024</v>
      </c>
      <c r="BT416">
        <v>9</v>
      </c>
      <c r="BU416" t="str">
        <f t="shared" si="71"/>
        <v>2024-8</v>
      </c>
      <c r="BV416">
        <f t="shared" si="72"/>
        <v>2</v>
      </c>
      <c r="BX416" t="s">
        <v>23</v>
      </c>
      <c r="BY416" t="s">
        <v>289</v>
      </c>
      <c r="BZ416">
        <v>54038</v>
      </c>
      <c r="CA416">
        <f t="shared" si="73"/>
        <v>2</v>
      </c>
      <c r="CB416">
        <f t="shared" si="74"/>
        <v>2024</v>
      </c>
      <c r="CC416" t="str">
        <f t="shared" si="75"/>
        <v>2024-2</v>
      </c>
    </row>
    <row r="417" spans="1:81" x14ac:dyDescent="0.25">
      <c r="A417" t="s">
        <v>12</v>
      </c>
      <c r="B417" t="s">
        <v>254</v>
      </c>
      <c r="C417" t="s">
        <v>289</v>
      </c>
      <c r="D417">
        <v>83514</v>
      </c>
      <c r="E417">
        <v>10</v>
      </c>
      <c r="P417" t="s">
        <v>36</v>
      </c>
      <c r="Q417" t="s">
        <v>171</v>
      </c>
      <c r="R417">
        <v>1</v>
      </c>
      <c r="AI417" t="s">
        <v>254</v>
      </c>
      <c r="AJ417">
        <v>83514</v>
      </c>
      <c r="AL417">
        <f>COUNTIF(AI:AI,AK417)</f>
        <v>0</v>
      </c>
      <c r="AM417">
        <f>SUMIF(AI:AI,AK417,AJ:AJ)</f>
        <v>0</v>
      </c>
      <c r="AP417" t="s">
        <v>36</v>
      </c>
      <c r="AQ417" t="s">
        <v>202</v>
      </c>
      <c r="BP417" t="s">
        <v>23</v>
      </c>
      <c r="BQ417" t="s">
        <v>438</v>
      </c>
      <c r="BR417">
        <f t="shared" si="76"/>
        <v>8</v>
      </c>
      <c r="BS417">
        <f t="shared" si="70"/>
        <v>2024</v>
      </c>
      <c r="BT417">
        <v>10</v>
      </c>
      <c r="BU417" t="str">
        <f t="shared" si="71"/>
        <v>2024-8</v>
      </c>
      <c r="BV417">
        <f t="shared" si="72"/>
        <v>2</v>
      </c>
      <c r="BX417" t="s">
        <v>12</v>
      </c>
      <c r="BY417" t="s">
        <v>289</v>
      </c>
      <c r="BZ417">
        <v>83514</v>
      </c>
      <c r="CA417">
        <f t="shared" si="73"/>
        <v>2</v>
      </c>
      <c r="CB417">
        <f t="shared" si="74"/>
        <v>2024</v>
      </c>
      <c r="CC417" t="str">
        <f t="shared" si="75"/>
        <v>2024-2</v>
      </c>
    </row>
    <row r="418" spans="1:81" x14ac:dyDescent="0.25">
      <c r="A418" t="s">
        <v>36</v>
      </c>
      <c r="B418" t="s">
        <v>125</v>
      </c>
      <c r="C418" t="s">
        <v>289</v>
      </c>
      <c r="D418">
        <v>13213</v>
      </c>
      <c r="E418">
        <v>9</v>
      </c>
      <c r="P418" t="s">
        <v>32</v>
      </c>
      <c r="Q418" t="s">
        <v>249</v>
      </c>
      <c r="R418">
        <v>5</v>
      </c>
      <c r="AI418" t="s">
        <v>125</v>
      </c>
      <c r="AJ418">
        <v>13213</v>
      </c>
      <c r="AL418">
        <f>COUNTIF(AI:AI,AK418)</f>
        <v>0</v>
      </c>
      <c r="AM418">
        <f>SUMIF(AI:AI,AK418,AJ:AJ)</f>
        <v>0</v>
      </c>
      <c r="AP418" t="s">
        <v>20</v>
      </c>
      <c r="AQ418" t="s">
        <v>79</v>
      </c>
      <c r="BP418" t="s">
        <v>23</v>
      </c>
      <c r="BQ418" t="s">
        <v>438</v>
      </c>
      <c r="BR418">
        <f t="shared" si="76"/>
        <v>8</v>
      </c>
      <c r="BS418">
        <f t="shared" si="70"/>
        <v>2024</v>
      </c>
      <c r="BT418">
        <v>9</v>
      </c>
      <c r="BU418" t="str">
        <f t="shared" si="71"/>
        <v>2024-8</v>
      </c>
      <c r="BV418">
        <f t="shared" si="72"/>
        <v>2</v>
      </c>
      <c r="BX418" t="s">
        <v>36</v>
      </c>
      <c r="BY418" t="s">
        <v>289</v>
      </c>
      <c r="BZ418">
        <v>13213</v>
      </c>
      <c r="CA418">
        <f t="shared" si="73"/>
        <v>2</v>
      </c>
      <c r="CB418">
        <f t="shared" si="74"/>
        <v>2024</v>
      </c>
      <c r="CC418" t="str">
        <f t="shared" si="75"/>
        <v>2024-2</v>
      </c>
    </row>
    <row r="419" spans="1:81" x14ac:dyDescent="0.25">
      <c r="A419" t="s">
        <v>32</v>
      </c>
      <c r="B419" t="s">
        <v>269</v>
      </c>
      <c r="C419" t="s">
        <v>289</v>
      </c>
      <c r="D419">
        <v>74835</v>
      </c>
      <c r="E419">
        <v>7</v>
      </c>
      <c r="P419" t="s">
        <v>14</v>
      </c>
      <c r="Q419" t="s">
        <v>48</v>
      </c>
      <c r="R419">
        <v>5</v>
      </c>
      <c r="AI419" t="s">
        <v>269</v>
      </c>
      <c r="AJ419">
        <v>74835</v>
      </c>
      <c r="AL419">
        <f>COUNTIF(AI:AI,AK419)</f>
        <v>0</v>
      </c>
      <c r="AM419">
        <f>SUMIF(AI:AI,AK419,AJ:AJ)</f>
        <v>0</v>
      </c>
      <c r="AP419" t="s">
        <v>5</v>
      </c>
      <c r="AQ419" t="s">
        <v>85</v>
      </c>
      <c r="BP419" t="s">
        <v>23</v>
      </c>
      <c r="BQ419" t="s">
        <v>443</v>
      </c>
      <c r="BR419">
        <f t="shared" si="76"/>
        <v>8</v>
      </c>
      <c r="BS419">
        <f t="shared" si="70"/>
        <v>2024</v>
      </c>
      <c r="BT419">
        <v>7</v>
      </c>
      <c r="BU419" t="str">
        <f t="shared" si="71"/>
        <v>2024-8</v>
      </c>
      <c r="BV419">
        <f t="shared" si="72"/>
        <v>1</v>
      </c>
      <c r="BX419" t="s">
        <v>32</v>
      </c>
      <c r="BY419" t="s">
        <v>289</v>
      </c>
      <c r="BZ419">
        <v>74835</v>
      </c>
      <c r="CA419">
        <f t="shared" si="73"/>
        <v>2</v>
      </c>
      <c r="CB419">
        <f t="shared" si="74"/>
        <v>2024</v>
      </c>
      <c r="CC419" t="str">
        <f t="shared" si="75"/>
        <v>2024-2</v>
      </c>
    </row>
    <row r="420" spans="1:81" x14ac:dyDescent="0.25">
      <c r="A420" t="s">
        <v>32</v>
      </c>
      <c r="B420" t="s">
        <v>45</v>
      </c>
      <c r="C420" t="s">
        <v>289</v>
      </c>
      <c r="D420">
        <v>86652</v>
      </c>
      <c r="E420">
        <v>4</v>
      </c>
      <c r="P420" t="s">
        <v>8</v>
      </c>
      <c r="Q420" t="s">
        <v>195</v>
      </c>
      <c r="R420">
        <v>7</v>
      </c>
      <c r="AI420" t="s">
        <v>45</v>
      </c>
      <c r="AJ420">
        <v>86652</v>
      </c>
      <c r="AL420">
        <f>COUNTIF(AI:AI,AK420)</f>
        <v>0</v>
      </c>
      <c r="AM420">
        <f>SUMIF(AI:AI,AK420,AJ:AJ)</f>
        <v>0</v>
      </c>
      <c r="AP420" t="s">
        <v>5</v>
      </c>
      <c r="AQ420" t="s">
        <v>76</v>
      </c>
      <c r="BP420" t="s">
        <v>23</v>
      </c>
      <c r="BQ420" t="s">
        <v>444</v>
      </c>
      <c r="BR420">
        <f t="shared" si="76"/>
        <v>8</v>
      </c>
      <c r="BS420">
        <f t="shared" si="70"/>
        <v>2024</v>
      </c>
      <c r="BT420">
        <v>4</v>
      </c>
      <c r="BU420" t="str">
        <f t="shared" si="71"/>
        <v>2024-8</v>
      </c>
      <c r="BV420">
        <f t="shared" si="72"/>
        <v>0</v>
      </c>
      <c r="BX420" t="s">
        <v>32</v>
      </c>
      <c r="BY420" t="s">
        <v>289</v>
      </c>
      <c r="BZ420">
        <v>86652</v>
      </c>
      <c r="CA420">
        <f t="shared" si="73"/>
        <v>2</v>
      </c>
      <c r="CB420">
        <f t="shared" si="74"/>
        <v>2024</v>
      </c>
      <c r="CC420" t="str">
        <f t="shared" si="75"/>
        <v>2024-2</v>
      </c>
    </row>
    <row r="421" spans="1:81" x14ac:dyDescent="0.25">
      <c r="A421" t="s">
        <v>36</v>
      </c>
      <c r="B421" t="s">
        <v>171</v>
      </c>
      <c r="C421" t="s">
        <v>291</v>
      </c>
      <c r="D421">
        <v>79426</v>
      </c>
      <c r="E421">
        <v>1</v>
      </c>
      <c r="P421" t="s">
        <v>36</v>
      </c>
      <c r="Q421" t="s">
        <v>53</v>
      </c>
      <c r="R421">
        <v>7</v>
      </c>
      <c r="AI421" t="s">
        <v>171</v>
      </c>
      <c r="AJ421">
        <v>79426</v>
      </c>
      <c r="AL421">
        <f>COUNTIF(AI:AI,AK421)</f>
        <v>0</v>
      </c>
      <c r="AM421">
        <f>SUMIF(AI:AI,AK421,AJ:AJ)</f>
        <v>0</v>
      </c>
      <c r="AP421" t="s">
        <v>17</v>
      </c>
      <c r="AQ421" t="s">
        <v>55</v>
      </c>
      <c r="BP421" t="s">
        <v>27</v>
      </c>
      <c r="BQ421" t="s">
        <v>16</v>
      </c>
      <c r="BR421">
        <f t="shared" si="76"/>
        <v>9</v>
      </c>
      <c r="BS421">
        <f t="shared" si="70"/>
        <v>2023</v>
      </c>
      <c r="BT421">
        <v>1</v>
      </c>
      <c r="BU421" t="str">
        <f t="shared" si="71"/>
        <v>2023-9</v>
      </c>
      <c r="BV421">
        <f t="shared" si="72"/>
        <v>0</v>
      </c>
      <c r="BX421" t="s">
        <v>36</v>
      </c>
      <c r="BY421" t="s">
        <v>291</v>
      </c>
      <c r="BZ421">
        <v>79426</v>
      </c>
      <c r="CA421">
        <f t="shared" si="73"/>
        <v>2</v>
      </c>
      <c r="CB421">
        <f t="shared" si="74"/>
        <v>2024</v>
      </c>
      <c r="CC421" t="str">
        <f t="shared" si="75"/>
        <v>2024-2</v>
      </c>
    </row>
    <row r="422" spans="1:81" x14ac:dyDescent="0.25">
      <c r="A422" t="s">
        <v>32</v>
      </c>
      <c r="B422" t="s">
        <v>249</v>
      </c>
      <c r="C422" t="s">
        <v>291</v>
      </c>
      <c r="D422">
        <v>26909</v>
      </c>
      <c r="E422">
        <v>5</v>
      </c>
      <c r="P422" t="s">
        <v>10</v>
      </c>
      <c r="Q422" t="s">
        <v>30</v>
      </c>
      <c r="R422">
        <v>7</v>
      </c>
      <c r="AI422" t="s">
        <v>249</v>
      </c>
      <c r="AJ422">
        <v>26909</v>
      </c>
      <c r="AL422">
        <f>COUNTIF(AI:AI,AK422)</f>
        <v>0</v>
      </c>
      <c r="AM422">
        <f>SUMIF(AI:AI,AK422,AJ:AJ)</f>
        <v>0</v>
      </c>
      <c r="AP422" t="s">
        <v>10</v>
      </c>
      <c r="AQ422" t="s">
        <v>155</v>
      </c>
      <c r="BP422" t="s">
        <v>27</v>
      </c>
      <c r="BQ422" t="s">
        <v>40</v>
      </c>
      <c r="BR422">
        <f t="shared" si="76"/>
        <v>9</v>
      </c>
      <c r="BS422">
        <f t="shared" si="70"/>
        <v>2023</v>
      </c>
      <c r="BT422">
        <v>5</v>
      </c>
      <c r="BU422" t="str">
        <f t="shared" si="71"/>
        <v>2023-9</v>
      </c>
      <c r="BV422">
        <f t="shared" si="72"/>
        <v>0</v>
      </c>
      <c r="BX422" t="s">
        <v>32</v>
      </c>
      <c r="BY422" t="s">
        <v>291</v>
      </c>
      <c r="BZ422">
        <v>26909</v>
      </c>
      <c r="CA422">
        <f t="shared" si="73"/>
        <v>2</v>
      </c>
      <c r="CB422">
        <f t="shared" si="74"/>
        <v>2024</v>
      </c>
      <c r="CC422" t="str">
        <f t="shared" si="75"/>
        <v>2024-2</v>
      </c>
    </row>
    <row r="423" spans="1:81" x14ac:dyDescent="0.25">
      <c r="A423" t="s">
        <v>14</v>
      </c>
      <c r="B423" t="s">
        <v>48</v>
      </c>
      <c r="C423" t="s">
        <v>291</v>
      </c>
      <c r="D423">
        <v>40137</v>
      </c>
      <c r="E423">
        <v>5</v>
      </c>
      <c r="P423" t="s">
        <v>27</v>
      </c>
      <c r="Q423" t="s">
        <v>269</v>
      </c>
      <c r="R423">
        <v>10</v>
      </c>
      <c r="AI423" t="s">
        <v>48</v>
      </c>
      <c r="AJ423">
        <v>40137</v>
      </c>
      <c r="AL423">
        <f>COUNTIF(AI:AI,AK423)</f>
        <v>0</v>
      </c>
      <c r="AM423">
        <f>SUMIF(AI:AI,AK423,AJ:AJ)</f>
        <v>0</v>
      </c>
      <c r="AP423" t="s">
        <v>5</v>
      </c>
      <c r="AQ423" t="s">
        <v>199</v>
      </c>
      <c r="BP423" t="s">
        <v>27</v>
      </c>
      <c r="BQ423" t="s">
        <v>40</v>
      </c>
      <c r="BR423">
        <f t="shared" si="76"/>
        <v>9</v>
      </c>
      <c r="BS423">
        <f t="shared" si="70"/>
        <v>2023</v>
      </c>
      <c r="BT423">
        <v>5</v>
      </c>
      <c r="BU423" t="str">
        <f t="shared" si="71"/>
        <v>2023-9</v>
      </c>
      <c r="BV423">
        <f t="shared" si="72"/>
        <v>0</v>
      </c>
      <c r="BX423" t="s">
        <v>14</v>
      </c>
      <c r="BY423" t="s">
        <v>291</v>
      </c>
      <c r="BZ423">
        <v>40137</v>
      </c>
      <c r="CA423">
        <f t="shared" si="73"/>
        <v>2</v>
      </c>
      <c r="CB423">
        <f t="shared" si="74"/>
        <v>2024</v>
      </c>
      <c r="CC423" t="str">
        <f t="shared" si="75"/>
        <v>2024-2</v>
      </c>
    </row>
    <row r="424" spans="1:81" x14ac:dyDescent="0.25">
      <c r="A424" t="s">
        <v>8</v>
      </c>
      <c r="B424" t="s">
        <v>195</v>
      </c>
      <c r="C424" t="s">
        <v>291</v>
      </c>
      <c r="D424">
        <v>53843</v>
      </c>
      <c r="E424">
        <v>7</v>
      </c>
      <c r="P424" t="s">
        <v>32</v>
      </c>
      <c r="Q424" t="s">
        <v>180</v>
      </c>
      <c r="R424">
        <v>2</v>
      </c>
      <c r="AI424" t="s">
        <v>195</v>
      </c>
      <c r="AJ424">
        <v>53843</v>
      </c>
      <c r="AL424">
        <f>COUNTIF(AI:AI,AK424)</f>
        <v>0</v>
      </c>
      <c r="AM424">
        <f>SUMIF(AI:AI,AK424,AJ:AJ)</f>
        <v>0</v>
      </c>
      <c r="AP424" t="s">
        <v>33</v>
      </c>
      <c r="AQ424" t="s">
        <v>131</v>
      </c>
      <c r="BP424" t="s">
        <v>27</v>
      </c>
      <c r="BQ424" t="s">
        <v>43</v>
      </c>
      <c r="BR424">
        <f t="shared" si="76"/>
        <v>9</v>
      </c>
      <c r="BS424">
        <f t="shared" si="70"/>
        <v>2023</v>
      </c>
      <c r="BT424">
        <v>7</v>
      </c>
      <c r="BU424" t="str">
        <f t="shared" si="71"/>
        <v>2023-9</v>
      </c>
      <c r="BV424">
        <f t="shared" si="72"/>
        <v>1</v>
      </c>
      <c r="BX424" t="s">
        <v>8</v>
      </c>
      <c r="BY424" t="s">
        <v>291</v>
      </c>
      <c r="BZ424">
        <v>53843</v>
      </c>
      <c r="CA424">
        <f t="shared" si="73"/>
        <v>2</v>
      </c>
      <c r="CB424">
        <f t="shared" si="74"/>
        <v>2024</v>
      </c>
      <c r="CC424" t="str">
        <f t="shared" si="75"/>
        <v>2024-2</v>
      </c>
    </row>
    <row r="425" spans="1:81" x14ac:dyDescent="0.25">
      <c r="A425" t="s">
        <v>36</v>
      </c>
      <c r="B425" t="s">
        <v>53</v>
      </c>
      <c r="C425" t="s">
        <v>291</v>
      </c>
      <c r="D425">
        <v>48516</v>
      </c>
      <c r="E425">
        <v>7</v>
      </c>
      <c r="P425" t="s">
        <v>27</v>
      </c>
      <c r="Q425" t="s">
        <v>276</v>
      </c>
      <c r="R425">
        <v>9</v>
      </c>
      <c r="AI425" t="s">
        <v>53</v>
      </c>
      <c r="AJ425">
        <v>48516</v>
      </c>
      <c r="AL425">
        <f>COUNTIF(AI:AI,AK425)</f>
        <v>0</v>
      </c>
      <c r="AM425">
        <f>SUMIF(AI:AI,AK425,AJ:AJ)</f>
        <v>0</v>
      </c>
      <c r="AP425" t="s">
        <v>8</v>
      </c>
      <c r="AQ425" t="s">
        <v>307</v>
      </c>
      <c r="BP425" t="s">
        <v>27</v>
      </c>
      <c r="BQ425" t="s">
        <v>49</v>
      </c>
      <c r="BR425">
        <f t="shared" si="76"/>
        <v>9</v>
      </c>
      <c r="BS425">
        <f t="shared" si="70"/>
        <v>2023</v>
      </c>
      <c r="BT425">
        <v>7</v>
      </c>
      <c r="BU425" t="str">
        <f t="shared" si="71"/>
        <v>2023-9</v>
      </c>
      <c r="BV425">
        <f t="shared" si="72"/>
        <v>1</v>
      </c>
      <c r="BX425" t="s">
        <v>36</v>
      </c>
      <c r="BY425" t="s">
        <v>291</v>
      </c>
      <c r="BZ425">
        <v>48516</v>
      </c>
      <c r="CA425">
        <f t="shared" si="73"/>
        <v>2</v>
      </c>
      <c r="CB425">
        <f t="shared" si="74"/>
        <v>2024</v>
      </c>
      <c r="CC425" t="str">
        <f t="shared" si="75"/>
        <v>2024-2</v>
      </c>
    </row>
    <row r="426" spans="1:81" x14ac:dyDescent="0.25">
      <c r="A426" t="s">
        <v>10</v>
      </c>
      <c r="B426" t="s">
        <v>30</v>
      </c>
      <c r="C426" t="s">
        <v>292</v>
      </c>
      <c r="D426">
        <v>14224</v>
      </c>
      <c r="E426">
        <v>7</v>
      </c>
      <c r="P426" t="s">
        <v>5</v>
      </c>
      <c r="Q426" t="s">
        <v>42</v>
      </c>
      <c r="R426">
        <v>3</v>
      </c>
      <c r="AI426" t="s">
        <v>30</v>
      </c>
      <c r="AJ426">
        <v>14224</v>
      </c>
      <c r="AL426">
        <f>COUNTIF(AI:AI,AK426)</f>
        <v>0</v>
      </c>
      <c r="AM426">
        <f>SUMIF(AI:AI,AK426,AJ:AJ)</f>
        <v>0</v>
      </c>
      <c r="AP426" t="s">
        <v>17</v>
      </c>
      <c r="AQ426" t="s">
        <v>308</v>
      </c>
      <c r="BP426" t="s">
        <v>27</v>
      </c>
      <c r="BQ426" t="s">
        <v>49</v>
      </c>
      <c r="BR426">
        <f t="shared" si="76"/>
        <v>9</v>
      </c>
      <c r="BS426">
        <f t="shared" si="70"/>
        <v>2023</v>
      </c>
      <c r="BT426">
        <v>7</v>
      </c>
      <c r="BU426" t="str">
        <f t="shared" si="71"/>
        <v>2023-9</v>
      </c>
      <c r="BV426">
        <f t="shared" si="72"/>
        <v>1</v>
      </c>
      <c r="BX426" t="s">
        <v>10</v>
      </c>
      <c r="BY426" t="s">
        <v>292</v>
      </c>
      <c r="BZ426">
        <v>14224</v>
      </c>
      <c r="CA426">
        <f t="shared" si="73"/>
        <v>2</v>
      </c>
      <c r="CB426">
        <f t="shared" si="74"/>
        <v>2024</v>
      </c>
      <c r="CC426" t="str">
        <f t="shared" si="75"/>
        <v>2024-2</v>
      </c>
    </row>
    <row r="427" spans="1:81" x14ac:dyDescent="0.25">
      <c r="A427" t="s">
        <v>27</v>
      </c>
      <c r="B427" t="s">
        <v>269</v>
      </c>
      <c r="C427" t="s">
        <v>292</v>
      </c>
      <c r="D427">
        <v>97310</v>
      </c>
      <c r="E427">
        <v>10</v>
      </c>
      <c r="P427" t="s">
        <v>33</v>
      </c>
      <c r="Q427" t="s">
        <v>245</v>
      </c>
      <c r="R427">
        <v>8</v>
      </c>
      <c r="AI427" t="s">
        <v>269</v>
      </c>
      <c r="AJ427">
        <v>97310</v>
      </c>
      <c r="AL427">
        <f>COUNTIF(AI:AI,AK427)</f>
        <v>0</v>
      </c>
      <c r="AM427">
        <f>SUMIF(AI:AI,AK427,AJ:AJ)</f>
        <v>0</v>
      </c>
      <c r="AP427" t="s">
        <v>23</v>
      </c>
      <c r="AQ427" t="s">
        <v>26</v>
      </c>
      <c r="BP427" t="s">
        <v>27</v>
      </c>
      <c r="BQ427" t="s">
        <v>49</v>
      </c>
      <c r="BR427">
        <f t="shared" si="76"/>
        <v>9</v>
      </c>
      <c r="BS427">
        <f t="shared" si="70"/>
        <v>2023</v>
      </c>
      <c r="BT427">
        <v>10</v>
      </c>
      <c r="BU427" t="str">
        <f t="shared" si="71"/>
        <v>2023-9</v>
      </c>
      <c r="BV427">
        <f t="shared" si="72"/>
        <v>2</v>
      </c>
      <c r="BX427" t="s">
        <v>27</v>
      </c>
      <c r="BY427" t="s">
        <v>292</v>
      </c>
      <c r="BZ427">
        <v>97310</v>
      </c>
      <c r="CA427">
        <f t="shared" si="73"/>
        <v>2</v>
      </c>
      <c r="CB427">
        <f t="shared" si="74"/>
        <v>2024</v>
      </c>
      <c r="CC427" t="str">
        <f t="shared" si="75"/>
        <v>2024-2</v>
      </c>
    </row>
    <row r="428" spans="1:81" x14ac:dyDescent="0.25">
      <c r="A428" t="s">
        <v>32</v>
      </c>
      <c r="B428" t="s">
        <v>180</v>
      </c>
      <c r="C428" t="s">
        <v>292</v>
      </c>
      <c r="D428">
        <v>82676</v>
      </c>
      <c r="E428">
        <v>2</v>
      </c>
      <c r="P428" t="s">
        <v>17</v>
      </c>
      <c r="Q428" t="s">
        <v>244</v>
      </c>
      <c r="R428">
        <v>6</v>
      </c>
      <c r="AI428" t="s">
        <v>180</v>
      </c>
      <c r="AJ428">
        <v>82676</v>
      </c>
      <c r="AL428">
        <f>COUNTIF(AI:AI,AK428)</f>
        <v>0</v>
      </c>
      <c r="AM428">
        <f>SUMIF(AI:AI,AK428,AJ:AJ)</f>
        <v>0</v>
      </c>
      <c r="AP428" t="s">
        <v>27</v>
      </c>
      <c r="AQ428" t="s">
        <v>229</v>
      </c>
      <c r="BP428" t="s">
        <v>27</v>
      </c>
      <c r="BQ428" t="s">
        <v>66</v>
      </c>
      <c r="BR428">
        <f t="shared" si="76"/>
        <v>9</v>
      </c>
      <c r="BS428">
        <f t="shared" si="70"/>
        <v>2023</v>
      </c>
      <c r="BT428">
        <v>2</v>
      </c>
      <c r="BU428" t="str">
        <f t="shared" si="71"/>
        <v>2023-9</v>
      </c>
      <c r="BV428">
        <f t="shared" si="72"/>
        <v>0</v>
      </c>
      <c r="BX428" t="s">
        <v>32</v>
      </c>
      <c r="BY428" t="s">
        <v>292</v>
      </c>
      <c r="BZ428">
        <v>82676</v>
      </c>
      <c r="CA428">
        <f t="shared" si="73"/>
        <v>2</v>
      </c>
      <c r="CB428">
        <f t="shared" si="74"/>
        <v>2024</v>
      </c>
      <c r="CC428" t="str">
        <f t="shared" si="75"/>
        <v>2024-2</v>
      </c>
    </row>
    <row r="429" spans="1:81" x14ac:dyDescent="0.25">
      <c r="A429" t="s">
        <v>27</v>
      </c>
      <c r="B429" t="s">
        <v>276</v>
      </c>
      <c r="C429" t="s">
        <v>293</v>
      </c>
      <c r="D429">
        <v>33500</v>
      </c>
      <c r="E429">
        <v>9</v>
      </c>
      <c r="P429" t="s">
        <v>32</v>
      </c>
      <c r="Q429" t="s">
        <v>60</v>
      </c>
      <c r="R429">
        <v>3</v>
      </c>
      <c r="AI429" t="s">
        <v>276</v>
      </c>
      <c r="AJ429">
        <v>33500</v>
      </c>
      <c r="AL429">
        <f>COUNTIF(AI:AI,AK429)</f>
        <v>0</v>
      </c>
      <c r="AM429">
        <f>SUMIF(AI:AI,AK429,AJ:AJ)</f>
        <v>0</v>
      </c>
      <c r="AP429" t="s">
        <v>14</v>
      </c>
      <c r="AQ429" t="s">
        <v>53</v>
      </c>
      <c r="BP429" t="s">
        <v>27</v>
      </c>
      <c r="BQ429" t="s">
        <v>73</v>
      </c>
      <c r="BR429">
        <f t="shared" si="76"/>
        <v>9</v>
      </c>
      <c r="BS429">
        <f t="shared" si="70"/>
        <v>2023</v>
      </c>
      <c r="BT429">
        <v>9</v>
      </c>
      <c r="BU429" t="str">
        <f t="shared" si="71"/>
        <v>2023-9</v>
      </c>
      <c r="BV429">
        <f t="shared" si="72"/>
        <v>2</v>
      </c>
      <c r="BX429" t="s">
        <v>27</v>
      </c>
      <c r="BY429" t="s">
        <v>293</v>
      </c>
      <c r="BZ429">
        <v>33500</v>
      </c>
      <c r="CA429">
        <f t="shared" si="73"/>
        <v>2</v>
      </c>
      <c r="CB429">
        <f t="shared" si="74"/>
        <v>2024</v>
      </c>
      <c r="CC429" t="str">
        <f t="shared" si="75"/>
        <v>2024-2</v>
      </c>
    </row>
    <row r="430" spans="1:81" x14ac:dyDescent="0.25">
      <c r="A430" t="s">
        <v>5</v>
      </c>
      <c r="B430" t="s">
        <v>42</v>
      </c>
      <c r="C430" t="s">
        <v>293</v>
      </c>
      <c r="D430">
        <v>34584</v>
      </c>
      <c r="E430">
        <v>3</v>
      </c>
      <c r="P430" t="s">
        <v>33</v>
      </c>
      <c r="Q430" t="s">
        <v>294</v>
      </c>
      <c r="R430">
        <v>7</v>
      </c>
      <c r="AI430" t="s">
        <v>42</v>
      </c>
      <c r="AJ430">
        <v>34584</v>
      </c>
      <c r="AL430">
        <f>COUNTIF(AI:AI,AK430)</f>
        <v>0</v>
      </c>
      <c r="AM430">
        <f>SUMIF(AI:AI,AK430,AJ:AJ)</f>
        <v>0</v>
      </c>
      <c r="AP430" t="s">
        <v>12</v>
      </c>
      <c r="AQ430" t="s">
        <v>231</v>
      </c>
      <c r="BP430" t="s">
        <v>27</v>
      </c>
      <c r="BQ430" t="s">
        <v>113</v>
      </c>
      <c r="BR430">
        <f t="shared" si="76"/>
        <v>10</v>
      </c>
      <c r="BS430">
        <f t="shared" si="70"/>
        <v>2023</v>
      </c>
      <c r="BT430">
        <v>3</v>
      </c>
      <c r="BU430" t="str">
        <f t="shared" si="71"/>
        <v>2023-10</v>
      </c>
      <c r="BV430">
        <f t="shared" si="72"/>
        <v>0</v>
      </c>
      <c r="BX430" t="s">
        <v>5</v>
      </c>
      <c r="BY430" t="s">
        <v>293</v>
      </c>
      <c r="BZ430">
        <v>34584</v>
      </c>
      <c r="CA430">
        <f t="shared" si="73"/>
        <v>2</v>
      </c>
      <c r="CB430">
        <f t="shared" si="74"/>
        <v>2024</v>
      </c>
      <c r="CC430" t="str">
        <f t="shared" si="75"/>
        <v>2024-2</v>
      </c>
    </row>
    <row r="431" spans="1:81" x14ac:dyDescent="0.25">
      <c r="A431" t="s">
        <v>33</v>
      </c>
      <c r="B431" t="s">
        <v>245</v>
      </c>
      <c r="C431" t="s">
        <v>293</v>
      </c>
      <c r="D431">
        <v>40859</v>
      </c>
      <c r="E431">
        <v>8</v>
      </c>
      <c r="P431" t="s">
        <v>32</v>
      </c>
      <c r="Q431" t="s">
        <v>296</v>
      </c>
      <c r="R431">
        <v>7</v>
      </c>
      <c r="AI431" t="s">
        <v>245</v>
      </c>
      <c r="AJ431">
        <v>40859</v>
      </c>
      <c r="AL431">
        <f>COUNTIF(AI:AI,AK431)</f>
        <v>0</v>
      </c>
      <c r="AM431">
        <f>SUMIF(AI:AI,AK431,AJ:AJ)</f>
        <v>0</v>
      </c>
      <c r="AP431" t="s">
        <v>32</v>
      </c>
      <c r="AQ431" t="s">
        <v>6</v>
      </c>
      <c r="BP431" t="s">
        <v>27</v>
      </c>
      <c r="BQ431" t="s">
        <v>117</v>
      </c>
      <c r="BR431">
        <f t="shared" si="76"/>
        <v>10</v>
      </c>
      <c r="BS431">
        <f t="shared" si="70"/>
        <v>2023</v>
      </c>
      <c r="BT431">
        <v>8</v>
      </c>
      <c r="BU431" t="str">
        <f t="shared" si="71"/>
        <v>2023-10</v>
      </c>
      <c r="BV431">
        <f t="shared" si="72"/>
        <v>1</v>
      </c>
      <c r="BX431" t="s">
        <v>33</v>
      </c>
      <c r="BY431" t="s">
        <v>293</v>
      </c>
      <c r="BZ431">
        <v>40859</v>
      </c>
      <c r="CA431">
        <f t="shared" si="73"/>
        <v>2</v>
      </c>
      <c r="CB431">
        <f t="shared" si="74"/>
        <v>2024</v>
      </c>
      <c r="CC431" t="str">
        <f t="shared" si="75"/>
        <v>2024-2</v>
      </c>
    </row>
    <row r="432" spans="1:81" x14ac:dyDescent="0.25">
      <c r="A432" t="s">
        <v>17</v>
      </c>
      <c r="B432" t="s">
        <v>244</v>
      </c>
      <c r="C432" t="s">
        <v>293</v>
      </c>
      <c r="D432">
        <v>75703</v>
      </c>
      <c r="E432">
        <v>6</v>
      </c>
      <c r="P432" t="s">
        <v>23</v>
      </c>
      <c r="Q432" t="s">
        <v>162</v>
      </c>
      <c r="R432">
        <v>9</v>
      </c>
      <c r="AI432" t="s">
        <v>244</v>
      </c>
      <c r="AJ432">
        <v>75703</v>
      </c>
      <c r="AL432">
        <f>COUNTIF(AI:AI,AK432)</f>
        <v>0</v>
      </c>
      <c r="AM432">
        <f>SUMIF(AI:AI,AK432,AJ:AJ)</f>
        <v>0</v>
      </c>
      <c r="AP432" t="s">
        <v>8</v>
      </c>
      <c r="AQ432" t="s">
        <v>124</v>
      </c>
      <c r="BP432" t="s">
        <v>27</v>
      </c>
      <c r="BQ432" t="s">
        <v>141</v>
      </c>
      <c r="BR432">
        <f t="shared" si="76"/>
        <v>10</v>
      </c>
      <c r="BS432">
        <f t="shared" si="70"/>
        <v>2023</v>
      </c>
      <c r="BT432">
        <v>6</v>
      </c>
      <c r="BU432" t="str">
        <f t="shared" si="71"/>
        <v>2023-10</v>
      </c>
      <c r="BV432">
        <f t="shared" si="72"/>
        <v>0</v>
      </c>
      <c r="BX432" t="s">
        <v>17</v>
      </c>
      <c r="BY432" t="s">
        <v>293</v>
      </c>
      <c r="BZ432">
        <v>75703</v>
      </c>
      <c r="CA432">
        <f t="shared" si="73"/>
        <v>2</v>
      </c>
      <c r="CB432">
        <f t="shared" si="74"/>
        <v>2024</v>
      </c>
      <c r="CC432" t="str">
        <f t="shared" si="75"/>
        <v>2024-2</v>
      </c>
    </row>
    <row r="433" spans="1:81" x14ac:dyDescent="0.25">
      <c r="A433" t="s">
        <v>32</v>
      </c>
      <c r="B433" t="s">
        <v>60</v>
      </c>
      <c r="C433" t="s">
        <v>293</v>
      </c>
      <c r="D433">
        <v>43997</v>
      </c>
      <c r="E433">
        <v>3</v>
      </c>
      <c r="P433" t="s">
        <v>17</v>
      </c>
      <c r="Q433" t="s">
        <v>297</v>
      </c>
      <c r="R433">
        <v>4</v>
      </c>
      <c r="AI433" t="s">
        <v>60</v>
      </c>
      <c r="AJ433">
        <v>43997</v>
      </c>
      <c r="AL433">
        <f>COUNTIF(AI:AI,AK433)</f>
        <v>0</v>
      </c>
      <c r="AM433">
        <f>SUMIF(AI:AI,AK433,AJ:AJ)</f>
        <v>0</v>
      </c>
      <c r="AP433" t="s">
        <v>14</v>
      </c>
      <c r="AQ433" t="s">
        <v>311</v>
      </c>
      <c r="BP433" t="s">
        <v>27</v>
      </c>
      <c r="BQ433" t="s">
        <v>149</v>
      </c>
      <c r="BR433">
        <f t="shared" si="76"/>
        <v>10</v>
      </c>
      <c r="BS433">
        <f t="shared" si="70"/>
        <v>2023</v>
      </c>
      <c r="BT433">
        <v>3</v>
      </c>
      <c r="BU433" t="str">
        <f t="shared" si="71"/>
        <v>2023-10</v>
      </c>
      <c r="BV433">
        <f t="shared" si="72"/>
        <v>0</v>
      </c>
      <c r="BX433" t="s">
        <v>32</v>
      </c>
      <c r="BY433" t="s">
        <v>293</v>
      </c>
      <c r="BZ433">
        <v>43997</v>
      </c>
      <c r="CA433">
        <f t="shared" si="73"/>
        <v>2</v>
      </c>
      <c r="CB433">
        <f t="shared" si="74"/>
        <v>2024</v>
      </c>
      <c r="CC433" t="str">
        <f t="shared" si="75"/>
        <v>2024-2</v>
      </c>
    </row>
    <row r="434" spans="1:81" x14ac:dyDescent="0.25">
      <c r="A434" t="s">
        <v>33</v>
      </c>
      <c r="B434" t="s">
        <v>294</v>
      </c>
      <c r="C434" t="s">
        <v>295</v>
      </c>
      <c r="D434">
        <v>11526</v>
      </c>
      <c r="E434">
        <v>7</v>
      </c>
      <c r="P434" t="s">
        <v>10</v>
      </c>
      <c r="Q434" t="s">
        <v>9</v>
      </c>
      <c r="R434">
        <v>4</v>
      </c>
      <c r="AI434" t="s">
        <v>294</v>
      </c>
      <c r="AJ434">
        <v>11526</v>
      </c>
      <c r="AL434">
        <f>COUNTIF(AI:AI,AK434)</f>
        <v>0</v>
      </c>
      <c r="AM434">
        <f>SUMIF(AI:AI,AK434,AJ:AJ)</f>
        <v>0</v>
      </c>
      <c r="AP434" t="s">
        <v>36</v>
      </c>
      <c r="AQ434" t="s">
        <v>22</v>
      </c>
      <c r="BP434" t="s">
        <v>27</v>
      </c>
      <c r="BQ434" t="s">
        <v>160</v>
      </c>
      <c r="BR434">
        <f t="shared" si="76"/>
        <v>11</v>
      </c>
      <c r="BS434">
        <f t="shared" si="70"/>
        <v>2023</v>
      </c>
      <c r="BT434">
        <v>7</v>
      </c>
      <c r="BU434" t="str">
        <f t="shared" si="71"/>
        <v>2023-11</v>
      </c>
      <c r="BV434">
        <f t="shared" si="72"/>
        <v>1</v>
      </c>
      <c r="BX434" t="s">
        <v>33</v>
      </c>
      <c r="BY434" t="s">
        <v>295</v>
      </c>
      <c r="BZ434">
        <v>11526</v>
      </c>
      <c r="CA434">
        <f t="shared" si="73"/>
        <v>2</v>
      </c>
      <c r="CB434">
        <f t="shared" si="74"/>
        <v>2024</v>
      </c>
      <c r="CC434" t="str">
        <f t="shared" si="75"/>
        <v>2024-2</v>
      </c>
    </row>
    <row r="435" spans="1:81" x14ac:dyDescent="0.25">
      <c r="A435" t="s">
        <v>32</v>
      </c>
      <c r="B435" t="s">
        <v>296</v>
      </c>
      <c r="C435" t="s">
        <v>295</v>
      </c>
      <c r="D435">
        <v>99692</v>
      </c>
      <c r="E435">
        <v>7</v>
      </c>
      <c r="P435" t="s">
        <v>10</v>
      </c>
      <c r="Q435" t="s">
        <v>41</v>
      </c>
      <c r="R435">
        <v>0</v>
      </c>
      <c r="AI435" t="s">
        <v>296</v>
      </c>
      <c r="AJ435">
        <v>99692</v>
      </c>
      <c r="AL435">
        <f>COUNTIF(AI:AI,AK435)</f>
        <v>0</v>
      </c>
      <c r="AM435">
        <f>SUMIF(AI:AI,AK435,AJ:AJ)</f>
        <v>0</v>
      </c>
      <c r="AP435" t="s">
        <v>10</v>
      </c>
      <c r="AQ435" t="s">
        <v>161</v>
      </c>
      <c r="BP435" t="s">
        <v>27</v>
      </c>
      <c r="BQ435" t="s">
        <v>167</v>
      </c>
      <c r="BR435">
        <f t="shared" si="76"/>
        <v>11</v>
      </c>
      <c r="BS435">
        <f t="shared" si="70"/>
        <v>2023</v>
      </c>
      <c r="BT435">
        <v>7</v>
      </c>
      <c r="BU435" t="str">
        <f t="shared" si="71"/>
        <v>2023-11</v>
      </c>
      <c r="BV435">
        <f t="shared" si="72"/>
        <v>1</v>
      </c>
      <c r="BX435" t="s">
        <v>32</v>
      </c>
      <c r="BY435" t="s">
        <v>295</v>
      </c>
      <c r="BZ435">
        <v>99692</v>
      </c>
      <c r="CA435">
        <f t="shared" si="73"/>
        <v>2</v>
      </c>
      <c r="CB435">
        <f t="shared" si="74"/>
        <v>2024</v>
      </c>
      <c r="CC435" t="str">
        <f t="shared" si="75"/>
        <v>2024-2</v>
      </c>
    </row>
    <row r="436" spans="1:81" x14ac:dyDescent="0.25">
      <c r="A436" t="s">
        <v>23</v>
      </c>
      <c r="B436" t="s">
        <v>162</v>
      </c>
      <c r="C436" t="s">
        <v>295</v>
      </c>
      <c r="D436">
        <v>46734</v>
      </c>
      <c r="E436">
        <v>9</v>
      </c>
      <c r="P436" t="s">
        <v>20</v>
      </c>
      <c r="Q436" t="s">
        <v>244</v>
      </c>
      <c r="R436">
        <v>4</v>
      </c>
      <c r="AI436" t="s">
        <v>162</v>
      </c>
      <c r="AJ436">
        <v>46734</v>
      </c>
      <c r="AL436">
        <f>COUNTIF(AI:AI,AK436)</f>
        <v>0</v>
      </c>
      <c r="AM436">
        <f>SUMIF(AI:AI,AK436,AJ:AJ)</f>
        <v>0</v>
      </c>
      <c r="AP436" t="s">
        <v>32</v>
      </c>
      <c r="AQ436" t="s">
        <v>39</v>
      </c>
      <c r="BP436" t="s">
        <v>27</v>
      </c>
      <c r="BQ436" t="s">
        <v>172</v>
      </c>
      <c r="BR436">
        <f t="shared" si="76"/>
        <v>11</v>
      </c>
      <c r="BS436">
        <f t="shared" si="70"/>
        <v>2023</v>
      </c>
      <c r="BT436">
        <v>9</v>
      </c>
      <c r="BU436" t="str">
        <f t="shared" si="71"/>
        <v>2023-11</v>
      </c>
      <c r="BV436">
        <f t="shared" si="72"/>
        <v>2</v>
      </c>
      <c r="BX436" t="s">
        <v>23</v>
      </c>
      <c r="BY436" t="s">
        <v>295</v>
      </c>
      <c r="BZ436">
        <v>46734</v>
      </c>
      <c r="CA436">
        <f t="shared" si="73"/>
        <v>2</v>
      </c>
      <c r="CB436">
        <f t="shared" si="74"/>
        <v>2024</v>
      </c>
      <c r="CC436" t="str">
        <f t="shared" si="75"/>
        <v>2024-2</v>
      </c>
    </row>
    <row r="437" spans="1:81" x14ac:dyDescent="0.25">
      <c r="A437" t="s">
        <v>17</v>
      </c>
      <c r="B437" t="s">
        <v>297</v>
      </c>
      <c r="C437" t="s">
        <v>298</v>
      </c>
      <c r="D437">
        <v>15953</v>
      </c>
      <c r="E437">
        <v>4</v>
      </c>
      <c r="P437" t="s">
        <v>23</v>
      </c>
      <c r="Q437" t="s">
        <v>166</v>
      </c>
      <c r="R437">
        <v>5</v>
      </c>
      <c r="AI437" t="s">
        <v>297</v>
      </c>
      <c r="AJ437">
        <v>15953</v>
      </c>
      <c r="AL437">
        <f>COUNTIF(AI:AI,AK437)</f>
        <v>0</v>
      </c>
      <c r="AM437">
        <f>SUMIF(AI:AI,AK437,AJ:AJ)</f>
        <v>0</v>
      </c>
      <c r="AP437" t="s">
        <v>20</v>
      </c>
      <c r="AQ437" t="s">
        <v>47</v>
      </c>
      <c r="BP437" t="s">
        <v>27</v>
      </c>
      <c r="BQ437" t="s">
        <v>179</v>
      </c>
      <c r="BR437">
        <f t="shared" si="76"/>
        <v>11</v>
      </c>
      <c r="BS437">
        <f t="shared" si="70"/>
        <v>2023</v>
      </c>
      <c r="BT437">
        <v>4</v>
      </c>
      <c r="BU437" t="str">
        <f t="shared" si="71"/>
        <v>2023-11</v>
      </c>
      <c r="BV437">
        <f t="shared" si="72"/>
        <v>0</v>
      </c>
      <c r="BX437" t="s">
        <v>17</v>
      </c>
      <c r="BY437" t="s">
        <v>298</v>
      </c>
      <c r="BZ437">
        <v>15953</v>
      </c>
      <c r="CA437">
        <f t="shared" si="73"/>
        <v>2</v>
      </c>
      <c r="CB437">
        <f t="shared" si="74"/>
        <v>2024</v>
      </c>
      <c r="CC437" t="str">
        <f t="shared" si="75"/>
        <v>2024-2</v>
      </c>
    </row>
    <row r="438" spans="1:81" x14ac:dyDescent="0.25">
      <c r="A438" t="s">
        <v>10</v>
      </c>
      <c r="B438" t="s">
        <v>9</v>
      </c>
      <c r="C438" t="s">
        <v>298</v>
      </c>
      <c r="D438">
        <v>11950</v>
      </c>
      <c r="E438">
        <v>4</v>
      </c>
      <c r="P438" t="s">
        <v>5</v>
      </c>
      <c r="Q438" t="s">
        <v>276</v>
      </c>
      <c r="R438">
        <v>7</v>
      </c>
      <c r="AI438" t="s">
        <v>9</v>
      </c>
      <c r="AJ438">
        <v>11950</v>
      </c>
      <c r="AL438">
        <f>COUNTIF(AI:AI,AK438)</f>
        <v>0</v>
      </c>
      <c r="AM438">
        <f>SUMIF(AI:AI,AK438,AJ:AJ)</f>
        <v>0</v>
      </c>
      <c r="AP438" t="s">
        <v>17</v>
      </c>
      <c r="AQ438" t="s">
        <v>165</v>
      </c>
      <c r="BP438" t="s">
        <v>27</v>
      </c>
      <c r="BQ438" t="s">
        <v>179</v>
      </c>
      <c r="BR438">
        <f t="shared" si="76"/>
        <v>11</v>
      </c>
      <c r="BS438">
        <f t="shared" si="70"/>
        <v>2023</v>
      </c>
      <c r="BT438">
        <v>4</v>
      </c>
      <c r="BU438" t="str">
        <f t="shared" si="71"/>
        <v>2023-11</v>
      </c>
      <c r="BV438">
        <f t="shared" si="72"/>
        <v>0</v>
      </c>
      <c r="BX438" t="s">
        <v>10</v>
      </c>
      <c r="BY438" t="s">
        <v>298</v>
      </c>
      <c r="BZ438">
        <v>11950</v>
      </c>
      <c r="CA438">
        <f t="shared" si="73"/>
        <v>2</v>
      </c>
      <c r="CB438">
        <f t="shared" si="74"/>
        <v>2024</v>
      </c>
      <c r="CC438" t="str">
        <f t="shared" si="75"/>
        <v>2024-2</v>
      </c>
    </row>
    <row r="439" spans="1:81" x14ac:dyDescent="0.25">
      <c r="A439" t="s">
        <v>10</v>
      </c>
      <c r="B439" t="s">
        <v>41</v>
      </c>
      <c r="C439" t="s">
        <v>298</v>
      </c>
      <c r="D439">
        <v>75973</v>
      </c>
      <c r="E439">
        <v>0</v>
      </c>
      <c r="P439" t="s">
        <v>10</v>
      </c>
      <c r="Q439" t="s">
        <v>162</v>
      </c>
      <c r="R439">
        <v>6</v>
      </c>
      <c r="AI439" t="s">
        <v>41</v>
      </c>
      <c r="AJ439">
        <v>75973</v>
      </c>
      <c r="AL439">
        <f>COUNTIF(AI:AI,AK439)</f>
        <v>0</v>
      </c>
      <c r="AM439">
        <f>SUMIF(AI:AI,AK439,AJ:AJ)</f>
        <v>0</v>
      </c>
      <c r="AP439" t="s">
        <v>17</v>
      </c>
      <c r="AQ439" t="s">
        <v>155</v>
      </c>
      <c r="BP439" t="s">
        <v>27</v>
      </c>
      <c r="BQ439" t="s">
        <v>192</v>
      </c>
      <c r="BR439">
        <f t="shared" si="76"/>
        <v>11</v>
      </c>
      <c r="BS439">
        <f t="shared" si="70"/>
        <v>2023</v>
      </c>
      <c r="BT439">
        <v>0</v>
      </c>
      <c r="BU439" t="str">
        <f t="shared" si="71"/>
        <v>2023-11</v>
      </c>
      <c r="BV439">
        <f t="shared" si="72"/>
        <v>0</v>
      </c>
      <c r="BX439" t="s">
        <v>10</v>
      </c>
      <c r="BY439" t="s">
        <v>298</v>
      </c>
      <c r="BZ439">
        <v>75973</v>
      </c>
      <c r="CA439">
        <f t="shared" si="73"/>
        <v>2</v>
      </c>
      <c r="CB439">
        <f t="shared" si="74"/>
        <v>2024</v>
      </c>
      <c r="CC439" t="str">
        <f t="shared" si="75"/>
        <v>2024-2</v>
      </c>
    </row>
    <row r="440" spans="1:81" x14ac:dyDescent="0.25">
      <c r="A440" t="s">
        <v>20</v>
      </c>
      <c r="B440" t="s">
        <v>244</v>
      </c>
      <c r="C440" t="s">
        <v>298</v>
      </c>
      <c r="D440">
        <v>63123</v>
      </c>
      <c r="E440">
        <v>4</v>
      </c>
      <c r="P440" t="s">
        <v>17</v>
      </c>
      <c r="Q440" t="s">
        <v>290</v>
      </c>
      <c r="R440">
        <v>1</v>
      </c>
      <c r="AI440" t="s">
        <v>244</v>
      </c>
      <c r="AJ440">
        <v>63123</v>
      </c>
      <c r="AL440">
        <f>COUNTIF(AI:AI,AK440)</f>
        <v>0</v>
      </c>
      <c r="AM440">
        <f>SUMIF(AI:AI,AK440,AJ:AJ)</f>
        <v>0</v>
      </c>
      <c r="AP440" t="s">
        <v>33</v>
      </c>
      <c r="AQ440" t="s">
        <v>56</v>
      </c>
      <c r="BP440" t="s">
        <v>27</v>
      </c>
      <c r="BQ440" t="s">
        <v>211</v>
      </c>
      <c r="BR440">
        <f t="shared" si="76"/>
        <v>12</v>
      </c>
      <c r="BS440">
        <f t="shared" si="70"/>
        <v>2023</v>
      </c>
      <c r="BT440">
        <v>4</v>
      </c>
      <c r="BU440" t="str">
        <f t="shared" si="71"/>
        <v>2023-12</v>
      </c>
      <c r="BV440">
        <f t="shared" si="72"/>
        <v>0</v>
      </c>
      <c r="BX440" t="s">
        <v>20</v>
      </c>
      <c r="BY440" t="s">
        <v>298</v>
      </c>
      <c r="BZ440">
        <v>63123</v>
      </c>
      <c r="CA440">
        <f t="shared" si="73"/>
        <v>2</v>
      </c>
      <c r="CB440">
        <f t="shared" si="74"/>
        <v>2024</v>
      </c>
      <c r="CC440" t="str">
        <f t="shared" si="75"/>
        <v>2024-2</v>
      </c>
    </row>
    <row r="441" spans="1:81" x14ac:dyDescent="0.25">
      <c r="A441" t="s">
        <v>23</v>
      </c>
      <c r="B441" t="s">
        <v>166</v>
      </c>
      <c r="C441" t="s">
        <v>299</v>
      </c>
      <c r="D441">
        <v>51789</v>
      </c>
      <c r="E441">
        <v>5</v>
      </c>
      <c r="P441" t="s">
        <v>20</v>
      </c>
      <c r="Q441" t="s">
        <v>120</v>
      </c>
      <c r="R441">
        <v>4</v>
      </c>
      <c r="AI441" t="s">
        <v>166</v>
      </c>
      <c r="AJ441">
        <v>51789</v>
      </c>
      <c r="AL441">
        <f>COUNTIF(AI:AI,AK441)</f>
        <v>0</v>
      </c>
      <c r="AM441">
        <f>SUMIF(AI:AI,AK441,AJ:AJ)</f>
        <v>0</v>
      </c>
      <c r="AP441" t="s">
        <v>32</v>
      </c>
      <c r="AQ441" t="s">
        <v>53</v>
      </c>
      <c r="BP441" t="s">
        <v>27</v>
      </c>
      <c r="BQ441" t="s">
        <v>221</v>
      </c>
      <c r="BR441">
        <f t="shared" si="76"/>
        <v>12</v>
      </c>
      <c r="BS441">
        <f t="shared" si="70"/>
        <v>2023</v>
      </c>
      <c r="BT441">
        <v>5</v>
      </c>
      <c r="BU441" t="str">
        <f t="shared" si="71"/>
        <v>2023-12</v>
      </c>
      <c r="BV441">
        <f t="shared" si="72"/>
        <v>0</v>
      </c>
      <c r="BX441" t="s">
        <v>23</v>
      </c>
      <c r="BY441" t="s">
        <v>299</v>
      </c>
      <c r="BZ441">
        <v>51789</v>
      </c>
      <c r="CA441">
        <f t="shared" si="73"/>
        <v>2</v>
      </c>
      <c r="CB441">
        <f t="shared" si="74"/>
        <v>2024</v>
      </c>
      <c r="CC441" t="str">
        <f t="shared" si="75"/>
        <v>2024-2</v>
      </c>
    </row>
    <row r="442" spans="1:81" x14ac:dyDescent="0.25">
      <c r="A442" t="s">
        <v>5</v>
      </c>
      <c r="B442" t="s">
        <v>276</v>
      </c>
      <c r="C442" t="s">
        <v>299</v>
      </c>
      <c r="D442">
        <v>28767</v>
      </c>
      <c r="E442">
        <v>7</v>
      </c>
      <c r="P442" t="s">
        <v>20</v>
      </c>
      <c r="Q442" t="s">
        <v>203</v>
      </c>
      <c r="R442">
        <v>4</v>
      </c>
      <c r="AI442" t="s">
        <v>276</v>
      </c>
      <c r="AJ442">
        <v>28767</v>
      </c>
      <c r="AL442">
        <f>COUNTIF(AI:AI,AK442)</f>
        <v>0</v>
      </c>
      <c r="AM442">
        <f>SUMIF(AI:AI,AK442,AJ:AJ)</f>
        <v>0</v>
      </c>
      <c r="AP442" t="s">
        <v>23</v>
      </c>
      <c r="AQ442" t="s">
        <v>253</v>
      </c>
      <c r="BP442" t="s">
        <v>27</v>
      </c>
      <c r="BQ442" t="s">
        <v>221</v>
      </c>
      <c r="BR442">
        <f t="shared" si="76"/>
        <v>12</v>
      </c>
      <c r="BS442">
        <f t="shared" si="70"/>
        <v>2023</v>
      </c>
      <c r="BT442">
        <v>7</v>
      </c>
      <c r="BU442" t="str">
        <f t="shared" si="71"/>
        <v>2023-12</v>
      </c>
      <c r="BV442">
        <f t="shared" si="72"/>
        <v>1</v>
      </c>
      <c r="BX442" t="s">
        <v>5</v>
      </c>
      <c r="BY442" t="s">
        <v>299</v>
      </c>
      <c r="BZ442">
        <v>28767</v>
      </c>
      <c r="CA442">
        <f t="shared" si="73"/>
        <v>2</v>
      </c>
      <c r="CB442">
        <f t="shared" si="74"/>
        <v>2024</v>
      </c>
      <c r="CC442" t="str">
        <f t="shared" si="75"/>
        <v>2024-2</v>
      </c>
    </row>
    <row r="443" spans="1:81" x14ac:dyDescent="0.25">
      <c r="A443" t="s">
        <v>10</v>
      </c>
      <c r="B443" t="s">
        <v>162</v>
      </c>
      <c r="C443" t="s">
        <v>299</v>
      </c>
      <c r="D443">
        <v>91586</v>
      </c>
      <c r="E443">
        <v>6</v>
      </c>
      <c r="P443" t="s">
        <v>17</v>
      </c>
      <c r="Q443" t="s">
        <v>56</v>
      </c>
      <c r="R443">
        <v>3</v>
      </c>
      <c r="AI443" t="s">
        <v>162</v>
      </c>
      <c r="AJ443">
        <v>91586</v>
      </c>
      <c r="AL443">
        <f>COUNTIF(AI:AI,AK443)</f>
        <v>0</v>
      </c>
      <c r="AM443">
        <f>SUMIF(AI:AI,AK443,AJ:AJ)</f>
        <v>0</v>
      </c>
      <c r="AP443" t="s">
        <v>23</v>
      </c>
      <c r="AQ443" t="s">
        <v>112</v>
      </c>
      <c r="BP443" t="s">
        <v>27</v>
      </c>
      <c r="BQ443" t="s">
        <v>232</v>
      </c>
      <c r="BR443">
        <f t="shared" si="76"/>
        <v>12</v>
      </c>
      <c r="BS443">
        <f t="shared" si="70"/>
        <v>2023</v>
      </c>
      <c r="BT443">
        <v>6</v>
      </c>
      <c r="BU443" t="str">
        <f t="shared" si="71"/>
        <v>2023-12</v>
      </c>
      <c r="BV443">
        <f t="shared" si="72"/>
        <v>0</v>
      </c>
      <c r="BX443" t="s">
        <v>10</v>
      </c>
      <c r="BY443" t="s">
        <v>299</v>
      </c>
      <c r="BZ443">
        <v>91586</v>
      </c>
      <c r="CA443">
        <f t="shared" si="73"/>
        <v>2</v>
      </c>
      <c r="CB443">
        <f t="shared" si="74"/>
        <v>2024</v>
      </c>
      <c r="CC443" t="str">
        <f t="shared" si="75"/>
        <v>2024-2</v>
      </c>
    </row>
    <row r="444" spans="1:81" x14ac:dyDescent="0.25">
      <c r="A444" t="s">
        <v>17</v>
      </c>
      <c r="B444" t="s">
        <v>290</v>
      </c>
      <c r="C444" t="s">
        <v>300</v>
      </c>
      <c r="D444">
        <v>91812</v>
      </c>
      <c r="E444">
        <v>1</v>
      </c>
      <c r="P444" t="s">
        <v>32</v>
      </c>
      <c r="Q444" t="s">
        <v>215</v>
      </c>
      <c r="R444">
        <v>6</v>
      </c>
      <c r="AI444" t="s">
        <v>290</v>
      </c>
      <c r="AJ444">
        <v>91812</v>
      </c>
      <c r="AL444">
        <f>COUNTIF(AI:AI,AK444)</f>
        <v>0</v>
      </c>
      <c r="AM444">
        <f>SUMIF(AI:AI,AK444,AJ:AJ)</f>
        <v>0</v>
      </c>
      <c r="AP444" t="s">
        <v>32</v>
      </c>
      <c r="AQ444" t="s">
        <v>238</v>
      </c>
      <c r="BP444" t="s">
        <v>27</v>
      </c>
      <c r="BQ444" t="s">
        <v>240</v>
      </c>
      <c r="BR444">
        <f t="shared" si="76"/>
        <v>12</v>
      </c>
      <c r="BS444">
        <f t="shared" si="70"/>
        <v>2023</v>
      </c>
      <c r="BT444">
        <v>1</v>
      </c>
      <c r="BU444" t="str">
        <f t="shared" si="71"/>
        <v>2023-12</v>
      </c>
      <c r="BV444">
        <f t="shared" si="72"/>
        <v>0</v>
      </c>
      <c r="BX444" t="s">
        <v>17</v>
      </c>
      <c r="BY444" t="s">
        <v>300</v>
      </c>
      <c r="BZ444">
        <v>91812</v>
      </c>
      <c r="CA444">
        <f t="shared" si="73"/>
        <v>2</v>
      </c>
      <c r="CB444">
        <f t="shared" si="74"/>
        <v>2024</v>
      </c>
      <c r="CC444" t="str">
        <f t="shared" si="75"/>
        <v>2024-2</v>
      </c>
    </row>
    <row r="445" spans="1:81" x14ac:dyDescent="0.25">
      <c r="A445" t="s">
        <v>20</v>
      </c>
      <c r="B445" t="s">
        <v>120</v>
      </c>
      <c r="C445" t="s">
        <v>300</v>
      </c>
      <c r="D445">
        <v>93574</v>
      </c>
      <c r="E445">
        <v>4</v>
      </c>
      <c r="P445" t="s">
        <v>14</v>
      </c>
      <c r="Q445" t="s">
        <v>190</v>
      </c>
      <c r="R445">
        <v>6</v>
      </c>
      <c r="AI445" t="s">
        <v>120</v>
      </c>
      <c r="AJ445">
        <v>93574</v>
      </c>
      <c r="AL445">
        <f>COUNTIF(AI:AI,AK445)</f>
        <v>0</v>
      </c>
      <c r="AM445">
        <f>SUMIF(AI:AI,AK445,AJ:AJ)</f>
        <v>0</v>
      </c>
      <c r="AP445" t="s">
        <v>20</v>
      </c>
      <c r="AQ445" t="s">
        <v>107</v>
      </c>
      <c r="BP445" t="s">
        <v>27</v>
      </c>
      <c r="BQ445" t="s">
        <v>240</v>
      </c>
      <c r="BR445">
        <f t="shared" si="76"/>
        <v>12</v>
      </c>
      <c r="BS445">
        <f t="shared" si="70"/>
        <v>2023</v>
      </c>
      <c r="BT445">
        <v>4</v>
      </c>
      <c r="BU445" t="str">
        <f t="shared" si="71"/>
        <v>2023-12</v>
      </c>
      <c r="BV445">
        <f t="shared" si="72"/>
        <v>0</v>
      </c>
      <c r="BX445" t="s">
        <v>20</v>
      </c>
      <c r="BY445" t="s">
        <v>300</v>
      </c>
      <c r="BZ445">
        <v>93574</v>
      </c>
      <c r="CA445">
        <f t="shared" si="73"/>
        <v>2</v>
      </c>
      <c r="CB445">
        <f t="shared" si="74"/>
        <v>2024</v>
      </c>
      <c r="CC445" t="str">
        <f t="shared" si="75"/>
        <v>2024-2</v>
      </c>
    </row>
    <row r="446" spans="1:81" x14ac:dyDescent="0.25">
      <c r="A446" t="s">
        <v>20</v>
      </c>
      <c r="B446" t="s">
        <v>203</v>
      </c>
      <c r="C446" t="s">
        <v>300</v>
      </c>
      <c r="D446">
        <v>28193</v>
      </c>
      <c r="E446">
        <v>4</v>
      </c>
      <c r="P446" t="s">
        <v>33</v>
      </c>
      <c r="Q446" t="s">
        <v>101</v>
      </c>
      <c r="R446">
        <v>6</v>
      </c>
      <c r="AI446" t="s">
        <v>203</v>
      </c>
      <c r="AJ446">
        <v>28193</v>
      </c>
      <c r="AL446">
        <f>COUNTIF(AI:AI,AK446)</f>
        <v>0</v>
      </c>
      <c r="AM446">
        <f>SUMIF(AI:AI,AK446,AJ:AJ)</f>
        <v>0</v>
      </c>
      <c r="AP446" t="s">
        <v>23</v>
      </c>
      <c r="AQ446" t="s">
        <v>18</v>
      </c>
      <c r="BP446" t="s">
        <v>27</v>
      </c>
      <c r="BQ446" t="s">
        <v>248</v>
      </c>
      <c r="BR446">
        <f t="shared" si="76"/>
        <v>12</v>
      </c>
      <c r="BS446">
        <f t="shared" si="70"/>
        <v>2023</v>
      </c>
      <c r="BT446">
        <v>4</v>
      </c>
      <c r="BU446" t="str">
        <f t="shared" si="71"/>
        <v>2023-12</v>
      </c>
      <c r="BV446">
        <f t="shared" si="72"/>
        <v>0</v>
      </c>
      <c r="BX446" t="s">
        <v>20</v>
      </c>
      <c r="BY446" t="s">
        <v>300</v>
      </c>
      <c r="BZ446">
        <v>28193</v>
      </c>
      <c r="CA446">
        <f t="shared" si="73"/>
        <v>2</v>
      </c>
      <c r="CB446">
        <f t="shared" si="74"/>
        <v>2024</v>
      </c>
      <c r="CC446" t="str">
        <f t="shared" si="75"/>
        <v>2024-2</v>
      </c>
    </row>
    <row r="447" spans="1:81" x14ac:dyDescent="0.25">
      <c r="A447" t="s">
        <v>17</v>
      </c>
      <c r="B447" t="s">
        <v>56</v>
      </c>
      <c r="C447" t="s">
        <v>300</v>
      </c>
      <c r="D447">
        <v>31020</v>
      </c>
      <c r="E447">
        <v>3</v>
      </c>
      <c r="P447" t="s">
        <v>12</v>
      </c>
      <c r="Q447" t="s">
        <v>118</v>
      </c>
      <c r="R447">
        <v>4</v>
      </c>
      <c r="AI447" t="s">
        <v>56</v>
      </c>
      <c r="AJ447">
        <v>31020</v>
      </c>
      <c r="AL447">
        <f>COUNTIF(AI:AI,AK447)</f>
        <v>0</v>
      </c>
      <c r="AM447">
        <f>SUMIF(AI:AI,AK447,AJ:AJ)</f>
        <v>0</v>
      </c>
      <c r="AP447" t="s">
        <v>17</v>
      </c>
      <c r="AQ447" t="s">
        <v>67</v>
      </c>
      <c r="BP447" t="s">
        <v>27</v>
      </c>
      <c r="BQ447" t="s">
        <v>248</v>
      </c>
      <c r="BR447">
        <f t="shared" si="76"/>
        <v>12</v>
      </c>
      <c r="BS447">
        <f t="shared" si="70"/>
        <v>2023</v>
      </c>
      <c r="BT447">
        <v>3</v>
      </c>
      <c r="BU447" t="str">
        <f t="shared" si="71"/>
        <v>2023-12</v>
      </c>
      <c r="BV447">
        <f t="shared" si="72"/>
        <v>0</v>
      </c>
      <c r="BX447" t="s">
        <v>17</v>
      </c>
      <c r="BY447" t="s">
        <v>300</v>
      </c>
      <c r="BZ447">
        <v>31020</v>
      </c>
      <c r="CA447">
        <f t="shared" si="73"/>
        <v>2</v>
      </c>
      <c r="CB447">
        <f t="shared" si="74"/>
        <v>2024</v>
      </c>
      <c r="CC447" t="str">
        <f t="shared" si="75"/>
        <v>2024-2</v>
      </c>
    </row>
    <row r="448" spans="1:81" x14ac:dyDescent="0.25">
      <c r="A448" t="s">
        <v>32</v>
      </c>
      <c r="B448" t="s">
        <v>215</v>
      </c>
      <c r="C448" t="s">
        <v>301</v>
      </c>
      <c r="D448">
        <v>51068</v>
      </c>
      <c r="E448">
        <v>6</v>
      </c>
      <c r="P448" t="s">
        <v>27</v>
      </c>
      <c r="Q448" t="s">
        <v>303</v>
      </c>
      <c r="R448">
        <v>6</v>
      </c>
      <c r="AI448" t="s">
        <v>215</v>
      </c>
      <c r="AJ448">
        <v>51068</v>
      </c>
      <c r="AL448">
        <f>COUNTIF(AI:AI,AK448)</f>
        <v>0</v>
      </c>
      <c r="AM448">
        <f>SUMIF(AI:AI,AK448,AJ:AJ)</f>
        <v>0</v>
      </c>
      <c r="AP448" t="s">
        <v>33</v>
      </c>
      <c r="AQ448" t="s">
        <v>236</v>
      </c>
      <c r="BP448" t="s">
        <v>27</v>
      </c>
      <c r="BQ448" t="s">
        <v>257</v>
      </c>
      <c r="BR448">
        <f t="shared" si="76"/>
        <v>1</v>
      </c>
      <c r="BS448">
        <f t="shared" si="70"/>
        <v>2024</v>
      </c>
      <c r="BT448">
        <v>6</v>
      </c>
      <c r="BU448" t="str">
        <f t="shared" si="71"/>
        <v>2024-1</v>
      </c>
      <c r="BV448">
        <f t="shared" si="72"/>
        <v>0</v>
      </c>
      <c r="BX448" t="s">
        <v>32</v>
      </c>
      <c r="BY448" t="s">
        <v>301</v>
      </c>
      <c r="BZ448">
        <v>51068</v>
      </c>
      <c r="CA448">
        <f t="shared" si="73"/>
        <v>2</v>
      </c>
      <c r="CB448">
        <f t="shared" si="74"/>
        <v>2024</v>
      </c>
      <c r="CC448" t="str">
        <f t="shared" si="75"/>
        <v>2024-2</v>
      </c>
    </row>
    <row r="449" spans="1:81" x14ac:dyDescent="0.25">
      <c r="A449" t="s">
        <v>27</v>
      </c>
      <c r="B449" t="s">
        <v>34</v>
      </c>
      <c r="C449" t="s">
        <v>301</v>
      </c>
      <c r="D449">
        <v>38983</v>
      </c>
      <c r="E449">
        <v>7</v>
      </c>
      <c r="P449" t="s">
        <v>17</v>
      </c>
      <c r="Q449" t="s">
        <v>97</v>
      </c>
      <c r="R449">
        <v>6</v>
      </c>
      <c r="AI449" t="s">
        <v>34</v>
      </c>
      <c r="AJ449">
        <v>38983</v>
      </c>
      <c r="AL449">
        <f>COUNTIF(AI:AI,AK449)</f>
        <v>0</v>
      </c>
      <c r="AM449">
        <f>SUMIF(AI:AI,AK449,AJ:AJ)</f>
        <v>0</v>
      </c>
      <c r="AP449" t="s">
        <v>10</v>
      </c>
      <c r="AQ449" t="s">
        <v>283</v>
      </c>
      <c r="BP449" t="s">
        <v>27</v>
      </c>
      <c r="BQ449" t="s">
        <v>258</v>
      </c>
      <c r="BR449">
        <f t="shared" si="76"/>
        <v>1</v>
      </c>
      <c r="BS449">
        <f t="shared" si="70"/>
        <v>2024</v>
      </c>
      <c r="BT449">
        <v>7</v>
      </c>
      <c r="BU449" t="str">
        <f t="shared" si="71"/>
        <v>2024-1</v>
      </c>
      <c r="BV449">
        <f t="shared" si="72"/>
        <v>1</v>
      </c>
      <c r="BX449" t="s">
        <v>27</v>
      </c>
      <c r="BY449" t="s">
        <v>301</v>
      </c>
      <c r="BZ449">
        <v>38983</v>
      </c>
      <c r="CA449">
        <f t="shared" si="73"/>
        <v>2</v>
      </c>
      <c r="CB449">
        <f t="shared" si="74"/>
        <v>2024</v>
      </c>
      <c r="CC449" t="str">
        <f t="shared" si="75"/>
        <v>2024-2</v>
      </c>
    </row>
    <row r="450" spans="1:81" x14ac:dyDescent="0.25">
      <c r="A450" t="s">
        <v>14</v>
      </c>
      <c r="B450" t="s">
        <v>190</v>
      </c>
      <c r="C450" t="s">
        <v>301</v>
      </c>
      <c r="D450">
        <v>24162</v>
      </c>
      <c r="E450">
        <v>6</v>
      </c>
      <c r="P450" t="s">
        <v>36</v>
      </c>
      <c r="Q450" t="s">
        <v>202</v>
      </c>
      <c r="R450">
        <v>8</v>
      </c>
      <c r="AI450" t="s">
        <v>190</v>
      </c>
      <c r="AJ450">
        <v>24162</v>
      </c>
      <c r="AL450">
        <f>COUNTIF(AI:AI,AK450)</f>
        <v>0</v>
      </c>
      <c r="AM450">
        <f>SUMIF(AI:AI,AK450,AJ:AJ)</f>
        <v>0</v>
      </c>
      <c r="AP450" t="s">
        <v>17</v>
      </c>
      <c r="AQ450" t="s">
        <v>256</v>
      </c>
      <c r="BP450" t="s">
        <v>27</v>
      </c>
      <c r="BQ450" t="s">
        <v>260</v>
      </c>
      <c r="BR450">
        <f t="shared" si="76"/>
        <v>1</v>
      </c>
      <c r="BS450">
        <f t="shared" si="70"/>
        <v>2024</v>
      </c>
      <c r="BT450">
        <v>6</v>
      </c>
      <c r="BU450" t="str">
        <f t="shared" si="71"/>
        <v>2024-1</v>
      </c>
      <c r="BV450">
        <f t="shared" si="72"/>
        <v>0</v>
      </c>
      <c r="BX450" t="s">
        <v>14</v>
      </c>
      <c r="BY450" t="s">
        <v>301</v>
      </c>
      <c r="BZ450">
        <v>24162</v>
      </c>
      <c r="CA450">
        <f t="shared" si="73"/>
        <v>2</v>
      </c>
      <c r="CB450">
        <f t="shared" si="74"/>
        <v>2024</v>
      </c>
      <c r="CC450" t="str">
        <f t="shared" si="75"/>
        <v>2024-2</v>
      </c>
    </row>
    <row r="451" spans="1:81" x14ac:dyDescent="0.25">
      <c r="A451" t="s">
        <v>33</v>
      </c>
      <c r="B451" t="s">
        <v>101</v>
      </c>
      <c r="C451" t="s">
        <v>302</v>
      </c>
      <c r="D451">
        <v>21249</v>
      </c>
      <c r="E451">
        <v>6</v>
      </c>
      <c r="P451" t="s">
        <v>20</v>
      </c>
      <c r="Q451" t="s">
        <v>79</v>
      </c>
      <c r="R451">
        <v>2</v>
      </c>
      <c r="AI451" t="s">
        <v>101</v>
      </c>
      <c r="AJ451">
        <v>21249</v>
      </c>
      <c r="AL451">
        <f>COUNTIF(AI:AI,AK451)</f>
        <v>0</v>
      </c>
      <c r="AM451">
        <f>SUMIF(AI:AI,AK451,AJ:AJ)</f>
        <v>0</v>
      </c>
      <c r="AP451" t="s">
        <v>8</v>
      </c>
      <c r="AQ451" t="s">
        <v>274</v>
      </c>
      <c r="BP451" t="s">
        <v>27</v>
      </c>
      <c r="BQ451" t="s">
        <v>265</v>
      </c>
      <c r="BR451">
        <f t="shared" si="76"/>
        <v>1</v>
      </c>
      <c r="BS451">
        <f t="shared" ref="BS451:BS514" si="77">YEAR(BQ451)</f>
        <v>2024</v>
      </c>
      <c r="BT451">
        <v>6</v>
      </c>
      <c r="BU451" t="str">
        <f t="shared" ref="BU451:BU514" si="78">BS451&amp;"-"&amp;BR451</f>
        <v>2024-1</v>
      </c>
      <c r="BV451">
        <f t="shared" ref="BV451:BV514" si="79">IF(BT451&lt;7,0,IF(BT451&lt;9,1,2))</f>
        <v>0</v>
      </c>
      <c r="BX451" t="s">
        <v>33</v>
      </c>
      <c r="BY451" t="s">
        <v>302</v>
      </c>
      <c r="BZ451">
        <v>21249</v>
      </c>
      <c r="CA451">
        <f t="shared" ref="CA451:CA514" si="80">MONTH(BY451)</f>
        <v>2</v>
      </c>
      <c r="CB451">
        <f t="shared" ref="CB451:CB514" si="81">YEAR(BY451)</f>
        <v>2024</v>
      </c>
      <c r="CC451" t="str">
        <f t="shared" ref="CC451:CC514" si="82">CB451&amp;"-"&amp;CA451</f>
        <v>2024-2</v>
      </c>
    </row>
    <row r="452" spans="1:81" x14ac:dyDescent="0.25">
      <c r="A452" t="s">
        <v>12</v>
      </c>
      <c r="B452" t="s">
        <v>118</v>
      </c>
      <c r="C452" t="s">
        <v>302</v>
      </c>
      <c r="D452">
        <v>82916</v>
      </c>
      <c r="E452">
        <v>4</v>
      </c>
      <c r="P452" t="s">
        <v>5</v>
      </c>
      <c r="Q452" t="s">
        <v>85</v>
      </c>
      <c r="R452">
        <v>10</v>
      </c>
      <c r="AI452" t="s">
        <v>118</v>
      </c>
      <c r="AJ452">
        <v>82916</v>
      </c>
      <c r="AL452">
        <f>COUNTIF(AI:AI,AK452)</f>
        <v>0</v>
      </c>
      <c r="AM452">
        <f>SUMIF(AI:AI,AK452,AJ:AJ)</f>
        <v>0</v>
      </c>
      <c r="AP452" t="s">
        <v>14</v>
      </c>
      <c r="AQ452" t="s">
        <v>290</v>
      </c>
      <c r="BP452" t="s">
        <v>27</v>
      </c>
      <c r="BQ452" t="s">
        <v>272</v>
      </c>
      <c r="BR452">
        <f t="shared" si="76"/>
        <v>1</v>
      </c>
      <c r="BS452">
        <f t="shared" si="77"/>
        <v>2024</v>
      </c>
      <c r="BT452">
        <v>4</v>
      </c>
      <c r="BU452" t="str">
        <f t="shared" si="78"/>
        <v>2024-1</v>
      </c>
      <c r="BV452">
        <f t="shared" si="79"/>
        <v>0</v>
      </c>
      <c r="BX452" t="s">
        <v>12</v>
      </c>
      <c r="BY452" t="s">
        <v>302</v>
      </c>
      <c r="BZ452">
        <v>82916</v>
      </c>
      <c r="CA452">
        <f t="shared" si="80"/>
        <v>2</v>
      </c>
      <c r="CB452">
        <f t="shared" si="81"/>
        <v>2024</v>
      </c>
      <c r="CC452" t="str">
        <f t="shared" si="82"/>
        <v>2024-2</v>
      </c>
    </row>
    <row r="453" spans="1:81" x14ac:dyDescent="0.25">
      <c r="A453" t="s">
        <v>27</v>
      </c>
      <c r="B453" t="s">
        <v>303</v>
      </c>
      <c r="C453" t="s">
        <v>302</v>
      </c>
      <c r="D453">
        <v>81393</v>
      </c>
      <c r="E453">
        <v>6</v>
      </c>
      <c r="P453" t="s">
        <v>5</v>
      </c>
      <c r="Q453" t="s">
        <v>76</v>
      </c>
      <c r="R453">
        <v>8</v>
      </c>
      <c r="AI453" t="s">
        <v>303</v>
      </c>
      <c r="AJ453">
        <v>81393</v>
      </c>
      <c r="AL453">
        <f>COUNTIF(AI:AI,AK453)</f>
        <v>0</v>
      </c>
      <c r="AM453">
        <f>SUMIF(AI:AI,AK453,AJ:AJ)</f>
        <v>0</v>
      </c>
      <c r="AP453" t="s">
        <v>5</v>
      </c>
      <c r="AQ453" t="s">
        <v>316</v>
      </c>
      <c r="BP453" t="s">
        <v>27</v>
      </c>
      <c r="BQ453" t="s">
        <v>272</v>
      </c>
      <c r="BR453">
        <f t="shared" si="76"/>
        <v>1</v>
      </c>
      <c r="BS453">
        <f t="shared" si="77"/>
        <v>2024</v>
      </c>
      <c r="BT453">
        <v>6</v>
      </c>
      <c r="BU453" t="str">
        <f t="shared" si="78"/>
        <v>2024-1</v>
      </c>
      <c r="BV453">
        <f t="shared" si="79"/>
        <v>0</v>
      </c>
      <c r="BX453" t="s">
        <v>27</v>
      </c>
      <c r="BY453" t="s">
        <v>302</v>
      </c>
      <c r="BZ453">
        <v>81393</v>
      </c>
      <c r="CA453">
        <f t="shared" si="80"/>
        <v>2</v>
      </c>
      <c r="CB453">
        <f t="shared" si="81"/>
        <v>2024</v>
      </c>
      <c r="CC453" t="str">
        <f t="shared" si="82"/>
        <v>2024-2</v>
      </c>
    </row>
    <row r="454" spans="1:81" x14ac:dyDescent="0.25">
      <c r="A454" t="s">
        <v>17</v>
      </c>
      <c r="B454" t="s">
        <v>97</v>
      </c>
      <c r="C454" t="s">
        <v>302</v>
      </c>
      <c r="D454">
        <v>38875</v>
      </c>
      <c r="E454">
        <v>6</v>
      </c>
      <c r="P454" t="s">
        <v>17</v>
      </c>
      <c r="Q454" t="s">
        <v>35</v>
      </c>
      <c r="R454">
        <v>7</v>
      </c>
      <c r="AI454" t="s">
        <v>97</v>
      </c>
      <c r="AJ454">
        <v>38875</v>
      </c>
      <c r="AL454">
        <f>COUNTIF(AI:AI,AK454)</f>
        <v>0</v>
      </c>
      <c r="AM454">
        <f>SUMIF(AI:AI,AK454,AJ:AJ)</f>
        <v>0</v>
      </c>
      <c r="AP454" t="s">
        <v>32</v>
      </c>
      <c r="AQ454" t="s">
        <v>214</v>
      </c>
      <c r="BP454" t="s">
        <v>27</v>
      </c>
      <c r="BQ454" t="s">
        <v>273</v>
      </c>
      <c r="BR454">
        <f t="shared" si="76"/>
        <v>1</v>
      </c>
      <c r="BS454">
        <f t="shared" si="77"/>
        <v>2024</v>
      </c>
      <c r="BT454">
        <v>6</v>
      </c>
      <c r="BU454" t="str">
        <f t="shared" si="78"/>
        <v>2024-1</v>
      </c>
      <c r="BV454">
        <f t="shared" si="79"/>
        <v>0</v>
      </c>
      <c r="BX454" t="s">
        <v>17</v>
      </c>
      <c r="BY454" t="s">
        <v>302</v>
      </c>
      <c r="BZ454">
        <v>38875</v>
      </c>
      <c r="CA454">
        <f t="shared" si="80"/>
        <v>2</v>
      </c>
      <c r="CB454">
        <f t="shared" si="81"/>
        <v>2024</v>
      </c>
      <c r="CC454" t="str">
        <f t="shared" si="82"/>
        <v>2024-2</v>
      </c>
    </row>
    <row r="455" spans="1:81" x14ac:dyDescent="0.25">
      <c r="A455" t="s">
        <v>36</v>
      </c>
      <c r="B455" t="s">
        <v>202</v>
      </c>
      <c r="C455" t="s">
        <v>302</v>
      </c>
      <c r="D455">
        <v>83897</v>
      </c>
      <c r="E455">
        <v>8</v>
      </c>
      <c r="P455" t="s">
        <v>17</v>
      </c>
      <c r="Q455" t="s">
        <v>55</v>
      </c>
      <c r="R455">
        <v>7</v>
      </c>
      <c r="AI455" t="s">
        <v>202</v>
      </c>
      <c r="AJ455">
        <v>83897</v>
      </c>
      <c r="AL455">
        <f>COUNTIF(AI:AI,AK455)</f>
        <v>0</v>
      </c>
      <c r="AM455">
        <f>SUMIF(AI:AI,AK455,AJ:AJ)</f>
        <v>0</v>
      </c>
      <c r="AP455" t="s">
        <v>5</v>
      </c>
      <c r="AQ455" t="s">
        <v>222</v>
      </c>
      <c r="BP455" t="s">
        <v>27</v>
      </c>
      <c r="BQ455" t="s">
        <v>275</v>
      </c>
      <c r="BR455">
        <f t="shared" si="76"/>
        <v>1</v>
      </c>
      <c r="BS455">
        <f t="shared" si="77"/>
        <v>2024</v>
      </c>
      <c r="BT455">
        <v>8</v>
      </c>
      <c r="BU455" t="str">
        <f t="shared" si="78"/>
        <v>2024-1</v>
      </c>
      <c r="BV455">
        <f t="shared" si="79"/>
        <v>1</v>
      </c>
      <c r="BX455" t="s">
        <v>36</v>
      </c>
      <c r="BY455" t="s">
        <v>302</v>
      </c>
      <c r="BZ455">
        <v>83897</v>
      </c>
      <c r="CA455">
        <f t="shared" si="80"/>
        <v>2</v>
      </c>
      <c r="CB455">
        <f t="shared" si="81"/>
        <v>2024</v>
      </c>
      <c r="CC455" t="str">
        <f t="shared" si="82"/>
        <v>2024-2</v>
      </c>
    </row>
    <row r="456" spans="1:81" x14ac:dyDescent="0.25">
      <c r="A456" t="s">
        <v>20</v>
      </c>
      <c r="B456" t="s">
        <v>79</v>
      </c>
      <c r="C456" t="s">
        <v>302</v>
      </c>
      <c r="D456">
        <v>46369</v>
      </c>
      <c r="E456">
        <v>2</v>
      </c>
      <c r="P456" t="s">
        <v>10</v>
      </c>
      <c r="Q456" t="s">
        <v>155</v>
      </c>
      <c r="R456">
        <v>9</v>
      </c>
      <c r="AI456" t="s">
        <v>79</v>
      </c>
      <c r="AJ456">
        <v>46369</v>
      </c>
      <c r="AL456">
        <f>COUNTIF(AI:AI,AK456)</f>
        <v>0</v>
      </c>
      <c r="AM456">
        <f>SUMIF(AI:AI,AK456,AJ:AJ)</f>
        <v>0</v>
      </c>
      <c r="AP456" t="s">
        <v>33</v>
      </c>
      <c r="AQ456" t="s">
        <v>276</v>
      </c>
      <c r="BP456" t="s">
        <v>27</v>
      </c>
      <c r="BQ456" t="s">
        <v>282</v>
      </c>
      <c r="BR456">
        <f t="shared" si="76"/>
        <v>1</v>
      </c>
      <c r="BS456">
        <f t="shared" si="77"/>
        <v>2024</v>
      </c>
      <c r="BT456">
        <v>2</v>
      </c>
      <c r="BU456" t="str">
        <f t="shared" si="78"/>
        <v>2024-1</v>
      </c>
      <c r="BV456">
        <f t="shared" si="79"/>
        <v>0</v>
      </c>
      <c r="BX456" t="s">
        <v>20</v>
      </c>
      <c r="BY456" t="s">
        <v>302</v>
      </c>
      <c r="BZ456">
        <v>46369</v>
      </c>
      <c r="CA456">
        <f t="shared" si="80"/>
        <v>2</v>
      </c>
      <c r="CB456">
        <f t="shared" si="81"/>
        <v>2024</v>
      </c>
      <c r="CC456" t="str">
        <f t="shared" si="82"/>
        <v>2024-2</v>
      </c>
    </row>
    <row r="457" spans="1:81" x14ac:dyDescent="0.25">
      <c r="A457" t="s">
        <v>5</v>
      </c>
      <c r="B457" t="s">
        <v>85</v>
      </c>
      <c r="C457" t="s">
        <v>304</v>
      </c>
      <c r="D457">
        <v>87934</v>
      </c>
      <c r="E457">
        <v>10</v>
      </c>
      <c r="P457" t="s">
        <v>5</v>
      </c>
      <c r="Q457" t="s">
        <v>199</v>
      </c>
      <c r="R457">
        <v>6</v>
      </c>
      <c r="AI457" t="s">
        <v>85</v>
      </c>
      <c r="AJ457">
        <v>87934</v>
      </c>
      <c r="AL457">
        <f>COUNTIF(AI:AI,AK457)</f>
        <v>0</v>
      </c>
      <c r="AM457">
        <f>SUMIF(AI:AI,AK457,AJ:AJ)</f>
        <v>0</v>
      </c>
      <c r="AP457" t="s">
        <v>5</v>
      </c>
      <c r="AQ457" t="s">
        <v>150</v>
      </c>
      <c r="BP457" t="s">
        <v>27</v>
      </c>
      <c r="BQ457" t="s">
        <v>292</v>
      </c>
      <c r="BR457">
        <f t="shared" si="76"/>
        <v>2</v>
      </c>
      <c r="BS457">
        <f t="shared" si="77"/>
        <v>2024</v>
      </c>
      <c r="BT457">
        <v>10</v>
      </c>
      <c r="BU457" t="str">
        <f t="shared" si="78"/>
        <v>2024-2</v>
      </c>
      <c r="BV457">
        <f t="shared" si="79"/>
        <v>2</v>
      </c>
      <c r="BX457" t="s">
        <v>5</v>
      </c>
      <c r="BY457" t="s">
        <v>304</v>
      </c>
      <c r="BZ457">
        <v>87934</v>
      </c>
      <c r="CA457">
        <f t="shared" si="80"/>
        <v>2</v>
      </c>
      <c r="CB457">
        <f t="shared" si="81"/>
        <v>2024</v>
      </c>
      <c r="CC457" t="str">
        <f t="shared" si="82"/>
        <v>2024-2</v>
      </c>
    </row>
    <row r="458" spans="1:81" x14ac:dyDescent="0.25">
      <c r="A458" t="s">
        <v>5</v>
      </c>
      <c r="B458" t="s">
        <v>76</v>
      </c>
      <c r="C458" t="s">
        <v>304</v>
      </c>
      <c r="D458">
        <v>54046</v>
      </c>
      <c r="E458">
        <v>8</v>
      </c>
      <c r="P458" t="s">
        <v>33</v>
      </c>
      <c r="Q458" t="s">
        <v>131</v>
      </c>
      <c r="R458">
        <v>4</v>
      </c>
      <c r="AI458" t="s">
        <v>76</v>
      </c>
      <c r="AJ458">
        <v>54046</v>
      </c>
      <c r="AL458">
        <f>COUNTIF(AI:AI,AK458)</f>
        <v>0</v>
      </c>
      <c r="AM458">
        <f>SUMIF(AI:AI,AK458,AJ:AJ)</f>
        <v>0</v>
      </c>
      <c r="AP458" t="s">
        <v>17</v>
      </c>
      <c r="AQ458" t="s">
        <v>319</v>
      </c>
      <c r="BP458" t="s">
        <v>27</v>
      </c>
      <c r="BQ458" t="s">
        <v>293</v>
      </c>
      <c r="BR458">
        <f t="shared" si="76"/>
        <v>2</v>
      </c>
      <c r="BS458">
        <f t="shared" si="77"/>
        <v>2024</v>
      </c>
      <c r="BT458">
        <v>8</v>
      </c>
      <c r="BU458" t="str">
        <f t="shared" si="78"/>
        <v>2024-2</v>
      </c>
      <c r="BV458">
        <f t="shared" si="79"/>
        <v>1</v>
      </c>
      <c r="BX458" t="s">
        <v>5</v>
      </c>
      <c r="BY458" t="s">
        <v>304</v>
      </c>
      <c r="BZ458">
        <v>54046</v>
      </c>
      <c r="CA458">
        <f t="shared" si="80"/>
        <v>2</v>
      </c>
      <c r="CB458">
        <f t="shared" si="81"/>
        <v>2024</v>
      </c>
      <c r="CC458" t="str">
        <f t="shared" si="82"/>
        <v>2024-2</v>
      </c>
    </row>
    <row r="459" spans="1:81" x14ac:dyDescent="0.25">
      <c r="A459" t="s">
        <v>17</v>
      </c>
      <c r="B459" t="s">
        <v>35</v>
      </c>
      <c r="C459" t="s">
        <v>304</v>
      </c>
      <c r="D459">
        <v>83530</v>
      </c>
      <c r="E459">
        <v>7</v>
      </c>
      <c r="P459" t="s">
        <v>8</v>
      </c>
      <c r="Q459" t="s">
        <v>307</v>
      </c>
      <c r="R459">
        <v>9</v>
      </c>
      <c r="AI459" t="s">
        <v>35</v>
      </c>
      <c r="AJ459">
        <v>83530</v>
      </c>
      <c r="AL459">
        <f>COUNTIF(AI:AI,AK459)</f>
        <v>0</v>
      </c>
      <c r="AM459">
        <f>SUMIF(AI:AI,AK459,AJ:AJ)</f>
        <v>0</v>
      </c>
      <c r="AP459" t="s">
        <v>23</v>
      </c>
      <c r="AQ459" t="s">
        <v>91</v>
      </c>
      <c r="BP459" t="s">
        <v>27</v>
      </c>
      <c r="BQ459" t="s">
        <v>301</v>
      </c>
      <c r="BR459">
        <f t="shared" si="76"/>
        <v>2</v>
      </c>
      <c r="BS459">
        <f t="shared" si="77"/>
        <v>2024</v>
      </c>
      <c r="BT459">
        <v>7</v>
      </c>
      <c r="BU459" t="str">
        <f t="shared" si="78"/>
        <v>2024-2</v>
      </c>
      <c r="BV459">
        <f t="shared" si="79"/>
        <v>1</v>
      </c>
      <c r="BX459" t="s">
        <v>17</v>
      </c>
      <c r="BY459" t="s">
        <v>304</v>
      </c>
      <c r="BZ459">
        <v>83530</v>
      </c>
      <c r="CA459">
        <f t="shared" si="80"/>
        <v>2</v>
      </c>
      <c r="CB459">
        <f t="shared" si="81"/>
        <v>2024</v>
      </c>
      <c r="CC459" t="str">
        <f t="shared" si="82"/>
        <v>2024-2</v>
      </c>
    </row>
    <row r="460" spans="1:81" x14ac:dyDescent="0.25">
      <c r="A460" t="s">
        <v>17</v>
      </c>
      <c r="B460" t="s">
        <v>55</v>
      </c>
      <c r="C460" t="s">
        <v>305</v>
      </c>
      <c r="D460">
        <v>21382</v>
      </c>
      <c r="E460">
        <v>7</v>
      </c>
      <c r="P460" t="s">
        <v>17</v>
      </c>
      <c r="Q460" t="s">
        <v>308</v>
      </c>
      <c r="R460">
        <v>8</v>
      </c>
      <c r="AI460" t="s">
        <v>55</v>
      </c>
      <c r="AJ460">
        <v>21382</v>
      </c>
      <c r="AL460">
        <f>COUNTIF(AI:AI,AK460)</f>
        <v>0</v>
      </c>
      <c r="AM460">
        <f>SUMIF(AI:AI,AK460,AJ:AJ)</f>
        <v>0</v>
      </c>
      <c r="AP460" t="s">
        <v>10</v>
      </c>
      <c r="AQ460" t="s">
        <v>303</v>
      </c>
      <c r="BP460" t="s">
        <v>27</v>
      </c>
      <c r="BQ460" t="s">
        <v>302</v>
      </c>
      <c r="BR460">
        <f t="shared" si="76"/>
        <v>2</v>
      </c>
      <c r="BS460">
        <f t="shared" si="77"/>
        <v>2024</v>
      </c>
      <c r="BT460">
        <v>7</v>
      </c>
      <c r="BU460" t="str">
        <f t="shared" si="78"/>
        <v>2024-2</v>
      </c>
      <c r="BV460">
        <f t="shared" si="79"/>
        <v>1</v>
      </c>
      <c r="BX460" t="s">
        <v>17</v>
      </c>
      <c r="BY460" t="s">
        <v>305</v>
      </c>
      <c r="BZ460">
        <v>21382</v>
      </c>
      <c r="CA460">
        <f t="shared" si="80"/>
        <v>2</v>
      </c>
      <c r="CB460">
        <f t="shared" si="81"/>
        <v>2024</v>
      </c>
      <c r="CC460" t="str">
        <f t="shared" si="82"/>
        <v>2024-2</v>
      </c>
    </row>
    <row r="461" spans="1:81" x14ac:dyDescent="0.25">
      <c r="A461" t="s">
        <v>10</v>
      </c>
      <c r="B461" t="s">
        <v>155</v>
      </c>
      <c r="C461" t="s">
        <v>305</v>
      </c>
      <c r="D461">
        <v>21362</v>
      </c>
      <c r="E461">
        <v>9</v>
      </c>
      <c r="P461" t="s">
        <v>23</v>
      </c>
      <c r="Q461" t="s">
        <v>26</v>
      </c>
      <c r="R461">
        <v>6</v>
      </c>
      <c r="AI461" t="s">
        <v>155</v>
      </c>
      <c r="AJ461">
        <v>21362</v>
      </c>
      <c r="AL461">
        <f>COUNTIF(AI:AI,AK461)</f>
        <v>0</v>
      </c>
      <c r="AM461">
        <f>SUMIF(AI:AI,AK461,AJ:AJ)</f>
        <v>0</v>
      </c>
      <c r="AP461" t="s">
        <v>23</v>
      </c>
      <c r="AQ461" t="s">
        <v>196</v>
      </c>
      <c r="BP461" t="s">
        <v>27</v>
      </c>
      <c r="BQ461" t="s">
        <v>309</v>
      </c>
      <c r="BR461">
        <f t="shared" si="76"/>
        <v>2</v>
      </c>
      <c r="BS461">
        <f t="shared" si="77"/>
        <v>2024</v>
      </c>
      <c r="BT461">
        <v>9</v>
      </c>
      <c r="BU461" t="str">
        <f t="shared" si="78"/>
        <v>2024-2</v>
      </c>
      <c r="BV461">
        <f t="shared" si="79"/>
        <v>2</v>
      </c>
      <c r="BX461" t="s">
        <v>10</v>
      </c>
      <c r="BY461" t="s">
        <v>305</v>
      </c>
      <c r="BZ461">
        <v>21362</v>
      </c>
      <c r="CA461">
        <f t="shared" si="80"/>
        <v>2</v>
      </c>
      <c r="CB461">
        <f t="shared" si="81"/>
        <v>2024</v>
      </c>
      <c r="CC461" t="str">
        <f t="shared" si="82"/>
        <v>2024-2</v>
      </c>
    </row>
    <row r="462" spans="1:81" x14ac:dyDescent="0.25">
      <c r="A462" t="s">
        <v>5</v>
      </c>
      <c r="B462" t="s">
        <v>199</v>
      </c>
      <c r="C462" t="s">
        <v>306</v>
      </c>
      <c r="D462">
        <v>17785</v>
      </c>
      <c r="E462">
        <v>6</v>
      </c>
      <c r="P462" t="s">
        <v>27</v>
      </c>
      <c r="Q462" t="s">
        <v>229</v>
      </c>
      <c r="R462">
        <v>8</v>
      </c>
      <c r="AI462" t="s">
        <v>199</v>
      </c>
      <c r="AJ462">
        <v>17785</v>
      </c>
      <c r="AL462">
        <f>COUNTIF(AI:AI,AK462)</f>
        <v>0</v>
      </c>
      <c r="AM462">
        <f>SUMIF(AI:AI,AK462,AJ:AJ)</f>
        <v>0</v>
      </c>
      <c r="AP462" t="s">
        <v>23</v>
      </c>
      <c r="AQ462" t="s">
        <v>197</v>
      </c>
      <c r="BP462" t="s">
        <v>27</v>
      </c>
      <c r="BQ462" t="s">
        <v>328</v>
      </c>
      <c r="BR462">
        <f t="shared" si="76"/>
        <v>3</v>
      </c>
      <c r="BS462">
        <f t="shared" si="77"/>
        <v>2024</v>
      </c>
      <c r="BT462">
        <v>6</v>
      </c>
      <c r="BU462" t="str">
        <f t="shared" si="78"/>
        <v>2024-3</v>
      </c>
      <c r="BV462">
        <f t="shared" si="79"/>
        <v>0</v>
      </c>
      <c r="BX462" t="s">
        <v>5</v>
      </c>
      <c r="BY462" t="s">
        <v>306</v>
      </c>
      <c r="BZ462">
        <v>17785</v>
      </c>
      <c r="CA462">
        <f t="shared" si="80"/>
        <v>2</v>
      </c>
      <c r="CB462">
        <f t="shared" si="81"/>
        <v>2024</v>
      </c>
      <c r="CC462" t="str">
        <f t="shared" si="82"/>
        <v>2024-2</v>
      </c>
    </row>
    <row r="463" spans="1:81" x14ac:dyDescent="0.25">
      <c r="A463" t="s">
        <v>33</v>
      </c>
      <c r="B463" t="s">
        <v>131</v>
      </c>
      <c r="C463" t="s">
        <v>306</v>
      </c>
      <c r="D463">
        <v>17012</v>
      </c>
      <c r="E463">
        <v>4</v>
      </c>
      <c r="P463" t="s">
        <v>14</v>
      </c>
      <c r="Q463" t="s">
        <v>53</v>
      </c>
      <c r="R463">
        <v>6</v>
      </c>
      <c r="AI463" t="s">
        <v>131</v>
      </c>
      <c r="AJ463">
        <v>17012</v>
      </c>
      <c r="AL463">
        <f>COUNTIF(AI:AI,AK463)</f>
        <v>0</v>
      </c>
      <c r="AM463">
        <f>SUMIF(AI:AI,AK463,AJ:AJ)</f>
        <v>0</v>
      </c>
      <c r="AP463" t="s">
        <v>20</v>
      </c>
      <c r="AQ463" t="s">
        <v>19</v>
      </c>
      <c r="BP463" t="s">
        <v>27</v>
      </c>
      <c r="BQ463" t="s">
        <v>330</v>
      </c>
      <c r="BR463">
        <f t="shared" si="76"/>
        <v>3</v>
      </c>
      <c r="BS463">
        <f t="shared" si="77"/>
        <v>2024</v>
      </c>
      <c r="BT463">
        <v>4</v>
      </c>
      <c r="BU463" t="str">
        <f t="shared" si="78"/>
        <v>2024-3</v>
      </c>
      <c r="BV463">
        <f t="shared" si="79"/>
        <v>0</v>
      </c>
      <c r="BX463" t="s">
        <v>33</v>
      </c>
      <c r="BY463" t="s">
        <v>306</v>
      </c>
      <c r="BZ463">
        <v>17012</v>
      </c>
      <c r="CA463">
        <f t="shared" si="80"/>
        <v>2</v>
      </c>
      <c r="CB463">
        <f t="shared" si="81"/>
        <v>2024</v>
      </c>
      <c r="CC463" t="str">
        <f t="shared" si="82"/>
        <v>2024-2</v>
      </c>
    </row>
    <row r="464" spans="1:81" x14ac:dyDescent="0.25">
      <c r="A464" t="s">
        <v>8</v>
      </c>
      <c r="B464" t="s">
        <v>307</v>
      </c>
      <c r="C464" t="s">
        <v>306</v>
      </c>
      <c r="D464">
        <v>57668</v>
      </c>
      <c r="E464">
        <v>9</v>
      </c>
      <c r="P464" t="s">
        <v>12</v>
      </c>
      <c r="Q464" t="s">
        <v>231</v>
      </c>
      <c r="R464">
        <v>1</v>
      </c>
      <c r="AI464" t="s">
        <v>307</v>
      </c>
      <c r="AJ464">
        <v>57668</v>
      </c>
      <c r="AL464">
        <f>COUNTIF(AI:AI,AK464)</f>
        <v>0</v>
      </c>
      <c r="AM464">
        <f>SUMIF(AI:AI,AK464,AJ:AJ)</f>
        <v>0</v>
      </c>
      <c r="AP464" t="s">
        <v>5</v>
      </c>
      <c r="AQ464" t="s">
        <v>147</v>
      </c>
      <c r="BP464" t="s">
        <v>27</v>
      </c>
      <c r="BQ464" t="s">
        <v>333</v>
      </c>
      <c r="BR464">
        <f t="shared" si="76"/>
        <v>3</v>
      </c>
      <c r="BS464">
        <f t="shared" si="77"/>
        <v>2024</v>
      </c>
      <c r="BT464">
        <v>9</v>
      </c>
      <c r="BU464" t="str">
        <f t="shared" si="78"/>
        <v>2024-3</v>
      </c>
      <c r="BV464">
        <f t="shared" si="79"/>
        <v>2</v>
      </c>
      <c r="BX464" t="s">
        <v>8</v>
      </c>
      <c r="BY464" t="s">
        <v>306</v>
      </c>
      <c r="BZ464">
        <v>57668</v>
      </c>
      <c r="CA464">
        <f t="shared" si="80"/>
        <v>2</v>
      </c>
      <c r="CB464">
        <f t="shared" si="81"/>
        <v>2024</v>
      </c>
      <c r="CC464" t="str">
        <f t="shared" si="82"/>
        <v>2024-2</v>
      </c>
    </row>
    <row r="465" spans="1:81" x14ac:dyDescent="0.25">
      <c r="A465" t="s">
        <v>17</v>
      </c>
      <c r="B465" t="s">
        <v>308</v>
      </c>
      <c r="C465" t="s">
        <v>309</v>
      </c>
      <c r="D465">
        <v>77177</v>
      </c>
      <c r="E465">
        <v>8</v>
      </c>
      <c r="P465" t="s">
        <v>32</v>
      </c>
      <c r="Q465" t="s">
        <v>6</v>
      </c>
      <c r="R465">
        <v>2</v>
      </c>
      <c r="AI465" t="s">
        <v>308</v>
      </c>
      <c r="AJ465">
        <v>77177</v>
      </c>
      <c r="AL465">
        <f>COUNTIF(AI:AI,AK465)</f>
        <v>0</v>
      </c>
      <c r="AM465">
        <f>SUMIF(AI:AI,AK465,AJ:AJ)</f>
        <v>0</v>
      </c>
      <c r="AP465" t="s">
        <v>8</v>
      </c>
      <c r="AQ465" t="s">
        <v>269</v>
      </c>
      <c r="BP465" t="s">
        <v>27</v>
      </c>
      <c r="BQ465" t="s">
        <v>335</v>
      </c>
      <c r="BR465">
        <f t="shared" si="76"/>
        <v>3</v>
      </c>
      <c r="BS465">
        <f t="shared" si="77"/>
        <v>2024</v>
      </c>
      <c r="BT465">
        <v>8</v>
      </c>
      <c r="BU465" t="str">
        <f t="shared" si="78"/>
        <v>2024-3</v>
      </c>
      <c r="BV465">
        <f t="shared" si="79"/>
        <v>1</v>
      </c>
      <c r="BX465" t="s">
        <v>17</v>
      </c>
      <c r="BY465" t="s">
        <v>309</v>
      </c>
      <c r="BZ465">
        <v>77177</v>
      </c>
      <c r="CA465">
        <f t="shared" si="80"/>
        <v>2</v>
      </c>
      <c r="CB465">
        <f t="shared" si="81"/>
        <v>2024</v>
      </c>
      <c r="CC465" t="str">
        <f t="shared" si="82"/>
        <v>2024-2</v>
      </c>
    </row>
    <row r="466" spans="1:81" x14ac:dyDescent="0.25">
      <c r="A466" t="s">
        <v>23</v>
      </c>
      <c r="B466" t="s">
        <v>26</v>
      </c>
      <c r="C466" t="s">
        <v>309</v>
      </c>
      <c r="D466">
        <v>82646</v>
      </c>
      <c r="E466">
        <v>6</v>
      </c>
      <c r="P466" t="s">
        <v>8</v>
      </c>
      <c r="Q466" t="s">
        <v>124</v>
      </c>
      <c r="R466">
        <v>7</v>
      </c>
      <c r="AI466" t="s">
        <v>26</v>
      </c>
      <c r="AJ466">
        <v>82646</v>
      </c>
      <c r="AL466">
        <f>COUNTIF(AI:AI,AK466)</f>
        <v>0</v>
      </c>
      <c r="AM466">
        <f>SUMIF(AI:AI,AK466,AJ:AJ)</f>
        <v>0</v>
      </c>
      <c r="AP466" t="s">
        <v>20</v>
      </c>
      <c r="AQ466" t="s">
        <v>254</v>
      </c>
      <c r="BP466" t="s">
        <v>27</v>
      </c>
      <c r="BQ466" t="s">
        <v>339</v>
      </c>
      <c r="BR466">
        <f t="shared" si="76"/>
        <v>3</v>
      </c>
      <c r="BS466">
        <f t="shared" si="77"/>
        <v>2024</v>
      </c>
      <c r="BT466">
        <v>6</v>
      </c>
      <c r="BU466" t="str">
        <f t="shared" si="78"/>
        <v>2024-3</v>
      </c>
      <c r="BV466">
        <f t="shared" si="79"/>
        <v>0</v>
      </c>
      <c r="BX466" t="s">
        <v>23</v>
      </c>
      <c r="BY466" t="s">
        <v>309</v>
      </c>
      <c r="BZ466">
        <v>82646</v>
      </c>
      <c r="CA466">
        <f t="shared" si="80"/>
        <v>2</v>
      </c>
      <c r="CB466">
        <f t="shared" si="81"/>
        <v>2024</v>
      </c>
      <c r="CC466" t="str">
        <f t="shared" si="82"/>
        <v>2024-2</v>
      </c>
    </row>
    <row r="467" spans="1:81" x14ac:dyDescent="0.25">
      <c r="A467" t="s">
        <v>27</v>
      </c>
      <c r="B467" t="s">
        <v>229</v>
      </c>
      <c r="C467" t="s">
        <v>309</v>
      </c>
      <c r="D467">
        <v>35748</v>
      </c>
      <c r="E467">
        <v>8</v>
      </c>
      <c r="P467" t="s">
        <v>14</v>
      </c>
      <c r="Q467" t="s">
        <v>311</v>
      </c>
      <c r="R467">
        <v>7</v>
      </c>
      <c r="AI467" t="s">
        <v>229</v>
      </c>
      <c r="AJ467">
        <v>35748</v>
      </c>
      <c r="AL467">
        <f>COUNTIF(AI:AI,AK467)</f>
        <v>0</v>
      </c>
      <c r="AM467">
        <f>SUMIF(AI:AI,AK467,AJ:AJ)</f>
        <v>0</v>
      </c>
      <c r="AP467" t="s">
        <v>20</v>
      </c>
      <c r="AQ467" t="s">
        <v>98</v>
      </c>
      <c r="BP467" t="s">
        <v>27</v>
      </c>
      <c r="BQ467" t="s">
        <v>342</v>
      </c>
      <c r="BR467">
        <f t="shared" si="76"/>
        <v>4</v>
      </c>
      <c r="BS467">
        <f t="shared" si="77"/>
        <v>2024</v>
      </c>
      <c r="BT467">
        <v>8</v>
      </c>
      <c r="BU467" t="str">
        <f t="shared" si="78"/>
        <v>2024-4</v>
      </c>
      <c r="BV467">
        <f t="shared" si="79"/>
        <v>1</v>
      </c>
      <c r="BX467" t="s">
        <v>27</v>
      </c>
      <c r="BY467" t="s">
        <v>309</v>
      </c>
      <c r="BZ467">
        <v>35748</v>
      </c>
      <c r="CA467">
        <f t="shared" si="80"/>
        <v>2</v>
      </c>
      <c r="CB467">
        <f t="shared" si="81"/>
        <v>2024</v>
      </c>
      <c r="CC467" t="str">
        <f t="shared" si="82"/>
        <v>2024-2</v>
      </c>
    </row>
    <row r="468" spans="1:81" x14ac:dyDescent="0.25">
      <c r="A468" t="s">
        <v>14</v>
      </c>
      <c r="B468" t="s">
        <v>53</v>
      </c>
      <c r="C468" t="s">
        <v>310</v>
      </c>
      <c r="D468">
        <v>42037</v>
      </c>
      <c r="E468">
        <v>6</v>
      </c>
      <c r="P468" t="s">
        <v>36</v>
      </c>
      <c r="Q468" t="s">
        <v>22</v>
      </c>
      <c r="R468">
        <v>8</v>
      </c>
      <c r="AI468" t="s">
        <v>53</v>
      </c>
      <c r="AJ468">
        <v>42037</v>
      </c>
      <c r="AL468">
        <f>COUNTIF(AI:AI,AK468)</f>
        <v>0</v>
      </c>
      <c r="AM468">
        <f>SUMIF(AI:AI,AK468,AJ:AJ)</f>
        <v>0</v>
      </c>
      <c r="AP468" t="s">
        <v>17</v>
      </c>
      <c r="AQ468" t="s">
        <v>294</v>
      </c>
      <c r="BP468" t="s">
        <v>27</v>
      </c>
      <c r="BQ468" t="s">
        <v>344</v>
      </c>
      <c r="BR468">
        <f t="shared" si="76"/>
        <v>4</v>
      </c>
      <c r="BS468">
        <f t="shared" si="77"/>
        <v>2024</v>
      </c>
      <c r="BT468">
        <v>6</v>
      </c>
      <c r="BU468" t="str">
        <f t="shared" si="78"/>
        <v>2024-4</v>
      </c>
      <c r="BV468">
        <f t="shared" si="79"/>
        <v>0</v>
      </c>
      <c r="BX468" t="s">
        <v>14</v>
      </c>
      <c r="BY468" t="s">
        <v>310</v>
      </c>
      <c r="BZ468">
        <v>42037</v>
      </c>
      <c r="CA468">
        <f t="shared" si="80"/>
        <v>2</v>
      </c>
      <c r="CB468">
        <f t="shared" si="81"/>
        <v>2024</v>
      </c>
      <c r="CC468" t="str">
        <f t="shared" si="82"/>
        <v>2024-2</v>
      </c>
    </row>
    <row r="469" spans="1:81" x14ac:dyDescent="0.25">
      <c r="A469" t="s">
        <v>12</v>
      </c>
      <c r="B469" t="s">
        <v>231</v>
      </c>
      <c r="C469" t="s">
        <v>310</v>
      </c>
      <c r="D469">
        <v>81175</v>
      </c>
      <c r="E469">
        <v>1</v>
      </c>
      <c r="P469" t="s">
        <v>10</v>
      </c>
      <c r="Q469" t="s">
        <v>161</v>
      </c>
      <c r="R469">
        <v>5</v>
      </c>
      <c r="AI469" t="s">
        <v>231</v>
      </c>
      <c r="AJ469">
        <v>81175</v>
      </c>
      <c r="AL469">
        <f>COUNTIF(AI:AI,AK469)</f>
        <v>0</v>
      </c>
      <c r="AM469">
        <f>SUMIF(AI:AI,AK469,AJ:AJ)</f>
        <v>0</v>
      </c>
      <c r="AP469" t="s">
        <v>5</v>
      </c>
      <c r="AQ469" t="s">
        <v>30</v>
      </c>
      <c r="BP469" t="s">
        <v>27</v>
      </c>
      <c r="BQ469" t="s">
        <v>346</v>
      </c>
      <c r="BR469">
        <f t="shared" si="76"/>
        <v>4</v>
      </c>
      <c r="BS469">
        <f t="shared" si="77"/>
        <v>2024</v>
      </c>
      <c r="BT469">
        <v>1</v>
      </c>
      <c r="BU469" t="str">
        <f t="shared" si="78"/>
        <v>2024-4</v>
      </c>
      <c r="BV469">
        <f t="shared" si="79"/>
        <v>0</v>
      </c>
      <c r="BX469" t="s">
        <v>12</v>
      </c>
      <c r="BY469" t="s">
        <v>310</v>
      </c>
      <c r="BZ469">
        <v>81175</v>
      </c>
      <c r="CA469">
        <f t="shared" si="80"/>
        <v>2</v>
      </c>
      <c r="CB469">
        <f t="shared" si="81"/>
        <v>2024</v>
      </c>
      <c r="CC469" t="str">
        <f t="shared" si="82"/>
        <v>2024-2</v>
      </c>
    </row>
    <row r="470" spans="1:81" x14ac:dyDescent="0.25">
      <c r="A470" t="s">
        <v>32</v>
      </c>
      <c r="B470" t="s">
        <v>6</v>
      </c>
      <c r="C470" t="s">
        <v>310</v>
      </c>
      <c r="D470">
        <v>93788</v>
      </c>
      <c r="E470">
        <v>2</v>
      </c>
      <c r="P470" t="s">
        <v>32</v>
      </c>
      <c r="Q470" t="s">
        <v>39</v>
      </c>
      <c r="R470">
        <v>7</v>
      </c>
      <c r="AI470" t="s">
        <v>6</v>
      </c>
      <c r="AJ470">
        <v>93788</v>
      </c>
      <c r="AL470">
        <f>COUNTIF(AI:AI,AK470)</f>
        <v>0</v>
      </c>
      <c r="AM470">
        <f>SUMIF(AI:AI,AK470,AJ:AJ)</f>
        <v>0</v>
      </c>
      <c r="AP470" t="s">
        <v>10</v>
      </c>
      <c r="AQ470" t="s">
        <v>132</v>
      </c>
      <c r="BP470" t="s">
        <v>27</v>
      </c>
      <c r="BQ470" t="s">
        <v>347</v>
      </c>
      <c r="BR470">
        <f t="shared" si="76"/>
        <v>4</v>
      </c>
      <c r="BS470">
        <f t="shared" si="77"/>
        <v>2024</v>
      </c>
      <c r="BT470">
        <v>2</v>
      </c>
      <c r="BU470" t="str">
        <f t="shared" si="78"/>
        <v>2024-4</v>
      </c>
      <c r="BV470">
        <f t="shared" si="79"/>
        <v>0</v>
      </c>
      <c r="BX470" t="s">
        <v>32</v>
      </c>
      <c r="BY470" t="s">
        <v>310</v>
      </c>
      <c r="BZ470">
        <v>93788</v>
      </c>
      <c r="CA470">
        <f t="shared" si="80"/>
        <v>2</v>
      </c>
      <c r="CB470">
        <f t="shared" si="81"/>
        <v>2024</v>
      </c>
      <c r="CC470" t="str">
        <f t="shared" si="82"/>
        <v>2024-2</v>
      </c>
    </row>
    <row r="471" spans="1:81" x14ac:dyDescent="0.25">
      <c r="A471" t="s">
        <v>8</v>
      </c>
      <c r="B471" t="s">
        <v>124</v>
      </c>
      <c r="C471" t="s">
        <v>310</v>
      </c>
      <c r="D471">
        <v>47010</v>
      </c>
      <c r="E471">
        <v>7</v>
      </c>
      <c r="P471" t="s">
        <v>20</v>
      </c>
      <c r="Q471" t="s">
        <v>47</v>
      </c>
      <c r="R471">
        <v>3</v>
      </c>
      <c r="AI471" t="s">
        <v>124</v>
      </c>
      <c r="AJ471">
        <v>47010</v>
      </c>
      <c r="AL471">
        <f>COUNTIF(AI:AI,AK471)</f>
        <v>0</v>
      </c>
      <c r="AM471">
        <f>SUMIF(AI:AI,AK471,AJ:AJ)</f>
        <v>0</v>
      </c>
      <c r="AP471" t="s">
        <v>8</v>
      </c>
      <c r="AQ471" t="s">
        <v>22</v>
      </c>
      <c r="BP471" t="s">
        <v>27</v>
      </c>
      <c r="BQ471" t="s">
        <v>348</v>
      </c>
      <c r="BR471">
        <f t="shared" ref="BR471:BR534" si="83">MONTH(BQ471)</f>
        <v>4</v>
      </c>
      <c r="BS471">
        <f t="shared" si="77"/>
        <v>2024</v>
      </c>
      <c r="BT471">
        <v>7</v>
      </c>
      <c r="BU471" t="str">
        <f t="shared" si="78"/>
        <v>2024-4</v>
      </c>
      <c r="BV471">
        <f t="shared" si="79"/>
        <v>1</v>
      </c>
      <c r="BX471" t="s">
        <v>8</v>
      </c>
      <c r="BY471" t="s">
        <v>310</v>
      </c>
      <c r="BZ471">
        <v>47010</v>
      </c>
      <c r="CA471">
        <f t="shared" si="80"/>
        <v>2</v>
      </c>
      <c r="CB471">
        <f t="shared" si="81"/>
        <v>2024</v>
      </c>
      <c r="CC471" t="str">
        <f t="shared" si="82"/>
        <v>2024-2</v>
      </c>
    </row>
    <row r="472" spans="1:81" x14ac:dyDescent="0.25">
      <c r="A472" t="s">
        <v>14</v>
      </c>
      <c r="B472" t="s">
        <v>311</v>
      </c>
      <c r="C472" t="s">
        <v>310</v>
      </c>
      <c r="D472">
        <v>68339</v>
      </c>
      <c r="E472">
        <v>7</v>
      </c>
      <c r="P472" t="s">
        <v>17</v>
      </c>
      <c r="Q472" t="s">
        <v>165</v>
      </c>
      <c r="R472">
        <v>7</v>
      </c>
      <c r="AI472" t="s">
        <v>311</v>
      </c>
      <c r="AJ472">
        <v>68339</v>
      </c>
      <c r="AL472">
        <f>COUNTIF(AI:AI,AK472)</f>
        <v>0</v>
      </c>
      <c r="AM472">
        <f>SUMIF(AI:AI,AK472,AJ:AJ)</f>
        <v>0</v>
      </c>
      <c r="AP472" t="s">
        <v>10</v>
      </c>
      <c r="AQ472" t="s">
        <v>325</v>
      </c>
      <c r="BP472" t="s">
        <v>27</v>
      </c>
      <c r="BQ472" t="s">
        <v>351</v>
      </c>
      <c r="BR472">
        <f t="shared" si="83"/>
        <v>4</v>
      </c>
      <c r="BS472">
        <f t="shared" si="77"/>
        <v>2024</v>
      </c>
      <c r="BT472">
        <v>7</v>
      </c>
      <c r="BU472" t="str">
        <f t="shared" si="78"/>
        <v>2024-4</v>
      </c>
      <c r="BV472">
        <f t="shared" si="79"/>
        <v>1</v>
      </c>
      <c r="BX472" t="s">
        <v>14</v>
      </c>
      <c r="BY472" t="s">
        <v>310</v>
      </c>
      <c r="BZ472">
        <v>68339</v>
      </c>
      <c r="CA472">
        <f t="shared" si="80"/>
        <v>2</v>
      </c>
      <c r="CB472">
        <f t="shared" si="81"/>
        <v>2024</v>
      </c>
      <c r="CC472" t="str">
        <f t="shared" si="82"/>
        <v>2024-2</v>
      </c>
    </row>
    <row r="473" spans="1:81" x14ac:dyDescent="0.25">
      <c r="A473" t="s">
        <v>36</v>
      </c>
      <c r="B473" t="s">
        <v>22</v>
      </c>
      <c r="C473" t="s">
        <v>310</v>
      </c>
      <c r="D473">
        <v>51116</v>
      </c>
      <c r="E473">
        <v>8</v>
      </c>
      <c r="P473" t="s">
        <v>17</v>
      </c>
      <c r="Q473" t="s">
        <v>155</v>
      </c>
      <c r="R473">
        <v>9</v>
      </c>
      <c r="AI473" t="s">
        <v>22</v>
      </c>
      <c r="AJ473">
        <v>51116</v>
      </c>
      <c r="AL473">
        <f>COUNTIF(AI:AI,AK473)</f>
        <v>0</v>
      </c>
      <c r="AM473">
        <f>SUMIF(AI:AI,AK473,AJ:AJ)</f>
        <v>0</v>
      </c>
      <c r="AP473" t="s">
        <v>33</v>
      </c>
      <c r="AQ473" t="s">
        <v>177</v>
      </c>
      <c r="BP473" t="s">
        <v>27</v>
      </c>
      <c r="BQ473" t="s">
        <v>358</v>
      </c>
      <c r="BR473">
        <f t="shared" si="83"/>
        <v>4</v>
      </c>
      <c r="BS473">
        <f t="shared" si="77"/>
        <v>2024</v>
      </c>
      <c r="BT473">
        <v>8</v>
      </c>
      <c r="BU473" t="str">
        <f t="shared" si="78"/>
        <v>2024-4</v>
      </c>
      <c r="BV473">
        <f t="shared" si="79"/>
        <v>1</v>
      </c>
      <c r="BX473" t="s">
        <v>36</v>
      </c>
      <c r="BY473" t="s">
        <v>310</v>
      </c>
      <c r="BZ473">
        <v>51116</v>
      </c>
      <c r="CA473">
        <f t="shared" si="80"/>
        <v>2</v>
      </c>
      <c r="CB473">
        <f t="shared" si="81"/>
        <v>2024</v>
      </c>
      <c r="CC473" t="str">
        <f t="shared" si="82"/>
        <v>2024-2</v>
      </c>
    </row>
    <row r="474" spans="1:81" x14ac:dyDescent="0.25">
      <c r="A474" t="s">
        <v>10</v>
      </c>
      <c r="B474" t="s">
        <v>161</v>
      </c>
      <c r="C474" t="s">
        <v>310</v>
      </c>
      <c r="D474">
        <v>92805</v>
      </c>
      <c r="E474">
        <v>5</v>
      </c>
      <c r="P474" t="s">
        <v>33</v>
      </c>
      <c r="Q474" t="s">
        <v>56</v>
      </c>
      <c r="R474">
        <v>4</v>
      </c>
      <c r="AI474" t="s">
        <v>161</v>
      </c>
      <c r="AJ474">
        <v>92805</v>
      </c>
      <c r="AL474">
        <f>COUNTIF(AI:AI,AK474)</f>
        <v>0</v>
      </c>
      <c r="AM474">
        <f>SUMIF(AI:AI,AK474,AJ:AJ)</f>
        <v>0</v>
      </c>
      <c r="AP474" t="s">
        <v>36</v>
      </c>
      <c r="AQ474" t="s">
        <v>327</v>
      </c>
      <c r="BP474" t="s">
        <v>27</v>
      </c>
      <c r="BQ474" t="s">
        <v>358</v>
      </c>
      <c r="BR474">
        <f t="shared" si="83"/>
        <v>4</v>
      </c>
      <c r="BS474">
        <f t="shared" si="77"/>
        <v>2024</v>
      </c>
      <c r="BT474">
        <v>5</v>
      </c>
      <c r="BU474" t="str">
        <f t="shared" si="78"/>
        <v>2024-4</v>
      </c>
      <c r="BV474">
        <f t="shared" si="79"/>
        <v>0</v>
      </c>
      <c r="BX474" t="s">
        <v>10</v>
      </c>
      <c r="BY474" t="s">
        <v>310</v>
      </c>
      <c r="BZ474">
        <v>92805</v>
      </c>
      <c r="CA474">
        <f t="shared" si="80"/>
        <v>2</v>
      </c>
      <c r="CB474">
        <f t="shared" si="81"/>
        <v>2024</v>
      </c>
      <c r="CC474" t="str">
        <f t="shared" si="82"/>
        <v>2024-2</v>
      </c>
    </row>
    <row r="475" spans="1:81" x14ac:dyDescent="0.25">
      <c r="A475" t="s">
        <v>32</v>
      </c>
      <c r="B475" t="s">
        <v>39</v>
      </c>
      <c r="C475" t="s">
        <v>312</v>
      </c>
      <c r="D475">
        <v>80690</v>
      </c>
      <c r="E475">
        <v>7</v>
      </c>
      <c r="P475" t="s">
        <v>32</v>
      </c>
      <c r="Q475" t="s">
        <v>53</v>
      </c>
      <c r="R475">
        <v>8</v>
      </c>
      <c r="AI475" t="s">
        <v>39</v>
      </c>
      <c r="AJ475">
        <v>80690</v>
      </c>
      <c r="AL475">
        <f>COUNTIF(AI:AI,AK475)</f>
        <v>0</v>
      </c>
      <c r="AM475">
        <f>SUMIF(AI:AI,AK475,AJ:AJ)</f>
        <v>0</v>
      </c>
      <c r="AP475" t="s">
        <v>5</v>
      </c>
      <c r="AQ475" t="s">
        <v>237</v>
      </c>
      <c r="BP475" t="s">
        <v>27</v>
      </c>
      <c r="BQ475" t="s">
        <v>359</v>
      </c>
      <c r="BR475">
        <f t="shared" si="83"/>
        <v>4</v>
      </c>
      <c r="BS475">
        <f t="shared" si="77"/>
        <v>2024</v>
      </c>
      <c r="BT475">
        <v>7</v>
      </c>
      <c r="BU475" t="str">
        <f t="shared" si="78"/>
        <v>2024-4</v>
      </c>
      <c r="BV475">
        <f t="shared" si="79"/>
        <v>1</v>
      </c>
      <c r="BX475" t="s">
        <v>32</v>
      </c>
      <c r="BY475" t="s">
        <v>312</v>
      </c>
      <c r="BZ475">
        <v>80690</v>
      </c>
      <c r="CA475">
        <f t="shared" si="80"/>
        <v>2</v>
      </c>
      <c r="CB475">
        <f t="shared" si="81"/>
        <v>2024</v>
      </c>
      <c r="CC475" t="str">
        <f t="shared" si="82"/>
        <v>2024-2</v>
      </c>
    </row>
    <row r="476" spans="1:81" x14ac:dyDescent="0.25">
      <c r="A476" t="s">
        <v>20</v>
      </c>
      <c r="B476" t="s">
        <v>47</v>
      </c>
      <c r="C476" t="s">
        <v>312</v>
      </c>
      <c r="D476">
        <v>79058</v>
      </c>
      <c r="E476">
        <v>3</v>
      </c>
      <c r="P476" t="s">
        <v>23</v>
      </c>
      <c r="Q476" t="s">
        <v>253</v>
      </c>
      <c r="R476">
        <v>8</v>
      </c>
      <c r="AI476" t="s">
        <v>47</v>
      </c>
      <c r="AJ476">
        <v>79058</v>
      </c>
      <c r="AL476">
        <f>COUNTIF(AI:AI,AK476)</f>
        <v>0</v>
      </c>
      <c r="AM476">
        <f>SUMIF(AI:AI,AK476,AJ:AJ)</f>
        <v>0</v>
      </c>
      <c r="AP476" t="s">
        <v>17</v>
      </c>
      <c r="AQ476" t="s">
        <v>286</v>
      </c>
      <c r="BP476" t="s">
        <v>27</v>
      </c>
      <c r="BQ476" t="s">
        <v>360</v>
      </c>
      <c r="BR476">
        <f t="shared" si="83"/>
        <v>4</v>
      </c>
      <c r="BS476">
        <f t="shared" si="77"/>
        <v>2024</v>
      </c>
      <c r="BT476">
        <v>3</v>
      </c>
      <c r="BU476" t="str">
        <f t="shared" si="78"/>
        <v>2024-4</v>
      </c>
      <c r="BV476">
        <f t="shared" si="79"/>
        <v>0</v>
      </c>
      <c r="BX476" t="s">
        <v>20</v>
      </c>
      <c r="BY476" t="s">
        <v>312</v>
      </c>
      <c r="BZ476">
        <v>79058</v>
      </c>
      <c r="CA476">
        <f t="shared" si="80"/>
        <v>2</v>
      </c>
      <c r="CB476">
        <f t="shared" si="81"/>
        <v>2024</v>
      </c>
      <c r="CC476" t="str">
        <f t="shared" si="82"/>
        <v>2024-2</v>
      </c>
    </row>
    <row r="477" spans="1:81" x14ac:dyDescent="0.25">
      <c r="A477" t="s">
        <v>17</v>
      </c>
      <c r="B477" t="s">
        <v>165</v>
      </c>
      <c r="C477" t="s">
        <v>313</v>
      </c>
      <c r="D477">
        <v>77111</v>
      </c>
      <c r="E477">
        <v>7</v>
      </c>
      <c r="P477" t="s">
        <v>23</v>
      </c>
      <c r="Q477" t="s">
        <v>112</v>
      </c>
      <c r="R477">
        <v>9</v>
      </c>
      <c r="AI477" t="s">
        <v>165</v>
      </c>
      <c r="AJ477">
        <v>77111</v>
      </c>
      <c r="AL477">
        <f>COUNTIF(AI:AI,AK477)</f>
        <v>0</v>
      </c>
      <c r="AM477">
        <f>SUMIF(AI:AI,AK477,AJ:AJ)</f>
        <v>0</v>
      </c>
      <c r="AP477" t="s">
        <v>23</v>
      </c>
      <c r="AQ477" t="s">
        <v>95</v>
      </c>
      <c r="BP477" t="s">
        <v>27</v>
      </c>
      <c r="BQ477" t="s">
        <v>360</v>
      </c>
      <c r="BR477">
        <f t="shared" si="83"/>
        <v>4</v>
      </c>
      <c r="BS477">
        <f t="shared" si="77"/>
        <v>2024</v>
      </c>
      <c r="BT477">
        <v>7</v>
      </c>
      <c r="BU477" t="str">
        <f t="shared" si="78"/>
        <v>2024-4</v>
      </c>
      <c r="BV477">
        <f t="shared" si="79"/>
        <v>1</v>
      </c>
      <c r="BX477" t="s">
        <v>17</v>
      </c>
      <c r="BY477" t="s">
        <v>313</v>
      </c>
      <c r="BZ477">
        <v>77111</v>
      </c>
      <c r="CA477">
        <f t="shared" si="80"/>
        <v>2</v>
      </c>
      <c r="CB477">
        <f t="shared" si="81"/>
        <v>2024</v>
      </c>
      <c r="CC477" t="str">
        <f t="shared" si="82"/>
        <v>2024-2</v>
      </c>
    </row>
    <row r="478" spans="1:81" x14ac:dyDescent="0.25">
      <c r="A478" t="s">
        <v>17</v>
      </c>
      <c r="B478" t="s">
        <v>155</v>
      </c>
      <c r="C478" t="s">
        <v>313</v>
      </c>
      <c r="D478">
        <v>42552</v>
      </c>
      <c r="E478">
        <v>9</v>
      </c>
      <c r="P478" t="s">
        <v>32</v>
      </c>
      <c r="Q478" t="s">
        <v>238</v>
      </c>
      <c r="R478">
        <v>8</v>
      </c>
      <c r="AI478" t="s">
        <v>155</v>
      </c>
      <c r="AJ478">
        <v>42552</v>
      </c>
      <c r="AL478">
        <f>COUNTIF(AI:AI,AK478)</f>
        <v>0</v>
      </c>
      <c r="AM478">
        <f>SUMIF(AI:AI,AK478,AJ:AJ)</f>
        <v>0</v>
      </c>
      <c r="AP478" t="s">
        <v>8</v>
      </c>
      <c r="AQ478" t="s">
        <v>81</v>
      </c>
      <c r="BP478" t="s">
        <v>27</v>
      </c>
      <c r="BQ478" t="s">
        <v>363</v>
      </c>
      <c r="BR478">
        <f t="shared" si="83"/>
        <v>5</v>
      </c>
      <c r="BS478">
        <f t="shared" si="77"/>
        <v>2024</v>
      </c>
      <c r="BT478">
        <v>9</v>
      </c>
      <c r="BU478" t="str">
        <f t="shared" si="78"/>
        <v>2024-5</v>
      </c>
      <c r="BV478">
        <f t="shared" si="79"/>
        <v>2</v>
      </c>
      <c r="BX478" t="s">
        <v>17</v>
      </c>
      <c r="BY478" t="s">
        <v>313</v>
      </c>
      <c r="BZ478">
        <v>42552</v>
      </c>
      <c r="CA478">
        <f t="shared" si="80"/>
        <v>2</v>
      </c>
      <c r="CB478">
        <f t="shared" si="81"/>
        <v>2024</v>
      </c>
      <c r="CC478" t="str">
        <f t="shared" si="82"/>
        <v>2024-2</v>
      </c>
    </row>
    <row r="479" spans="1:81" x14ac:dyDescent="0.25">
      <c r="A479" t="s">
        <v>33</v>
      </c>
      <c r="B479" t="s">
        <v>56</v>
      </c>
      <c r="C479" t="s">
        <v>313</v>
      </c>
      <c r="D479">
        <v>87824</v>
      </c>
      <c r="E479">
        <v>4</v>
      </c>
      <c r="P479" t="s">
        <v>20</v>
      </c>
      <c r="Q479" t="s">
        <v>107</v>
      </c>
      <c r="R479">
        <v>5</v>
      </c>
      <c r="AI479" t="s">
        <v>56</v>
      </c>
      <c r="AJ479">
        <v>87824</v>
      </c>
      <c r="AL479">
        <f>COUNTIF(AI:AI,AK479)</f>
        <v>0</v>
      </c>
      <c r="AM479">
        <f>SUMIF(AI:AI,AK479,AJ:AJ)</f>
        <v>0</v>
      </c>
      <c r="AP479" t="s">
        <v>27</v>
      </c>
      <c r="AQ479" t="s">
        <v>182</v>
      </c>
      <c r="BP479" t="s">
        <v>27</v>
      </c>
      <c r="BQ479" t="s">
        <v>363</v>
      </c>
      <c r="BR479">
        <f t="shared" si="83"/>
        <v>5</v>
      </c>
      <c r="BS479">
        <f t="shared" si="77"/>
        <v>2024</v>
      </c>
      <c r="BT479">
        <v>4</v>
      </c>
      <c r="BU479" t="str">
        <f t="shared" si="78"/>
        <v>2024-5</v>
      </c>
      <c r="BV479">
        <f t="shared" si="79"/>
        <v>0</v>
      </c>
      <c r="BX479" t="s">
        <v>33</v>
      </c>
      <c r="BY479" t="s">
        <v>313</v>
      </c>
      <c r="BZ479">
        <v>87824</v>
      </c>
      <c r="CA479">
        <f t="shared" si="80"/>
        <v>2</v>
      </c>
      <c r="CB479">
        <f t="shared" si="81"/>
        <v>2024</v>
      </c>
      <c r="CC479" t="str">
        <f t="shared" si="82"/>
        <v>2024-2</v>
      </c>
    </row>
    <row r="480" spans="1:81" x14ac:dyDescent="0.25">
      <c r="A480" t="s">
        <v>32</v>
      </c>
      <c r="B480" t="s">
        <v>53</v>
      </c>
      <c r="C480" t="s">
        <v>313</v>
      </c>
      <c r="D480">
        <v>18602</v>
      </c>
      <c r="E480">
        <v>8</v>
      </c>
      <c r="P480" t="s">
        <v>23</v>
      </c>
      <c r="Q480" t="s">
        <v>18</v>
      </c>
      <c r="R480">
        <v>10</v>
      </c>
      <c r="AI480" t="s">
        <v>53</v>
      </c>
      <c r="AJ480">
        <v>18602</v>
      </c>
      <c r="AL480">
        <f>COUNTIF(AI:AI,AK480)</f>
        <v>0</v>
      </c>
      <c r="AM480">
        <f>SUMIF(AI:AI,AK480,AJ:AJ)</f>
        <v>0</v>
      </c>
      <c r="AP480" t="s">
        <v>36</v>
      </c>
      <c r="AQ480" t="s">
        <v>162</v>
      </c>
      <c r="BP480" t="s">
        <v>27</v>
      </c>
      <c r="BQ480" t="s">
        <v>366</v>
      </c>
      <c r="BR480">
        <f t="shared" si="83"/>
        <v>5</v>
      </c>
      <c r="BS480">
        <f t="shared" si="77"/>
        <v>2024</v>
      </c>
      <c r="BT480">
        <v>8</v>
      </c>
      <c r="BU480" t="str">
        <f t="shared" si="78"/>
        <v>2024-5</v>
      </c>
      <c r="BV480">
        <f t="shared" si="79"/>
        <v>1</v>
      </c>
      <c r="BX480" t="s">
        <v>32</v>
      </c>
      <c r="BY480" t="s">
        <v>313</v>
      </c>
      <c r="BZ480">
        <v>18602</v>
      </c>
      <c r="CA480">
        <f t="shared" si="80"/>
        <v>2</v>
      </c>
      <c r="CB480">
        <f t="shared" si="81"/>
        <v>2024</v>
      </c>
      <c r="CC480" t="str">
        <f t="shared" si="82"/>
        <v>2024-2</v>
      </c>
    </row>
    <row r="481" spans="1:81" x14ac:dyDescent="0.25">
      <c r="A481" t="s">
        <v>23</v>
      </c>
      <c r="B481" t="s">
        <v>253</v>
      </c>
      <c r="C481" t="s">
        <v>313</v>
      </c>
      <c r="D481">
        <v>33136</v>
      </c>
      <c r="E481">
        <v>8</v>
      </c>
      <c r="P481" t="s">
        <v>17</v>
      </c>
      <c r="Q481" t="s">
        <v>67</v>
      </c>
      <c r="R481">
        <v>4</v>
      </c>
      <c r="AI481" t="s">
        <v>253</v>
      </c>
      <c r="AJ481">
        <v>33136</v>
      </c>
      <c r="AL481">
        <f>COUNTIF(AI:AI,AK481)</f>
        <v>0</v>
      </c>
      <c r="AM481">
        <f>SUMIF(AI:AI,AK481,AJ:AJ)</f>
        <v>0</v>
      </c>
      <c r="AP481" t="s">
        <v>14</v>
      </c>
      <c r="AQ481" t="s">
        <v>237</v>
      </c>
      <c r="BP481" t="s">
        <v>27</v>
      </c>
      <c r="BQ481" t="s">
        <v>367</v>
      </c>
      <c r="BR481">
        <f t="shared" si="83"/>
        <v>5</v>
      </c>
      <c r="BS481">
        <f t="shared" si="77"/>
        <v>2024</v>
      </c>
      <c r="BT481">
        <v>8</v>
      </c>
      <c r="BU481" t="str">
        <f t="shared" si="78"/>
        <v>2024-5</v>
      </c>
      <c r="BV481">
        <f t="shared" si="79"/>
        <v>1</v>
      </c>
      <c r="BX481" t="s">
        <v>23</v>
      </c>
      <c r="BY481" t="s">
        <v>313</v>
      </c>
      <c r="BZ481">
        <v>33136</v>
      </c>
      <c r="CA481">
        <f t="shared" si="80"/>
        <v>2</v>
      </c>
      <c r="CB481">
        <f t="shared" si="81"/>
        <v>2024</v>
      </c>
      <c r="CC481" t="str">
        <f t="shared" si="82"/>
        <v>2024-2</v>
      </c>
    </row>
    <row r="482" spans="1:81" x14ac:dyDescent="0.25">
      <c r="A482" t="s">
        <v>23</v>
      </c>
      <c r="B482" t="s">
        <v>112</v>
      </c>
      <c r="C482" t="s">
        <v>314</v>
      </c>
      <c r="D482">
        <v>43277</v>
      </c>
      <c r="E482">
        <v>9</v>
      </c>
      <c r="P482" t="s">
        <v>33</v>
      </c>
      <c r="Q482" t="s">
        <v>236</v>
      </c>
      <c r="R482">
        <v>0</v>
      </c>
      <c r="AI482" t="s">
        <v>112</v>
      </c>
      <c r="AJ482">
        <v>43277</v>
      </c>
      <c r="AL482">
        <f>COUNTIF(AI:AI,AK482)</f>
        <v>0</v>
      </c>
      <c r="AM482">
        <f>SUMIF(AI:AI,AK482,AJ:AJ)</f>
        <v>0</v>
      </c>
      <c r="AP482" t="s">
        <v>20</v>
      </c>
      <c r="AQ482" t="s">
        <v>173</v>
      </c>
      <c r="BP482" t="s">
        <v>27</v>
      </c>
      <c r="BQ482" t="s">
        <v>374</v>
      </c>
      <c r="BR482">
        <f t="shared" si="83"/>
        <v>5</v>
      </c>
      <c r="BS482">
        <f t="shared" si="77"/>
        <v>2024</v>
      </c>
      <c r="BT482">
        <v>9</v>
      </c>
      <c r="BU482" t="str">
        <f t="shared" si="78"/>
        <v>2024-5</v>
      </c>
      <c r="BV482">
        <f t="shared" si="79"/>
        <v>2</v>
      </c>
      <c r="BX482" t="s">
        <v>23</v>
      </c>
      <c r="BY482" t="s">
        <v>314</v>
      </c>
      <c r="BZ482">
        <v>43277</v>
      </c>
      <c r="CA482">
        <f t="shared" si="80"/>
        <v>3</v>
      </c>
      <c r="CB482">
        <f t="shared" si="81"/>
        <v>2024</v>
      </c>
      <c r="CC482" t="str">
        <f t="shared" si="82"/>
        <v>2024-3</v>
      </c>
    </row>
    <row r="483" spans="1:81" x14ac:dyDescent="0.25">
      <c r="A483" t="s">
        <v>32</v>
      </c>
      <c r="B483" t="s">
        <v>238</v>
      </c>
      <c r="C483" t="s">
        <v>314</v>
      </c>
      <c r="D483">
        <v>32047</v>
      </c>
      <c r="E483">
        <v>8</v>
      </c>
      <c r="P483" t="s">
        <v>10</v>
      </c>
      <c r="Q483" t="s">
        <v>283</v>
      </c>
      <c r="R483">
        <v>8</v>
      </c>
      <c r="AI483" t="s">
        <v>238</v>
      </c>
      <c r="AJ483">
        <v>32047</v>
      </c>
      <c r="AL483">
        <f>COUNTIF(AI:AI,AK483)</f>
        <v>0</v>
      </c>
      <c r="AM483">
        <f>SUMIF(AI:AI,AK483,AJ:AJ)</f>
        <v>0</v>
      </c>
      <c r="AP483" t="s">
        <v>32</v>
      </c>
      <c r="AQ483" t="s">
        <v>52</v>
      </c>
      <c r="BP483" t="s">
        <v>27</v>
      </c>
      <c r="BQ483" t="s">
        <v>377</v>
      </c>
      <c r="BR483">
        <f t="shared" si="83"/>
        <v>5</v>
      </c>
      <c r="BS483">
        <f t="shared" si="77"/>
        <v>2024</v>
      </c>
      <c r="BT483">
        <v>8</v>
      </c>
      <c r="BU483" t="str">
        <f t="shared" si="78"/>
        <v>2024-5</v>
      </c>
      <c r="BV483">
        <f t="shared" si="79"/>
        <v>1</v>
      </c>
      <c r="BX483" t="s">
        <v>32</v>
      </c>
      <c r="BY483" t="s">
        <v>314</v>
      </c>
      <c r="BZ483">
        <v>32047</v>
      </c>
      <c r="CA483">
        <f t="shared" si="80"/>
        <v>3</v>
      </c>
      <c r="CB483">
        <f t="shared" si="81"/>
        <v>2024</v>
      </c>
      <c r="CC483" t="str">
        <f t="shared" si="82"/>
        <v>2024-3</v>
      </c>
    </row>
    <row r="484" spans="1:81" x14ac:dyDescent="0.25">
      <c r="A484" t="s">
        <v>20</v>
      </c>
      <c r="B484" t="s">
        <v>107</v>
      </c>
      <c r="C484" t="s">
        <v>315</v>
      </c>
      <c r="D484">
        <v>28775</v>
      </c>
      <c r="E484">
        <v>5</v>
      </c>
      <c r="P484" t="s">
        <v>17</v>
      </c>
      <c r="Q484" t="s">
        <v>256</v>
      </c>
      <c r="R484">
        <v>10</v>
      </c>
      <c r="AI484" t="s">
        <v>107</v>
      </c>
      <c r="AJ484">
        <v>28775</v>
      </c>
      <c r="AL484">
        <f>COUNTIF(AI:AI,AK484)</f>
        <v>0</v>
      </c>
      <c r="AM484">
        <f>SUMIF(AI:AI,AK484,AJ:AJ)</f>
        <v>0</v>
      </c>
      <c r="AP484" t="s">
        <v>17</v>
      </c>
      <c r="AQ484" t="s">
        <v>119</v>
      </c>
      <c r="BP484" t="s">
        <v>27</v>
      </c>
      <c r="BQ484" t="s">
        <v>378</v>
      </c>
      <c r="BR484">
        <f t="shared" si="83"/>
        <v>5</v>
      </c>
      <c r="BS484">
        <f t="shared" si="77"/>
        <v>2024</v>
      </c>
      <c r="BT484">
        <v>5</v>
      </c>
      <c r="BU484" t="str">
        <f t="shared" si="78"/>
        <v>2024-5</v>
      </c>
      <c r="BV484">
        <f t="shared" si="79"/>
        <v>0</v>
      </c>
      <c r="BX484" t="s">
        <v>20</v>
      </c>
      <c r="BY484" t="s">
        <v>315</v>
      </c>
      <c r="BZ484">
        <v>28775</v>
      </c>
      <c r="CA484">
        <f t="shared" si="80"/>
        <v>3</v>
      </c>
      <c r="CB484">
        <f t="shared" si="81"/>
        <v>2024</v>
      </c>
      <c r="CC484" t="str">
        <f t="shared" si="82"/>
        <v>2024-3</v>
      </c>
    </row>
    <row r="485" spans="1:81" x14ac:dyDescent="0.25">
      <c r="A485" t="s">
        <v>23</v>
      </c>
      <c r="B485" t="s">
        <v>18</v>
      </c>
      <c r="C485" t="s">
        <v>315</v>
      </c>
      <c r="D485">
        <v>29833</v>
      </c>
      <c r="E485">
        <v>10</v>
      </c>
      <c r="P485" t="s">
        <v>8</v>
      </c>
      <c r="Q485" t="s">
        <v>274</v>
      </c>
      <c r="R485">
        <v>7</v>
      </c>
      <c r="AI485" t="s">
        <v>18</v>
      </c>
      <c r="AJ485">
        <v>29833</v>
      </c>
      <c r="AL485">
        <f>COUNTIF(AI:AI,AK485)</f>
        <v>0</v>
      </c>
      <c r="AM485">
        <f>SUMIF(AI:AI,AK485,AJ:AJ)</f>
        <v>0</v>
      </c>
      <c r="AP485" t="s">
        <v>17</v>
      </c>
      <c r="AQ485" t="s">
        <v>281</v>
      </c>
      <c r="BP485" t="s">
        <v>27</v>
      </c>
      <c r="BQ485" t="s">
        <v>378</v>
      </c>
      <c r="BR485">
        <f t="shared" si="83"/>
        <v>5</v>
      </c>
      <c r="BS485">
        <f t="shared" si="77"/>
        <v>2024</v>
      </c>
      <c r="BT485">
        <v>10</v>
      </c>
      <c r="BU485" t="str">
        <f t="shared" si="78"/>
        <v>2024-5</v>
      </c>
      <c r="BV485">
        <f t="shared" si="79"/>
        <v>2</v>
      </c>
      <c r="BX485" t="s">
        <v>23</v>
      </c>
      <c r="BY485" t="s">
        <v>315</v>
      </c>
      <c r="BZ485">
        <v>29833</v>
      </c>
      <c r="CA485">
        <f t="shared" si="80"/>
        <v>3</v>
      </c>
      <c r="CB485">
        <f t="shared" si="81"/>
        <v>2024</v>
      </c>
      <c r="CC485" t="str">
        <f t="shared" si="82"/>
        <v>2024-3</v>
      </c>
    </row>
    <row r="486" spans="1:81" x14ac:dyDescent="0.25">
      <c r="A486" t="s">
        <v>17</v>
      </c>
      <c r="B486" t="s">
        <v>67</v>
      </c>
      <c r="C486" t="s">
        <v>315</v>
      </c>
      <c r="D486">
        <v>83404</v>
      </c>
      <c r="E486">
        <v>4</v>
      </c>
      <c r="P486" t="s">
        <v>14</v>
      </c>
      <c r="Q486" t="s">
        <v>290</v>
      </c>
      <c r="R486">
        <v>7</v>
      </c>
      <c r="AI486" t="s">
        <v>67</v>
      </c>
      <c r="AJ486">
        <v>83404</v>
      </c>
      <c r="AL486">
        <f>COUNTIF(AI:AI,AK486)</f>
        <v>0</v>
      </c>
      <c r="AM486">
        <f>SUMIF(AI:AI,AK486,AJ:AJ)</f>
        <v>0</v>
      </c>
      <c r="AP486" t="s">
        <v>8</v>
      </c>
      <c r="AQ486" t="s">
        <v>25</v>
      </c>
      <c r="BP486" t="s">
        <v>27</v>
      </c>
      <c r="BQ486" t="s">
        <v>379</v>
      </c>
      <c r="BR486">
        <f t="shared" si="83"/>
        <v>5</v>
      </c>
      <c r="BS486">
        <f t="shared" si="77"/>
        <v>2024</v>
      </c>
      <c r="BT486">
        <v>4</v>
      </c>
      <c r="BU486" t="str">
        <f t="shared" si="78"/>
        <v>2024-5</v>
      </c>
      <c r="BV486">
        <f t="shared" si="79"/>
        <v>0</v>
      </c>
      <c r="BX486" t="s">
        <v>17</v>
      </c>
      <c r="BY486" t="s">
        <v>315</v>
      </c>
      <c r="BZ486">
        <v>83404</v>
      </c>
      <c r="CA486">
        <f t="shared" si="80"/>
        <v>3</v>
      </c>
      <c r="CB486">
        <f t="shared" si="81"/>
        <v>2024</v>
      </c>
      <c r="CC486" t="str">
        <f t="shared" si="82"/>
        <v>2024-3</v>
      </c>
    </row>
    <row r="487" spans="1:81" x14ac:dyDescent="0.25">
      <c r="A487" t="s">
        <v>33</v>
      </c>
      <c r="B487" t="s">
        <v>236</v>
      </c>
      <c r="C487" t="s">
        <v>315</v>
      </c>
      <c r="D487">
        <v>32412</v>
      </c>
      <c r="E487">
        <v>0</v>
      </c>
      <c r="P487" t="s">
        <v>5</v>
      </c>
      <c r="Q487" t="s">
        <v>316</v>
      </c>
      <c r="R487">
        <v>10</v>
      </c>
      <c r="AI487" t="s">
        <v>236</v>
      </c>
      <c r="AJ487">
        <v>32412</v>
      </c>
      <c r="AL487">
        <f>COUNTIF(AI:AI,AK487)</f>
        <v>0</v>
      </c>
      <c r="AM487">
        <f>SUMIF(AI:AI,AK487,AJ:AJ)</f>
        <v>0</v>
      </c>
      <c r="AP487" t="s">
        <v>27</v>
      </c>
      <c r="AQ487" t="s">
        <v>132</v>
      </c>
      <c r="BP487" t="s">
        <v>27</v>
      </c>
      <c r="BQ487" t="s">
        <v>381</v>
      </c>
      <c r="BR487">
        <f t="shared" si="83"/>
        <v>5</v>
      </c>
      <c r="BS487">
        <f t="shared" si="77"/>
        <v>2024</v>
      </c>
      <c r="BT487">
        <v>0</v>
      </c>
      <c r="BU487" t="str">
        <f t="shared" si="78"/>
        <v>2024-5</v>
      </c>
      <c r="BV487">
        <f t="shared" si="79"/>
        <v>0</v>
      </c>
      <c r="BX487" t="s">
        <v>33</v>
      </c>
      <c r="BY487" t="s">
        <v>315</v>
      </c>
      <c r="BZ487">
        <v>32412</v>
      </c>
      <c r="CA487">
        <f t="shared" si="80"/>
        <v>3</v>
      </c>
      <c r="CB487">
        <f t="shared" si="81"/>
        <v>2024</v>
      </c>
      <c r="CC487" t="str">
        <f t="shared" si="82"/>
        <v>2024-3</v>
      </c>
    </row>
    <row r="488" spans="1:81" x14ac:dyDescent="0.25">
      <c r="A488" t="s">
        <v>10</v>
      </c>
      <c r="B488" t="s">
        <v>283</v>
      </c>
      <c r="C488" t="s">
        <v>315</v>
      </c>
      <c r="D488">
        <v>67464</v>
      </c>
      <c r="E488">
        <v>8</v>
      </c>
      <c r="P488" t="s">
        <v>32</v>
      </c>
      <c r="Q488" t="s">
        <v>214</v>
      </c>
      <c r="R488">
        <v>10</v>
      </c>
      <c r="AI488" t="s">
        <v>283</v>
      </c>
      <c r="AJ488">
        <v>67464</v>
      </c>
      <c r="AL488">
        <f>COUNTIF(AI:AI,AK488)</f>
        <v>0</v>
      </c>
      <c r="AM488">
        <f>SUMIF(AI:AI,AK488,AJ:AJ)</f>
        <v>0</v>
      </c>
      <c r="AP488" t="s">
        <v>20</v>
      </c>
      <c r="AQ488" t="s">
        <v>253</v>
      </c>
      <c r="BP488" t="s">
        <v>27</v>
      </c>
      <c r="BQ488" t="s">
        <v>382</v>
      </c>
      <c r="BR488">
        <f t="shared" si="83"/>
        <v>5</v>
      </c>
      <c r="BS488">
        <f t="shared" si="77"/>
        <v>2024</v>
      </c>
      <c r="BT488">
        <v>8</v>
      </c>
      <c r="BU488" t="str">
        <f t="shared" si="78"/>
        <v>2024-5</v>
      </c>
      <c r="BV488">
        <f t="shared" si="79"/>
        <v>1</v>
      </c>
      <c r="BX488" t="s">
        <v>10</v>
      </c>
      <c r="BY488" t="s">
        <v>315</v>
      </c>
      <c r="BZ488">
        <v>67464</v>
      </c>
      <c r="CA488">
        <f t="shared" si="80"/>
        <v>3</v>
      </c>
      <c r="CB488">
        <f t="shared" si="81"/>
        <v>2024</v>
      </c>
      <c r="CC488" t="str">
        <f t="shared" si="82"/>
        <v>2024-3</v>
      </c>
    </row>
    <row r="489" spans="1:81" x14ac:dyDescent="0.25">
      <c r="A489" t="s">
        <v>17</v>
      </c>
      <c r="B489" t="s">
        <v>256</v>
      </c>
      <c r="C489" t="s">
        <v>315</v>
      </c>
      <c r="D489">
        <v>55964</v>
      </c>
      <c r="E489">
        <v>10</v>
      </c>
      <c r="P489" t="s">
        <v>5</v>
      </c>
      <c r="Q489" t="s">
        <v>222</v>
      </c>
      <c r="R489">
        <v>6</v>
      </c>
      <c r="AI489" t="s">
        <v>256</v>
      </c>
      <c r="AJ489">
        <v>55964</v>
      </c>
      <c r="AL489">
        <f>COUNTIF(AI:AI,AK489)</f>
        <v>0</v>
      </c>
      <c r="AM489">
        <f>SUMIF(AI:AI,AK489,AJ:AJ)</f>
        <v>0</v>
      </c>
      <c r="AP489" t="s">
        <v>10</v>
      </c>
      <c r="AQ489" t="s">
        <v>263</v>
      </c>
      <c r="BP489" t="s">
        <v>27</v>
      </c>
      <c r="BQ489" t="s">
        <v>383</v>
      </c>
      <c r="BR489">
        <f t="shared" si="83"/>
        <v>5</v>
      </c>
      <c r="BS489">
        <f t="shared" si="77"/>
        <v>2024</v>
      </c>
      <c r="BT489">
        <v>10</v>
      </c>
      <c r="BU489" t="str">
        <f t="shared" si="78"/>
        <v>2024-5</v>
      </c>
      <c r="BV489">
        <f t="shared" si="79"/>
        <v>2</v>
      </c>
      <c r="BX489" t="s">
        <v>17</v>
      </c>
      <c r="BY489" t="s">
        <v>315</v>
      </c>
      <c r="BZ489">
        <v>55964</v>
      </c>
      <c r="CA489">
        <f t="shared" si="80"/>
        <v>3</v>
      </c>
      <c r="CB489">
        <f t="shared" si="81"/>
        <v>2024</v>
      </c>
      <c r="CC489" t="str">
        <f t="shared" si="82"/>
        <v>2024-3</v>
      </c>
    </row>
    <row r="490" spans="1:81" x14ac:dyDescent="0.25">
      <c r="A490" t="s">
        <v>8</v>
      </c>
      <c r="B490" t="s">
        <v>274</v>
      </c>
      <c r="C490" t="s">
        <v>315</v>
      </c>
      <c r="D490">
        <v>43288</v>
      </c>
      <c r="E490">
        <v>7</v>
      </c>
      <c r="P490" t="s">
        <v>36</v>
      </c>
      <c r="Q490" t="s">
        <v>133</v>
      </c>
      <c r="R490">
        <v>6</v>
      </c>
      <c r="AI490" t="s">
        <v>274</v>
      </c>
      <c r="AJ490">
        <v>43288</v>
      </c>
      <c r="AL490">
        <f>COUNTIF(AI:AI,AK490)</f>
        <v>0</v>
      </c>
      <c r="AM490">
        <f>SUMIF(AI:AI,AK490,AJ:AJ)</f>
        <v>0</v>
      </c>
      <c r="AP490" t="s">
        <v>33</v>
      </c>
      <c r="AQ490" t="s">
        <v>182</v>
      </c>
      <c r="BP490" t="s">
        <v>27</v>
      </c>
      <c r="BQ490" t="s">
        <v>395</v>
      </c>
      <c r="BR490">
        <f t="shared" si="83"/>
        <v>6</v>
      </c>
      <c r="BS490">
        <f t="shared" si="77"/>
        <v>2024</v>
      </c>
      <c r="BT490">
        <v>7</v>
      </c>
      <c r="BU490" t="str">
        <f t="shared" si="78"/>
        <v>2024-6</v>
      </c>
      <c r="BV490">
        <f t="shared" si="79"/>
        <v>1</v>
      </c>
      <c r="BX490" t="s">
        <v>8</v>
      </c>
      <c r="BY490" t="s">
        <v>315</v>
      </c>
      <c r="BZ490">
        <v>43288</v>
      </c>
      <c r="CA490">
        <f t="shared" si="80"/>
        <v>3</v>
      </c>
      <c r="CB490">
        <f t="shared" si="81"/>
        <v>2024</v>
      </c>
      <c r="CC490" t="str">
        <f t="shared" si="82"/>
        <v>2024-3</v>
      </c>
    </row>
    <row r="491" spans="1:81" x14ac:dyDescent="0.25">
      <c r="A491" t="s">
        <v>14</v>
      </c>
      <c r="B491" t="s">
        <v>290</v>
      </c>
      <c r="C491" t="s">
        <v>315</v>
      </c>
      <c r="D491">
        <v>26196</v>
      </c>
      <c r="E491">
        <v>7</v>
      </c>
      <c r="P491" t="s">
        <v>33</v>
      </c>
      <c r="Q491" t="s">
        <v>276</v>
      </c>
      <c r="R491">
        <v>5</v>
      </c>
      <c r="AI491" t="s">
        <v>290</v>
      </c>
      <c r="AJ491">
        <v>26196</v>
      </c>
      <c r="AL491">
        <f>COUNTIF(AI:AI,AK491)</f>
        <v>0</v>
      </c>
      <c r="AM491">
        <f>SUMIF(AI:AI,AK491,AJ:AJ)</f>
        <v>0</v>
      </c>
      <c r="AP491" t="s">
        <v>36</v>
      </c>
      <c r="AQ491" t="s">
        <v>46</v>
      </c>
      <c r="BP491" t="s">
        <v>27</v>
      </c>
      <c r="BQ491" t="s">
        <v>397</v>
      </c>
      <c r="BR491">
        <f t="shared" si="83"/>
        <v>6</v>
      </c>
      <c r="BS491">
        <f t="shared" si="77"/>
        <v>2024</v>
      </c>
      <c r="BT491">
        <v>7</v>
      </c>
      <c r="BU491" t="str">
        <f t="shared" si="78"/>
        <v>2024-6</v>
      </c>
      <c r="BV491">
        <f t="shared" si="79"/>
        <v>1</v>
      </c>
      <c r="BX491" t="s">
        <v>14</v>
      </c>
      <c r="BY491" t="s">
        <v>315</v>
      </c>
      <c r="BZ491">
        <v>26196</v>
      </c>
      <c r="CA491">
        <f t="shared" si="80"/>
        <v>3</v>
      </c>
      <c r="CB491">
        <f t="shared" si="81"/>
        <v>2024</v>
      </c>
      <c r="CC491" t="str">
        <f t="shared" si="82"/>
        <v>2024-3</v>
      </c>
    </row>
    <row r="492" spans="1:81" x14ac:dyDescent="0.25">
      <c r="A492" t="s">
        <v>5</v>
      </c>
      <c r="B492" t="s">
        <v>316</v>
      </c>
      <c r="C492" t="s">
        <v>315</v>
      </c>
      <c r="D492">
        <v>47710</v>
      </c>
      <c r="E492">
        <v>10</v>
      </c>
      <c r="P492" t="s">
        <v>5</v>
      </c>
      <c r="Q492" t="s">
        <v>150</v>
      </c>
      <c r="R492">
        <v>6</v>
      </c>
      <c r="AI492" t="s">
        <v>316</v>
      </c>
      <c r="AJ492">
        <v>47710</v>
      </c>
      <c r="AL492">
        <f>COUNTIF(AI:AI,AK492)</f>
        <v>0</v>
      </c>
      <c r="AM492">
        <f>SUMIF(AI:AI,AK492,AJ:AJ)</f>
        <v>0</v>
      </c>
      <c r="AP492" t="s">
        <v>27</v>
      </c>
      <c r="AQ492" t="s">
        <v>199</v>
      </c>
      <c r="BP492" t="s">
        <v>27</v>
      </c>
      <c r="BQ492" t="s">
        <v>397</v>
      </c>
      <c r="BR492">
        <f t="shared" si="83"/>
        <v>6</v>
      </c>
      <c r="BS492">
        <f t="shared" si="77"/>
        <v>2024</v>
      </c>
      <c r="BT492">
        <v>10</v>
      </c>
      <c r="BU492" t="str">
        <f t="shared" si="78"/>
        <v>2024-6</v>
      </c>
      <c r="BV492">
        <f t="shared" si="79"/>
        <v>2</v>
      </c>
      <c r="BX492" t="s">
        <v>5</v>
      </c>
      <c r="BY492" t="s">
        <v>315</v>
      </c>
      <c r="BZ492">
        <v>47710</v>
      </c>
      <c r="CA492">
        <f t="shared" si="80"/>
        <v>3</v>
      </c>
      <c r="CB492">
        <f t="shared" si="81"/>
        <v>2024</v>
      </c>
      <c r="CC492" t="str">
        <f t="shared" si="82"/>
        <v>2024-3</v>
      </c>
    </row>
    <row r="493" spans="1:81" x14ac:dyDescent="0.25">
      <c r="A493" t="s">
        <v>32</v>
      </c>
      <c r="B493" t="s">
        <v>214</v>
      </c>
      <c r="C493" t="s">
        <v>315</v>
      </c>
      <c r="D493">
        <v>65397</v>
      </c>
      <c r="E493">
        <v>10</v>
      </c>
      <c r="P493" t="s">
        <v>17</v>
      </c>
      <c r="Q493" t="s">
        <v>319</v>
      </c>
      <c r="R493">
        <v>7</v>
      </c>
      <c r="AI493" t="s">
        <v>214</v>
      </c>
      <c r="AJ493">
        <v>65397</v>
      </c>
      <c r="AL493">
        <f>COUNTIF(AI:AI,AK493)</f>
        <v>0</v>
      </c>
      <c r="AM493">
        <f>SUMIF(AI:AI,AK493,AJ:AJ)</f>
        <v>0</v>
      </c>
      <c r="AP493" t="s">
        <v>5</v>
      </c>
      <c r="AQ493" t="s">
        <v>72</v>
      </c>
      <c r="BP493" t="s">
        <v>27</v>
      </c>
      <c r="BQ493" t="s">
        <v>400</v>
      </c>
      <c r="BR493">
        <f t="shared" si="83"/>
        <v>6</v>
      </c>
      <c r="BS493">
        <f t="shared" si="77"/>
        <v>2024</v>
      </c>
      <c r="BT493">
        <v>10</v>
      </c>
      <c r="BU493" t="str">
        <f t="shared" si="78"/>
        <v>2024-6</v>
      </c>
      <c r="BV493">
        <f t="shared" si="79"/>
        <v>2</v>
      </c>
      <c r="BX493" t="s">
        <v>32</v>
      </c>
      <c r="BY493" t="s">
        <v>315</v>
      </c>
      <c r="BZ493">
        <v>65397</v>
      </c>
      <c r="CA493">
        <f t="shared" si="80"/>
        <v>3</v>
      </c>
      <c r="CB493">
        <f t="shared" si="81"/>
        <v>2024</v>
      </c>
      <c r="CC493" t="str">
        <f t="shared" si="82"/>
        <v>2024-3</v>
      </c>
    </row>
    <row r="494" spans="1:81" x14ac:dyDescent="0.25">
      <c r="A494" t="s">
        <v>5</v>
      </c>
      <c r="B494" t="s">
        <v>222</v>
      </c>
      <c r="C494" t="s">
        <v>315</v>
      </c>
      <c r="D494">
        <v>54526</v>
      </c>
      <c r="E494">
        <v>6</v>
      </c>
      <c r="P494" t="s">
        <v>23</v>
      </c>
      <c r="Q494" t="s">
        <v>91</v>
      </c>
      <c r="R494">
        <v>9</v>
      </c>
      <c r="AI494" t="s">
        <v>222</v>
      </c>
      <c r="AJ494">
        <v>54526</v>
      </c>
      <c r="AL494">
        <f>COUNTIF(AI:AI,AK494)</f>
        <v>0</v>
      </c>
      <c r="AM494">
        <f>SUMIF(AI:AI,AK494,AJ:AJ)</f>
        <v>0</v>
      </c>
      <c r="AP494" t="s">
        <v>12</v>
      </c>
      <c r="AQ494" t="s">
        <v>75</v>
      </c>
      <c r="BP494" t="s">
        <v>27</v>
      </c>
      <c r="BQ494" t="s">
        <v>407</v>
      </c>
      <c r="BR494">
        <f t="shared" si="83"/>
        <v>6</v>
      </c>
      <c r="BS494">
        <f t="shared" si="77"/>
        <v>2024</v>
      </c>
      <c r="BT494">
        <v>6</v>
      </c>
      <c r="BU494" t="str">
        <f t="shared" si="78"/>
        <v>2024-6</v>
      </c>
      <c r="BV494">
        <f t="shared" si="79"/>
        <v>0</v>
      </c>
      <c r="BX494" t="s">
        <v>5</v>
      </c>
      <c r="BY494" t="s">
        <v>315</v>
      </c>
      <c r="BZ494">
        <v>54526</v>
      </c>
      <c r="CA494">
        <f t="shared" si="80"/>
        <v>3</v>
      </c>
      <c r="CB494">
        <f t="shared" si="81"/>
        <v>2024</v>
      </c>
      <c r="CC494" t="str">
        <f t="shared" si="82"/>
        <v>2024-3</v>
      </c>
    </row>
    <row r="495" spans="1:81" x14ac:dyDescent="0.25">
      <c r="A495" t="s">
        <v>36</v>
      </c>
      <c r="B495" t="s">
        <v>133</v>
      </c>
      <c r="C495" t="s">
        <v>317</v>
      </c>
      <c r="D495">
        <v>54634</v>
      </c>
      <c r="E495">
        <v>6</v>
      </c>
      <c r="P495" t="s">
        <v>10</v>
      </c>
      <c r="Q495" t="s">
        <v>303</v>
      </c>
      <c r="R495">
        <v>8</v>
      </c>
      <c r="AI495" t="s">
        <v>133</v>
      </c>
      <c r="AJ495">
        <v>54634</v>
      </c>
      <c r="AL495">
        <f>COUNTIF(AI:AI,AK495)</f>
        <v>0</v>
      </c>
      <c r="AM495">
        <f>SUMIF(AI:AI,AK495,AJ:AJ)</f>
        <v>0</v>
      </c>
      <c r="AP495" t="s">
        <v>14</v>
      </c>
      <c r="AQ495" t="s">
        <v>276</v>
      </c>
      <c r="BP495" t="s">
        <v>27</v>
      </c>
      <c r="BQ495" t="s">
        <v>414</v>
      </c>
      <c r="BR495">
        <f t="shared" si="83"/>
        <v>7</v>
      </c>
      <c r="BS495">
        <f t="shared" si="77"/>
        <v>2024</v>
      </c>
      <c r="BT495">
        <v>6</v>
      </c>
      <c r="BU495" t="str">
        <f t="shared" si="78"/>
        <v>2024-7</v>
      </c>
      <c r="BV495">
        <f t="shared" si="79"/>
        <v>0</v>
      </c>
      <c r="BX495" t="s">
        <v>36</v>
      </c>
      <c r="BY495" t="s">
        <v>317</v>
      </c>
      <c r="BZ495">
        <v>54634</v>
      </c>
      <c r="CA495">
        <f t="shared" si="80"/>
        <v>3</v>
      </c>
      <c r="CB495">
        <f t="shared" si="81"/>
        <v>2024</v>
      </c>
      <c r="CC495" t="str">
        <f t="shared" si="82"/>
        <v>2024-3</v>
      </c>
    </row>
    <row r="496" spans="1:81" x14ac:dyDescent="0.25">
      <c r="A496" t="s">
        <v>33</v>
      </c>
      <c r="B496" t="s">
        <v>276</v>
      </c>
      <c r="C496" t="s">
        <v>317</v>
      </c>
      <c r="D496">
        <v>32501</v>
      </c>
      <c r="E496">
        <v>5</v>
      </c>
      <c r="P496" t="s">
        <v>23</v>
      </c>
      <c r="Q496" t="s">
        <v>196</v>
      </c>
      <c r="R496">
        <v>2</v>
      </c>
      <c r="AI496" t="s">
        <v>276</v>
      </c>
      <c r="AJ496">
        <v>32501</v>
      </c>
      <c r="AL496">
        <f>COUNTIF(AI:AI,AK496)</f>
        <v>0</v>
      </c>
      <c r="AM496">
        <f>SUMIF(AI:AI,AK496,AJ:AJ)</f>
        <v>0</v>
      </c>
      <c r="AP496" t="s">
        <v>5</v>
      </c>
      <c r="AQ496" t="s">
        <v>87</v>
      </c>
      <c r="BP496" t="s">
        <v>27</v>
      </c>
      <c r="BQ496" t="s">
        <v>414</v>
      </c>
      <c r="BR496">
        <f t="shared" si="83"/>
        <v>7</v>
      </c>
      <c r="BS496">
        <f t="shared" si="77"/>
        <v>2024</v>
      </c>
      <c r="BT496">
        <v>5</v>
      </c>
      <c r="BU496" t="str">
        <f t="shared" si="78"/>
        <v>2024-7</v>
      </c>
      <c r="BV496">
        <f t="shared" si="79"/>
        <v>0</v>
      </c>
      <c r="BX496" t="s">
        <v>33</v>
      </c>
      <c r="BY496" t="s">
        <v>317</v>
      </c>
      <c r="BZ496">
        <v>32501</v>
      </c>
      <c r="CA496">
        <f t="shared" si="80"/>
        <v>3</v>
      </c>
      <c r="CB496">
        <f t="shared" si="81"/>
        <v>2024</v>
      </c>
      <c r="CC496" t="str">
        <f t="shared" si="82"/>
        <v>2024-3</v>
      </c>
    </row>
    <row r="497" spans="1:81" x14ac:dyDescent="0.25">
      <c r="A497" t="s">
        <v>5</v>
      </c>
      <c r="B497" t="s">
        <v>150</v>
      </c>
      <c r="C497" t="s">
        <v>318</v>
      </c>
      <c r="D497">
        <v>54946</v>
      </c>
      <c r="E497">
        <v>6</v>
      </c>
      <c r="P497" t="s">
        <v>23</v>
      </c>
      <c r="Q497" t="s">
        <v>197</v>
      </c>
      <c r="R497">
        <v>3</v>
      </c>
      <c r="AI497" t="s">
        <v>150</v>
      </c>
      <c r="AJ497">
        <v>54946</v>
      </c>
      <c r="AL497">
        <f>COUNTIF(AI:AI,AK497)</f>
        <v>0</v>
      </c>
      <c r="AM497">
        <f>SUMIF(AI:AI,AK497,AJ:AJ)</f>
        <v>0</v>
      </c>
      <c r="AP497" t="s">
        <v>36</v>
      </c>
      <c r="AQ497" t="s">
        <v>334</v>
      </c>
      <c r="BP497" t="s">
        <v>27</v>
      </c>
      <c r="BQ497" t="s">
        <v>414</v>
      </c>
      <c r="BR497">
        <f t="shared" si="83"/>
        <v>7</v>
      </c>
      <c r="BS497">
        <f t="shared" si="77"/>
        <v>2024</v>
      </c>
      <c r="BT497">
        <v>6</v>
      </c>
      <c r="BU497" t="str">
        <f t="shared" si="78"/>
        <v>2024-7</v>
      </c>
      <c r="BV497">
        <f t="shared" si="79"/>
        <v>0</v>
      </c>
      <c r="BX497" t="s">
        <v>5</v>
      </c>
      <c r="BY497" t="s">
        <v>318</v>
      </c>
      <c r="BZ497">
        <v>54946</v>
      </c>
      <c r="CA497">
        <f t="shared" si="80"/>
        <v>3</v>
      </c>
      <c r="CB497">
        <f t="shared" si="81"/>
        <v>2024</v>
      </c>
      <c r="CC497" t="str">
        <f t="shared" si="82"/>
        <v>2024-3</v>
      </c>
    </row>
    <row r="498" spans="1:81" x14ac:dyDescent="0.25">
      <c r="A498" t="s">
        <v>17</v>
      </c>
      <c r="B498" t="s">
        <v>319</v>
      </c>
      <c r="C498" t="s">
        <v>318</v>
      </c>
      <c r="D498">
        <v>96206</v>
      </c>
      <c r="E498">
        <v>7</v>
      </c>
      <c r="P498" t="s">
        <v>20</v>
      </c>
      <c r="Q498" t="s">
        <v>19</v>
      </c>
      <c r="R498">
        <v>5</v>
      </c>
      <c r="AI498" t="s">
        <v>319</v>
      </c>
      <c r="AJ498">
        <v>96206</v>
      </c>
      <c r="AL498">
        <f>COUNTIF(AI:AI,AK498)</f>
        <v>0</v>
      </c>
      <c r="AM498">
        <f>SUMIF(AI:AI,AK498,AJ:AJ)</f>
        <v>0</v>
      </c>
      <c r="AP498" t="s">
        <v>10</v>
      </c>
      <c r="AQ498" t="s">
        <v>245</v>
      </c>
      <c r="BP498" t="s">
        <v>27</v>
      </c>
      <c r="BQ498" t="s">
        <v>422</v>
      </c>
      <c r="BR498">
        <f t="shared" si="83"/>
        <v>7</v>
      </c>
      <c r="BS498">
        <f t="shared" si="77"/>
        <v>2024</v>
      </c>
      <c r="BT498">
        <v>7</v>
      </c>
      <c r="BU498" t="str">
        <f t="shared" si="78"/>
        <v>2024-7</v>
      </c>
      <c r="BV498">
        <f t="shared" si="79"/>
        <v>1</v>
      </c>
      <c r="BX498" t="s">
        <v>17</v>
      </c>
      <c r="BY498" t="s">
        <v>318</v>
      </c>
      <c r="BZ498">
        <v>96206</v>
      </c>
      <c r="CA498">
        <f t="shared" si="80"/>
        <v>3</v>
      </c>
      <c r="CB498">
        <f t="shared" si="81"/>
        <v>2024</v>
      </c>
      <c r="CC498" t="str">
        <f t="shared" si="82"/>
        <v>2024-3</v>
      </c>
    </row>
    <row r="499" spans="1:81" x14ac:dyDescent="0.25">
      <c r="A499" t="s">
        <v>23</v>
      </c>
      <c r="B499" t="s">
        <v>91</v>
      </c>
      <c r="C499" t="s">
        <v>318</v>
      </c>
      <c r="D499">
        <v>77642</v>
      </c>
      <c r="E499">
        <v>9</v>
      </c>
      <c r="P499" t="s">
        <v>5</v>
      </c>
      <c r="Q499" t="s">
        <v>147</v>
      </c>
      <c r="R499">
        <v>5</v>
      </c>
      <c r="AI499" t="s">
        <v>91</v>
      </c>
      <c r="AJ499">
        <v>77642</v>
      </c>
      <c r="AL499">
        <f>COUNTIF(AI:AI,AK499)</f>
        <v>0</v>
      </c>
      <c r="AM499">
        <f>SUMIF(AI:AI,AK499,AJ:AJ)</f>
        <v>0</v>
      </c>
      <c r="AP499" t="s">
        <v>5</v>
      </c>
      <c r="AQ499" t="s">
        <v>241</v>
      </c>
      <c r="BP499" t="s">
        <v>27</v>
      </c>
      <c r="BQ499" t="s">
        <v>423</v>
      </c>
      <c r="BR499">
        <f t="shared" si="83"/>
        <v>7</v>
      </c>
      <c r="BS499">
        <f t="shared" si="77"/>
        <v>2024</v>
      </c>
      <c r="BT499">
        <v>9</v>
      </c>
      <c r="BU499" t="str">
        <f t="shared" si="78"/>
        <v>2024-7</v>
      </c>
      <c r="BV499">
        <f t="shared" si="79"/>
        <v>2</v>
      </c>
      <c r="BX499" t="s">
        <v>23</v>
      </c>
      <c r="BY499" t="s">
        <v>318</v>
      </c>
      <c r="BZ499">
        <v>77642</v>
      </c>
      <c r="CA499">
        <f t="shared" si="80"/>
        <v>3</v>
      </c>
      <c r="CB499">
        <f t="shared" si="81"/>
        <v>2024</v>
      </c>
      <c r="CC499" t="str">
        <f t="shared" si="82"/>
        <v>2024-3</v>
      </c>
    </row>
    <row r="500" spans="1:81" x14ac:dyDescent="0.25">
      <c r="A500" t="s">
        <v>10</v>
      </c>
      <c r="B500" t="s">
        <v>303</v>
      </c>
      <c r="C500" t="s">
        <v>318</v>
      </c>
      <c r="D500">
        <v>29176</v>
      </c>
      <c r="E500">
        <v>8</v>
      </c>
      <c r="P500" t="s">
        <v>8</v>
      </c>
      <c r="Q500" t="s">
        <v>269</v>
      </c>
      <c r="R500">
        <v>8</v>
      </c>
      <c r="AI500" t="s">
        <v>303</v>
      </c>
      <c r="AJ500">
        <v>29176</v>
      </c>
      <c r="AL500">
        <f>COUNTIF(AI:AI,AK500)</f>
        <v>0</v>
      </c>
      <c r="AM500">
        <f>SUMIF(AI:AI,AK500,AJ:AJ)</f>
        <v>0</v>
      </c>
      <c r="AP500" t="s">
        <v>10</v>
      </c>
      <c r="AQ500" t="s">
        <v>336</v>
      </c>
      <c r="BP500" t="s">
        <v>27</v>
      </c>
      <c r="BQ500" t="s">
        <v>424</v>
      </c>
      <c r="BR500">
        <f t="shared" si="83"/>
        <v>7</v>
      </c>
      <c r="BS500">
        <f t="shared" si="77"/>
        <v>2024</v>
      </c>
      <c r="BT500">
        <v>8</v>
      </c>
      <c r="BU500" t="str">
        <f t="shared" si="78"/>
        <v>2024-7</v>
      </c>
      <c r="BV500">
        <f t="shared" si="79"/>
        <v>1</v>
      </c>
      <c r="BX500" t="s">
        <v>10</v>
      </c>
      <c r="BY500" t="s">
        <v>318</v>
      </c>
      <c r="BZ500">
        <v>29176</v>
      </c>
      <c r="CA500">
        <f t="shared" si="80"/>
        <v>3</v>
      </c>
      <c r="CB500">
        <f t="shared" si="81"/>
        <v>2024</v>
      </c>
      <c r="CC500" t="str">
        <f t="shared" si="82"/>
        <v>2024-3</v>
      </c>
    </row>
    <row r="501" spans="1:81" x14ac:dyDescent="0.25">
      <c r="A501" t="s">
        <v>23</v>
      </c>
      <c r="B501" t="s">
        <v>196</v>
      </c>
      <c r="C501" t="s">
        <v>320</v>
      </c>
      <c r="D501">
        <v>97998</v>
      </c>
      <c r="E501">
        <v>2</v>
      </c>
      <c r="P501" t="s">
        <v>20</v>
      </c>
      <c r="Q501" t="s">
        <v>254</v>
      </c>
      <c r="R501">
        <v>6</v>
      </c>
      <c r="AI501" t="s">
        <v>196</v>
      </c>
      <c r="AJ501">
        <v>97998</v>
      </c>
      <c r="AL501">
        <f>COUNTIF(AI:AI,AK501)</f>
        <v>0</v>
      </c>
      <c r="AM501">
        <f>SUMIF(AI:AI,AK501,AJ:AJ)</f>
        <v>0</v>
      </c>
      <c r="AP501" t="s">
        <v>5</v>
      </c>
      <c r="AQ501" t="s">
        <v>47</v>
      </c>
      <c r="BP501" t="s">
        <v>27</v>
      </c>
      <c r="BQ501" t="s">
        <v>425</v>
      </c>
      <c r="BR501">
        <f t="shared" si="83"/>
        <v>7</v>
      </c>
      <c r="BS501">
        <f t="shared" si="77"/>
        <v>2024</v>
      </c>
      <c r="BT501">
        <v>2</v>
      </c>
      <c r="BU501" t="str">
        <f t="shared" si="78"/>
        <v>2024-7</v>
      </c>
      <c r="BV501">
        <f t="shared" si="79"/>
        <v>0</v>
      </c>
      <c r="BX501" t="s">
        <v>23</v>
      </c>
      <c r="BY501" t="s">
        <v>320</v>
      </c>
      <c r="BZ501">
        <v>97998</v>
      </c>
      <c r="CA501">
        <f t="shared" si="80"/>
        <v>3</v>
      </c>
      <c r="CB501">
        <f t="shared" si="81"/>
        <v>2024</v>
      </c>
      <c r="CC501" t="str">
        <f t="shared" si="82"/>
        <v>2024-3</v>
      </c>
    </row>
    <row r="502" spans="1:81" x14ac:dyDescent="0.25">
      <c r="A502" t="s">
        <v>23</v>
      </c>
      <c r="B502" t="s">
        <v>197</v>
      </c>
      <c r="C502" t="s">
        <v>320</v>
      </c>
      <c r="D502">
        <v>63014</v>
      </c>
      <c r="E502">
        <v>3</v>
      </c>
      <c r="P502" t="s">
        <v>20</v>
      </c>
      <c r="Q502" t="s">
        <v>98</v>
      </c>
      <c r="R502">
        <v>2</v>
      </c>
      <c r="AI502" t="s">
        <v>197</v>
      </c>
      <c r="AJ502">
        <v>63014</v>
      </c>
      <c r="AL502">
        <f>COUNTIF(AI:AI,AK502)</f>
        <v>0</v>
      </c>
      <c r="AM502">
        <f>SUMIF(AI:AI,AK502,AJ:AJ)</f>
        <v>0</v>
      </c>
      <c r="AP502" t="s">
        <v>33</v>
      </c>
      <c r="AQ502" t="s">
        <v>188</v>
      </c>
      <c r="BP502" t="s">
        <v>27</v>
      </c>
      <c r="BQ502" t="s">
        <v>431</v>
      </c>
      <c r="BR502">
        <f t="shared" si="83"/>
        <v>8</v>
      </c>
      <c r="BS502">
        <f t="shared" si="77"/>
        <v>2024</v>
      </c>
      <c r="BT502">
        <v>3</v>
      </c>
      <c r="BU502" t="str">
        <f t="shared" si="78"/>
        <v>2024-8</v>
      </c>
      <c r="BV502">
        <f t="shared" si="79"/>
        <v>0</v>
      </c>
      <c r="BX502" t="s">
        <v>23</v>
      </c>
      <c r="BY502" t="s">
        <v>320</v>
      </c>
      <c r="BZ502">
        <v>63014</v>
      </c>
      <c r="CA502">
        <f t="shared" si="80"/>
        <v>3</v>
      </c>
      <c r="CB502">
        <f t="shared" si="81"/>
        <v>2024</v>
      </c>
      <c r="CC502" t="str">
        <f t="shared" si="82"/>
        <v>2024-3</v>
      </c>
    </row>
    <row r="503" spans="1:81" x14ac:dyDescent="0.25">
      <c r="A503" t="s">
        <v>20</v>
      </c>
      <c r="B503" t="s">
        <v>19</v>
      </c>
      <c r="C503" t="s">
        <v>321</v>
      </c>
      <c r="D503">
        <v>74047</v>
      </c>
      <c r="E503">
        <v>5</v>
      </c>
      <c r="P503" t="s">
        <v>36</v>
      </c>
      <c r="Q503" t="s">
        <v>48</v>
      </c>
      <c r="R503">
        <v>6</v>
      </c>
      <c r="AI503" t="s">
        <v>19</v>
      </c>
      <c r="AJ503">
        <v>74047</v>
      </c>
      <c r="AL503">
        <f>COUNTIF(AI:AI,AK503)</f>
        <v>0</v>
      </c>
      <c r="AM503">
        <f>SUMIF(AI:AI,AK503,AJ:AJ)</f>
        <v>0</v>
      </c>
      <c r="AP503" t="s">
        <v>23</v>
      </c>
      <c r="AQ503" t="s">
        <v>84</v>
      </c>
      <c r="BP503" t="s">
        <v>27</v>
      </c>
      <c r="BQ503" t="s">
        <v>431</v>
      </c>
      <c r="BR503">
        <f t="shared" si="83"/>
        <v>8</v>
      </c>
      <c r="BS503">
        <f t="shared" si="77"/>
        <v>2024</v>
      </c>
      <c r="BT503">
        <v>5</v>
      </c>
      <c r="BU503" t="str">
        <f t="shared" si="78"/>
        <v>2024-8</v>
      </c>
      <c r="BV503">
        <f t="shared" si="79"/>
        <v>0</v>
      </c>
      <c r="BX503" t="s">
        <v>20</v>
      </c>
      <c r="BY503" t="s">
        <v>321</v>
      </c>
      <c r="BZ503">
        <v>74047</v>
      </c>
      <c r="CA503">
        <f t="shared" si="80"/>
        <v>3</v>
      </c>
      <c r="CB503">
        <f t="shared" si="81"/>
        <v>2024</v>
      </c>
      <c r="CC503" t="str">
        <f t="shared" si="82"/>
        <v>2024-3</v>
      </c>
    </row>
    <row r="504" spans="1:81" x14ac:dyDescent="0.25">
      <c r="A504" t="s">
        <v>5</v>
      </c>
      <c r="B504" t="s">
        <v>147</v>
      </c>
      <c r="C504" t="s">
        <v>321</v>
      </c>
      <c r="D504">
        <v>73749</v>
      </c>
      <c r="E504">
        <v>5</v>
      </c>
      <c r="P504" t="s">
        <v>17</v>
      </c>
      <c r="Q504" t="s">
        <v>294</v>
      </c>
      <c r="R504">
        <v>2</v>
      </c>
      <c r="AI504" t="s">
        <v>147</v>
      </c>
      <c r="AJ504">
        <v>73749</v>
      </c>
      <c r="AL504">
        <f>COUNTIF(AI:AI,AK504)</f>
        <v>0</v>
      </c>
      <c r="AM504">
        <f>SUMIF(AI:AI,AK504,AJ:AJ)</f>
        <v>0</v>
      </c>
      <c r="AP504" t="s">
        <v>5</v>
      </c>
      <c r="AQ504" t="s">
        <v>101</v>
      </c>
      <c r="BP504" t="s">
        <v>27</v>
      </c>
      <c r="BQ504" t="s">
        <v>436</v>
      </c>
      <c r="BR504">
        <f t="shared" si="83"/>
        <v>8</v>
      </c>
      <c r="BS504">
        <f t="shared" si="77"/>
        <v>2024</v>
      </c>
      <c r="BT504">
        <v>5</v>
      </c>
      <c r="BU504" t="str">
        <f t="shared" si="78"/>
        <v>2024-8</v>
      </c>
      <c r="BV504">
        <f t="shared" si="79"/>
        <v>0</v>
      </c>
      <c r="BX504" t="s">
        <v>5</v>
      </c>
      <c r="BY504" t="s">
        <v>321</v>
      </c>
      <c r="BZ504">
        <v>73749</v>
      </c>
      <c r="CA504">
        <f t="shared" si="80"/>
        <v>3</v>
      </c>
      <c r="CB504">
        <f t="shared" si="81"/>
        <v>2024</v>
      </c>
      <c r="CC504" t="str">
        <f t="shared" si="82"/>
        <v>2024-3</v>
      </c>
    </row>
    <row r="505" spans="1:81" x14ac:dyDescent="0.25">
      <c r="A505" t="s">
        <v>8</v>
      </c>
      <c r="B505" t="s">
        <v>269</v>
      </c>
      <c r="C505" t="s">
        <v>321</v>
      </c>
      <c r="D505">
        <v>71847</v>
      </c>
      <c r="E505">
        <v>8</v>
      </c>
      <c r="P505" t="s">
        <v>20</v>
      </c>
      <c r="Q505" t="s">
        <v>120</v>
      </c>
      <c r="R505">
        <v>7</v>
      </c>
      <c r="AI505" t="s">
        <v>269</v>
      </c>
      <c r="AJ505">
        <v>71847</v>
      </c>
      <c r="AL505">
        <f>COUNTIF(AI:AI,AK505)</f>
        <v>0</v>
      </c>
      <c r="AM505">
        <f>SUMIF(AI:AI,AK505,AJ:AJ)</f>
        <v>0</v>
      </c>
      <c r="AP505" t="s">
        <v>10</v>
      </c>
      <c r="AQ505" t="s">
        <v>341</v>
      </c>
      <c r="BP505" t="s">
        <v>27</v>
      </c>
      <c r="BQ505" t="s">
        <v>441</v>
      </c>
      <c r="BR505">
        <f t="shared" si="83"/>
        <v>8</v>
      </c>
      <c r="BS505">
        <f t="shared" si="77"/>
        <v>2024</v>
      </c>
      <c r="BT505">
        <v>8</v>
      </c>
      <c r="BU505" t="str">
        <f t="shared" si="78"/>
        <v>2024-8</v>
      </c>
      <c r="BV505">
        <f t="shared" si="79"/>
        <v>1</v>
      </c>
      <c r="BX505" t="s">
        <v>8</v>
      </c>
      <c r="BY505" t="s">
        <v>321</v>
      </c>
      <c r="BZ505">
        <v>71847</v>
      </c>
      <c r="CA505">
        <f t="shared" si="80"/>
        <v>3</v>
      </c>
      <c r="CB505">
        <f t="shared" si="81"/>
        <v>2024</v>
      </c>
      <c r="CC505" t="str">
        <f t="shared" si="82"/>
        <v>2024-3</v>
      </c>
    </row>
    <row r="506" spans="1:81" x14ac:dyDescent="0.25">
      <c r="A506" t="s">
        <v>20</v>
      </c>
      <c r="B506" t="s">
        <v>254</v>
      </c>
      <c r="C506" t="s">
        <v>321</v>
      </c>
      <c r="D506">
        <v>51955</v>
      </c>
      <c r="E506">
        <v>6</v>
      </c>
      <c r="P506" t="s">
        <v>5</v>
      </c>
      <c r="Q506" t="s">
        <v>30</v>
      </c>
      <c r="R506">
        <v>7</v>
      </c>
      <c r="AI506" t="s">
        <v>254</v>
      </c>
      <c r="AJ506">
        <v>51955</v>
      </c>
      <c r="AL506">
        <f>COUNTIF(AI:AI,AK506)</f>
        <v>0</v>
      </c>
      <c r="AM506">
        <f>SUMIF(AI:AI,AK506,AJ:AJ)</f>
        <v>0</v>
      </c>
      <c r="AP506" t="s">
        <v>33</v>
      </c>
      <c r="AQ506" t="s">
        <v>79</v>
      </c>
      <c r="BP506" t="s">
        <v>27</v>
      </c>
      <c r="BQ506" t="s">
        <v>443</v>
      </c>
      <c r="BR506">
        <f t="shared" si="83"/>
        <v>8</v>
      </c>
      <c r="BS506">
        <f t="shared" si="77"/>
        <v>2024</v>
      </c>
      <c r="BT506">
        <v>6</v>
      </c>
      <c r="BU506" t="str">
        <f t="shared" si="78"/>
        <v>2024-8</v>
      </c>
      <c r="BV506">
        <f t="shared" si="79"/>
        <v>0</v>
      </c>
      <c r="BX506" t="s">
        <v>20</v>
      </c>
      <c r="BY506" t="s">
        <v>321</v>
      </c>
      <c r="BZ506">
        <v>51955</v>
      </c>
      <c r="CA506">
        <f t="shared" si="80"/>
        <v>3</v>
      </c>
      <c r="CB506">
        <f t="shared" si="81"/>
        <v>2024</v>
      </c>
      <c r="CC506" t="str">
        <f t="shared" si="82"/>
        <v>2024-3</v>
      </c>
    </row>
    <row r="507" spans="1:81" x14ac:dyDescent="0.25">
      <c r="A507" t="s">
        <v>32</v>
      </c>
      <c r="B507" t="s">
        <v>60</v>
      </c>
      <c r="C507" t="s">
        <v>321</v>
      </c>
      <c r="D507">
        <v>55831</v>
      </c>
      <c r="E507">
        <v>3</v>
      </c>
      <c r="P507" t="s">
        <v>23</v>
      </c>
      <c r="Q507" t="s">
        <v>256</v>
      </c>
      <c r="R507">
        <v>7</v>
      </c>
      <c r="AI507" t="s">
        <v>60</v>
      </c>
      <c r="AJ507">
        <v>55831</v>
      </c>
      <c r="AL507">
        <f>COUNTIF(AI:AI,AK507)</f>
        <v>0</v>
      </c>
      <c r="AM507">
        <f>SUMIF(AI:AI,AK507,AJ:AJ)</f>
        <v>0</v>
      </c>
      <c r="AP507" t="s">
        <v>32</v>
      </c>
      <c r="AQ507" t="s">
        <v>81</v>
      </c>
      <c r="BP507" t="s">
        <v>27</v>
      </c>
      <c r="BQ507" t="s">
        <v>443</v>
      </c>
      <c r="BR507">
        <f t="shared" si="83"/>
        <v>8</v>
      </c>
      <c r="BS507">
        <f t="shared" si="77"/>
        <v>2024</v>
      </c>
      <c r="BT507">
        <v>3</v>
      </c>
      <c r="BU507" t="str">
        <f t="shared" si="78"/>
        <v>2024-8</v>
      </c>
      <c r="BV507">
        <f t="shared" si="79"/>
        <v>0</v>
      </c>
      <c r="BX507" t="s">
        <v>32</v>
      </c>
      <c r="BY507" t="s">
        <v>321</v>
      </c>
      <c r="BZ507">
        <v>55831</v>
      </c>
      <c r="CA507">
        <f t="shared" si="80"/>
        <v>3</v>
      </c>
      <c r="CB507">
        <f t="shared" si="81"/>
        <v>2024</v>
      </c>
      <c r="CC507" t="str">
        <f t="shared" si="82"/>
        <v>2024-3</v>
      </c>
    </row>
    <row r="508" spans="1:81" x14ac:dyDescent="0.25">
      <c r="A508" t="s">
        <v>20</v>
      </c>
      <c r="B508" t="s">
        <v>98</v>
      </c>
      <c r="C508" t="s">
        <v>321</v>
      </c>
      <c r="D508">
        <v>97630</v>
      </c>
      <c r="E508">
        <v>2</v>
      </c>
      <c r="P508" t="s">
        <v>10</v>
      </c>
      <c r="Q508" t="s">
        <v>132</v>
      </c>
      <c r="R508">
        <v>7</v>
      </c>
      <c r="AI508" t="s">
        <v>98</v>
      </c>
      <c r="AJ508">
        <v>97630</v>
      </c>
      <c r="AL508">
        <f>COUNTIF(AI:AI,AK508)</f>
        <v>0</v>
      </c>
      <c r="AM508">
        <f>SUMIF(AI:AI,AK508,AJ:AJ)</f>
        <v>0</v>
      </c>
      <c r="AP508" t="s">
        <v>32</v>
      </c>
      <c r="AQ508" t="s">
        <v>22</v>
      </c>
      <c r="BP508" t="s">
        <v>27</v>
      </c>
      <c r="BQ508" t="s">
        <v>443</v>
      </c>
      <c r="BR508">
        <f t="shared" si="83"/>
        <v>8</v>
      </c>
      <c r="BS508">
        <f t="shared" si="77"/>
        <v>2024</v>
      </c>
      <c r="BT508">
        <v>2</v>
      </c>
      <c r="BU508" t="str">
        <f t="shared" si="78"/>
        <v>2024-8</v>
      </c>
      <c r="BV508">
        <f t="shared" si="79"/>
        <v>0</v>
      </c>
      <c r="BX508" t="s">
        <v>20</v>
      </c>
      <c r="BY508" t="s">
        <v>321</v>
      </c>
      <c r="BZ508">
        <v>97630</v>
      </c>
      <c r="CA508">
        <f t="shared" si="80"/>
        <v>3</v>
      </c>
      <c r="CB508">
        <f t="shared" si="81"/>
        <v>2024</v>
      </c>
      <c r="CC508" t="str">
        <f t="shared" si="82"/>
        <v>2024-3</v>
      </c>
    </row>
    <row r="509" spans="1:81" x14ac:dyDescent="0.25">
      <c r="A509" t="s">
        <v>36</v>
      </c>
      <c r="B509" t="s">
        <v>48</v>
      </c>
      <c r="C509" t="s">
        <v>321</v>
      </c>
      <c r="D509">
        <v>36362</v>
      </c>
      <c r="E509">
        <v>6</v>
      </c>
      <c r="P509" t="s">
        <v>8</v>
      </c>
      <c r="Q509" t="s">
        <v>22</v>
      </c>
      <c r="R509">
        <v>7</v>
      </c>
      <c r="AI509" t="s">
        <v>48</v>
      </c>
      <c r="AJ509">
        <v>36362</v>
      </c>
      <c r="AL509">
        <f>COUNTIF(AI:AI,AK509)</f>
        <v>0</v>
      </c>
      <c r="AM509">
        <f>SUMIF(AI:AI,AK509,AJ:AJ)</f>
        <v>0</v>
      </c>
      <c r="AP509" t="s">
        <v>27</v>
      </c>
      <c r="AQ509" t="s">
        <v>101</v>
      </c>
      <c r="BP509" t="s">
        <v>27</v>
      </c>
      <c r="BQ509" t="s">
        <v>448</v>
      </c>
      <c r="BR509">
        <f t="shared" si="83"/>
        <v>8</v>
      </c>
      <c r="BS509">
        <f t="shared" si="77"/>
        <v>2024</v>
      </c>
      <c r="BT509">
        <v>6</v>
      </c>
      <c r="BU509" t="str">
        <f t="shared" si="78"/>
        <v>2024-8</v>
      </c>
      <c r="BV509">
        <f t="shared" si="79"/>
        <v>0</v>
      </c>
      <c r="BX509" t="s">
        <v>36</v>
      </c>
      <c r="BY509" t="s">
        <v>321</v>
      </c>
      <c r="BZ509">
        <v>36362</v>
      </c>
      <c r="CA509">
        <f t="shared" si="80"/>
        <v>3</v>
      </c>
      <c r="CB509">
        <f t="shared" si="81"/>
        <v>2024</v>
      </c>
      <c r="CC509" t="str">
        <f t="shared" si="82"/>
        <v>2024-3</v>
      </c>
    </row>
    <row r="510" spans="1:81" x14ac:dyDescent="0.25">
      <c r="A510" t="s">
        <v>17</v>
      </c>
      <c r="B510" t="s">
        <v>294</v>
      </c>
      <c r="C510" t="s">
        <v>321</v>
      </c>
      <c r="D510">
        <v>45832</v>
      </c>
      <c r="E510">
        <v>2</v>
      </c>
      <c r="P510" t="s">
        <v>32</v>
      </c>
      <c r="Q510" t="s">
        <v>70</v>
      </c>
      <c r="R510">
        <v>10</v>
      </c>
      <c r="AI510" t="s">
        <v>294</v>
      </c>
      <c r="AJ510">
        <v>45832</v>
      </c>
      <c r="AL510">
        <f>COUNTIF(AI:AI,AK510)</f>
        <v>0</v>
      </c>
      <c r="AM510">
        <f>SUMIF(AI:AI,AK510,AJ:AJ)</f>
        <v>0</v>
      </c>
      <c r="AP510" t="s">
        <v>8</v>
      </c>
      <c r="AQ510" t="s">
        <v>24</v>
      </c>
      <c r="BP510" t="s">
        <v>5</v>
      </c>
      <c r="BQ510" t="s">
        <v>7</v>
      </c>
      <c r="BR510">
        <f t="shared" si="83"/>
        <v>9</v>
      </c>
      <c r="BS510">
        <f t="shared" si="77"/>
        <v>2023</v>
      </c>
      <c r="BT510">
        <v>2</v>
      </c>
      <c r="BU510" t="str">
        <f t="shared" si="78"/>
        <v>2023-9</v>
      </c>
      <c r="BV510">
        <f t="shared" si="79"/>
        <v>0</v>
      </c>
      <c r="BX510" t="s">
        <v>17</v>
      </c>
      <c r="BY510" t="s">
        <v>321</v>
      </c>
      <c r="BZ510">
        <v>45832</v>
      </c>
      <c r="CA510">
        <f t="shared" si="80"/>
        <v>3</v>
      </c>
      <c r="CB510">
        <f t="shared" si="81"/>
        <v>2024</v>
      </c>
      <c r="CC510" t="str">
        <f t="shared" si="82"/>
        <v>2024-3</v>
      </c>
    </row>
    <row r="511" spans="1:81" x14ac:dyDescent="0.25">
      <c r="A511" t="s">
        <v>20</v>
      </c>
      <c r="B511" t="s">
        <v>120</v>
      </c>
      <c r="C511" t="s">
        <v>322</v>
      </c>
      <c r="D511">
        <v>76421</v>
      </c>
      <c r="E511">
        <v>7</v>
      </c>
      <c r="P511" t="s">
        <v>32</v>
      </c>
      <c r="Q511" t="s">
        <v>116</v>
      </c>
      <c r="R511">
        <v>10</v>
      </c>
      <c r="AI511" t="s">
        <v>120</v>
      </c>
      <c r="AJ511">
        <v>76421</v>
      </c>
      <c r="AL511">
        <f>COUNTIF(AI:AI,AK511)</f>
        <v>0</v>
      </c>
      <c r="AM511">
        <f>SUMIF(AI:AI,AK511,AJ:AJ)</f>
        <v>0</v>
      </c>
      <c r="AP511" t="s">
        <v>20</v>
      </c>
      <c r="AQ511" t="s">
        <v>286</v>
      </c>
      <c r="BP511" t="s">
        <v>5</v>
      </c>
      <c r="BQ511" t="s">
        <v>16</v>
      </c>
      <c r="BR511">
        <f t="shared" si="83"/>
        <v>9</v>
      </c>
      <c r="BS511">
        <f t="shared" si="77"/>
        <v>2023</v>
      </c>
      <c r="BT511">
        <v>7</v>
      </c>
      <c r="BU511" t="str">
        <f t="shared" si="78"/>
        <v>2023-9</v>
      </c>
      <c r="BV511">
        <f t="shared" si="79"/>
        <v>1</v>
      </c>
      <c r="BX511" t="s">
        <v>20</v>
      </c>
      <c r="BY511" t="s">
        <v>322</v>
      </c>
      <c r="BZ511">
        <v>76421</v>
      </c>
      <c r="CA511">
        <f t="shared" si="80"/>
        <v>3</v>
      </c>
      <c r="CB511">
        <f t="shared" si="81"/>
        <v>2024</v>
      </c>
      <c r="CC511" t="str">
        <f t="shared" si="82"/>
        <v>2024-3</v>
      </c>
    </row>
    <row r="512" spans="1:81" x14ac:dyDescent="0.25">
      <c r="A512" t="s">
        <v>5</v>
      </c>
      <c r="B512" t="s">
        <v>30</v>
      </c>
      <c r="C512" t="s">
        <v>322</v>
      </c>
      <c r="D512">
        <v>39792</v>
      </c>
      <c r="E512">
        <v>7</v>
      </c>
      <c r="P512" t="s">
        <v>10</v>
      </c>
      <c r="Q512" t="s">
        <v>325</v>
      </c>
      <c r="R512">
        <v>8</v>
      </c>
      <c r="AI512" t="s">
        <v>30</v>
      </c>
      <c r="AJ512">
        <v>39792</v>
      </c>
      <c r="AL512">
        <f>COUNTIF(AI:AI,AK512)</f>
        <v>0</v>
      </c>
      <c r="AM512">
        <f>SUMIF(AI:AI,AK512,AJ:AJ)</f>
        <v>0</v>
      </c>
      <c r="AP512" t="s">
        <v>10</v>
      </c>
      <c r="AQ512" t="s">
        <v>112</v>
      </c>
      <c r="BP512" t="s">
        <v>5</v>
      </c>
      <c r="BQ512" t="s">
        <v>38</v>
      </c>
      <c r="BR512">
        <f t="shared" si="83"/>
        <v>9</v>
      </c>
      <c r="BS512">
        <f t="shared" si="77"/>
        <v>2023</v>
      </c>
      <c r="BT512">
        <v>7</v>
      </c>
      <c r="BU512" t="str">
        <f t="shared" si="78"/>
        <v>2023-9</v>
      </c>
      <c r="BV512">
        <f t="shared" si="79"/>
        <v>1</v>
      </c>
      <c r="BX512" t="s">
        <v>5</v>
      </c>
      <c r="BY512" t="s">
        <v>322</v>
      </c>
      <c r="BZ512">
        <v>39792</v>
      </c>
      <c r="CA512">
        <f t="shared" si="80"/>
        <v>3</v>
      </c>
      <c r="CB512">
        <f t="shared" si="81"/>
        <v>2024</v>
      </c>
      <c r="CC512" t="str">
        <f t="shared" si="82"/>
        <v>2024-3</v>
      </c>
    </row>
    <row r="513" spans="1:81" x14ac:dyDescent="0.25">
      <c r="A513" t="s">
        <v>23</v>
      </c>
      <c r="B513" t="s">
        <v>256</v>
      </c>
      <c r="C513" t="s">
        <v>323</v>
      </c>
      <c r="D513">
        <v>17744</v>
      </c>
      <c r="E513">
        <v>7</v>
      </c>
      <c r="P513" t="s">
        <v>33</v>
      </c>
      <c r="Q513" t="s">
        <v>177</v>
      </c>
      <c r="R513">
        <v>9</v>
      </c>
      <c r="AI513" t="s">
        <v>256</v>
      </c>
      <c r="AJ513">
        <v>17744</v>
      </c>
      <c r="AL513">
        <f>COUNTIF(AI:AI,AK513)</f>
        <v>0</v>
      </c>
      <c r="AM513">
        <f>SUMIF(AI:AI,AK513,AJ:AJ)</f>
        <v>0</v>
      </c>
      <c r="AP513" t="s">
        <v>27</v>
      </c>
      <c r="AQ513" t="s">
        <v>279</v>
      </c>
      <c r="BP513" t="s">
        <v>5</v>
      </c>
      <c r="BQ513" t="s">
        <v>40</v>
      </c>
      <c r="BR513">
        <f t="shared" si="83"/>
        <v>9</v>
      </c>
      <c r="BS513">
        <f t="shared" si="77"/>
        <v>2023</v>
      </c>
      <c r="BT513">
        <v>7</v>
      </c>
      <c r="BU513" t="str">
        <f t="shared" si="78"/>
        <v>2023-9</v>
      </c>
      <c r="BV513">
        <f t="shared" si="79"/>
        <v>1</v>
      </c>
      <c r="BX513" t="s">
        <v>23</v>
      </c>
      <c r="BY513" t="s">
        <v>323</v>
      </c>
      <c r="BZ513">
        <v>17744</v>
      </c>
      <c r="CA513">
        <f t="shared" si="80"/>
        <v>3</v>
      </c>
      <c r="CB513">
        <f t="shared" si="81"/>
        <v>2024</v>
      </c>
      <c r="CC513" t="str">
        <f t="shared" si="82"/>
        <v>2024-3</v>
      </c>
    </row>
    <row r="514" spans="1:81" x14ac:dyDescent="0.25">
      <c r="A514" t="s">
        <v>10</v>
      </c>
      <c r="B514" t="s">
        <v>132</v>
      </c>
      <c r="C514" t="s">
        <v>324</v>
      </c>
      <c r="D514">
        <v>79411</v>
      </c>
      <c r="E514">
        <v>7</v>
      </c>
      <c r="P514" t="s">
        <v>20</v>
      </c>
      <c r="Q514" t="s">
        <v>93</v>
      </c>
      <c r="R514">
        <v>8</v>
      </c>
      <c r="AI514" t="s">
        <v>132</v>
      </c>
      <c r="AJ514">
        <v>79411</v>
      </c>
      <c r="AL514">
        <f>COUNTIF(AI:AI,AK514)</f>
        <v>0</v>
      </c>
      <c r="AM514">
        <f>SUMIF(AI:AI,AK514,AJ:AJ)</f>
        <v>0</v>
      </c>
      <c r="AP514" t="s">
        <v>10</v>
      </c>
      <c r="AQ514" t="s">
        <v>37</v>
      </c>
      <c r="BP514" t="s">
        <v>5</v>
      </c>
      <c r="BQ514" t="s">
        <v>49</v>
      </c>
      <c r="BR514">
        <f t="shared" si="83"/>
        <v>9</v>
      </c>
      <c r="BS514">
        <f t="shared" si="77"/>
        <v>2023</v>
      </c>
      <c r="BT514">
        <v>7</v>
      </c>
      <c r="BU514" t="str">
        <f t="shared" si="78"/>
        <v>2023-9</v>
      </c>
      <c r="BV514">
        <f t="shared" si="79"/>
        <v>1</v>
      </c>
      <c r="BX514" t="s">
        <v>10</v>
      </c>
      <c r="BY514" t="s">
        <v>324</v>
      </c>
      <c r="BZ514">
        <v>79411</v>
      </c>
      <c r="CA514">
        <f t="shared" si="80"/>
        <v>3</v>
      </c>
      <c r="CB514">
        <f t="shared" si="81"/>
        <v>2024</v>
      </c>
      <c r="CC514" t="str">
        <f t="shared" si="82"/>
        <v>2024-3</v>
      </c>
    </row>
    <row r="515" spans="1:81" x14ac:dyDescent="0.25">
      <c r="A515" t="s">
        <v>8</v>
      </c>
      <c r="B515" t="s">
        <v>22</v>
      </c>
      <c r="C515" t="s">
        <v>324</v>
      </c>
      <c r="D515">
        <v>28732</v>
      </c>
      <c r="E515">
        <v>7</v>
      </c>
      <c r="P515" t="s">
        <v>33</v>
      </c>
      <c r="Q515" t="s">
        <v>131</v>
      </c>
      <c r="R515">
        <v>6</v>
      </c>
      <c r="AI515" t="s">
        <v>22</v>
      </c>
      <c r="AJ515">
        <v>28732</v>
      </c>
      <c r="AL515">
        <f>COUNTIF(AI:AI,AK515)</f>
        <v>0</v>
      </c>
      <c r="AM515">
        <f>SUMIF(AI:AI,AK515,AJ:AJ)</f>
        <v>0</v>
      </c>
      <c r="AP515" t="s">
        <v>17</v>
      </c>
      <c r="AQ515" t="s">
        <v>15</v>
      </c>
      <c r="BP515" t="s">
        <v>5</v>
      </c>
      <c r="BQ515" t="s">
        <v>86</v>
      </c>
      <c r="BR515">
        <f t="shared" si="83"/>
        <v>9</v>
      </c>
      <c r="BS515">
        <f t="shared" ref="BS515:BS578" si="84">YEAR(BQ515)</f>
        <v>2023</v>
      </c>
      <c r="BT515">
        <v>7</v>
      </c>
      <c r="BU515" t="str">
        <f t="shared" ref="BU515:BU578" si="85">BS515&amp;"-"&amp;BR515</f>
        <v>2023-9</v>
      </c>
      <c r="BV515">
        <f t="shared" ref="BV515:BV578" si="86">IF(BT515&lt;7,0,IF(BT515&lt;9,1,2))</f>
        <v>1</v>
      </c>
      <c r="BX515" t="s">
        <v>8</v>
      </c>
      <c r="BY515" t="s">
        <v>324</v>
      </c>
      <c r="BZ515">
        <v>28732</v>
      </c>
      <c r="CA515">
        <f t="shared" ref="CA515:CA578" si="87">MONTH(BY515)</f>
        <v>3</v>
      </c>
      <c r="CB515">
        <f t="shared" ref="CB515:CB578" si="88">YEAR(BY515)</f>
        <v>2024</v>
      </c>
      <c r="CC515" t="str">
        <f t="shared" ref="CC515:CC578" si="89">CB515&amp;"-"&amp;CA515</f>
        <v>2024-3</v>
      </c>
    </row>
    <row r="516" spans="1:81" x14ac:dyDescent="0.25">
      <c r="A516" t="s">
        <v>32</v>
      </c>
      <c r="B516" t="s">
        <v>70</v>
      </c>
      <c r="C516" t="s">
        <v>324</v>
      </c>
      <c r="D516">
        <v>15723</v>
      </c>
      <c r="E516">
        <v>10</v>
      </c>
      <c r="P516" t="s">
        <v>36</v>
      </c>
      <c r="Q516" t="s">
        <v>327</v>
      </c>
      <c r="R516">
        <v>7</v>
      </c>
      <c r="AI516" t="s">
        <v>70</v>
      </c>
      <c r="AJ516">
        <v>15723</v>
      </c>
      <c r="AL516">
        <f>COUNTIF(AI:AI,AK516)</f>
        <v>0</v>
      </c>
      <c r="AM516">
        <f>SUMIF(AI:AI,AK516,AJ:AJ)</f>
        <v>0</v>
      </c>
      <c r="AP516" t="s">
        <v>12</v>
      </c>
      <c r="AQ516" t="s">
        <v>158</v>
      </c>
      <c r="BP516" t="s">
        <v>5</v>
      </c>
      <c r="BQ516" t="s">
        <v>94</v>
      </c>
      <c r="BR516">
        <f t="shared" si="83"/>
        <v>9</v>
      </c>
      <c r="BS516">
        <f t="shared" si="84"/>
        <v>2023</v>
      </c>
      <c r="BT516">
        <v>10</v>
      </c>
      <c r="BU516" t="str">
        <f t="shared" si="85"/>
        <v>2023-9</v>
      </c>
      <c r="BV516">
        <f t="shared" si="86"/>
        <v>2</v>
      </c>
      <c r="BX516" t="s">
        <v>32</v>
      </c>
      <c r="BY516" t="s">
        <v>324</v>
      </c>
      <c r="BZ516">
        <v>15723</v>
      </c>
      <c r="CA516">
        <f t="shared" si="87"/>
        <v>3</v>
      </c>
      <c r="CB516">
        <f t="shared" si="88"/>
        <v>2024</v>
      </c>
      <c r="CC516" t="str">
        <f t="shared" si="89"/>
        <v>2024-3</v>
      </c>
    </row>
    <row r="517" spans="1:81" x14ac:dyDescent="0.25">
      <c r="A517" t="s">
        <v>32</v>
      </c>
      <c r="B517" t="s">
        <v>116</v>
      </c>
      <c r="C517" t="s">
        <v>324</v>
      </c>
      <c r="D517">
        <v>43201</v>
      </c>
      <c r="E517">
        <v>10</v>
      </c>
      <c r="P517" t="s">
        <v>10</v>
      </c>
      <c r="Q517" t="s">
        <v>156</v>
      </c>
      <c r="R517">
        <v>9</v>
      </c>
      <c r="AI517" t="s">
        <v>116</v>
      </c>
      <c r="AJ517">
        <v>43201</v>
      </c>
      <c r="AL517">
        <f>COUNTIF(AI:AI,AK517)</f>
        <v>0</v>
      </c>
      <c r="AM517">
        <f>SUMIF(AI:AI,AK517,AJ:AJ)</f>
        <v>0</v>
      </c>
      <c r="AP517" t="s">
        <v>10</v>
      </c>
      <c r="AQ517" t="s">
        <v>231</v>
      </c>
      <c r="BP517" t="s">
        <v>5</v>
      </c>
      <c r="BQ517" t="s">
        <v>96</v>
      </c>
      <c r="BR517">
        <f t="shared" si="83"/>
        <v>9</v>
      </c>
      <c r="BS517">
        <f t="shared" si="84"/>
        <v>2023</v>
      </c>
      <c r="BT517">
        <v>10</v>
      </c>
      <c r="BU517" t="str">
        <f t="shared" si="85"/>
        <v>2023-9</v>
      </c>
      <c r="BV517">
        <f t="shared" si="86"/>
        <v>2</v>
      </c>
      <c r="BX517" t="s">
        <v>32</v>
      </c>
      <c r="BY517" t="s">
        <v>324</v>
      </c>
      <c r="BZ517">
        <v>43201</v>
      </c>
      <c r="CA517">
        <f t="shared" si="87"/>
        <v>3</v>
      </c>
      <c r="CB517">
        <f t="shared" si="88"/>
        <v>2024</v>
      </c>
      <c r="CC517" t="str">
        <f t="shared" si="89"/>
        <v>2024-3</v>
      </c>
    </row>
    <row r="518" spans="1:81" x14ac:dyDescent="0.25">
      <c r="A518" t="s">
        <v>10</v>
      </c>
      <c r="B518" t="s">
        <v>325</v>
      </c>
      <c r="C518" t="s">
        <v>324</v>
      </c>
      <c r="D518">
        <v>52312</v>
      </c>
      <c r="E518">
        <v>8</v>
      </c>
      <c r="P518" t="s">
        <v>5</v>
      </c>
      <c r="Q518" t="s">
        <v>237</v>
      </c>
      <c r="R518">
        <v>7</v>
      </c>
      <c r="AI518" t="s">
        <v>325</v>
      </c>
      <c r="AJ518">
        <v>52312</v>
      </c>
      <c r="AL518">
        <f>COUNTIF(AI:AI,AK518)</f>
        <v>0</v>
      </c>
      <c r="AM518">
        <f>SUMIF(AI:AI,AK518,AJ:AJ)</f>
        <v>0</v>
      </c>
      <c r="AP518" t="s">
        <v>5</v>
      </c>
      <c r="AQ518" t="s">
        <v>233</v>
      </c>
      <c r="BP518" t="s">
        <v>5</v>
      </c>
      <c r="BQ518" t="s">
        <v>108</v>
      </c>
      <c r="BR518">
        <f t="shared" si="83"/>
        <v>10</v>
      </c>
      <c r="BS518">
        <f t="shared" si="84"/>
        <v>2023</v>
      </c>
      <c r="BT518">
        <v>8</v>
      </c>
      <c r="BU518" t="str">
        <f t="shared" si="85"/>
        <v>2023-10</v>
      </c>
      <c r="BV518">
        <f t="shared" si="86"/>
        <v>1</v>
      </c>
      <c r="BX518" t="s">
        <v>10</v>
      </c>
      <c r="BY518" t="s">
        <v>324</v>
      </c>
      <c r="BZ518">
        <v>52312</v>
      </c>
      <c r="CA518">
        <f t="shared" si="87"/>
        <v>3</v>
      </c>
      <c r="CB518">
        <f t="shared" si="88"/>
        <v>2024</v>
      </c>
      <c r="CC518" t="str">
        <f t="shared" si="89"/>
        <v>2024-3</v>
      </c>
    </row>
    <row r="519" spans="1:81" x14ac:dyDescent="0.25">
      <c r="A519" t="s">
        <v>33</v>
      </c>
      <c r="B519" t="s">
        <v>177</v>
      </c>
      <c r="C519" t="s">
        <v>326</v>
      </c>
      <c r="D519">
        <v>31080</v>
      </c>
      <c r="E519">
        <v>9</v>
      </c>
      <c r="P519" t="s">
        <v>17</v>
      </c>
      <c r="Q519" t="s">
        <v>286</v>
      </c>
      <c r="R519">
        <v>5</v>
      </c>
      <c r="AI519" t="s">
        <v>177</v>
      </c>
      <c r="AJ519">
        <v>31080</v>
      </c>
      <c r="AL519">
        <f>COUNTIF(AI:AI,AK519)</f>
        <v>0</v>
      </c>
      <c r="AM519">
        <f>SUMIF(AI:AI,AK519,AJ:AJ)</f>
        <v>0</v>
      </c>
      <c r="AP519" t="s">
        <v>32</v>
      </c>
      <c r="AQ519" t="s">
        <v>169</v>
      </c>
      <c r="BP519" t="s">
        <v>5</v>
      </c>
      <c r="BQ519" t="s">
        <v>117</v>
      </c>
      <c r="BR519">
        <f t="shared" si="83"/>
        <v>10</v>
      </c>
      <c r="BS519">
        <f t="shared" si="84"/>
        <v>2023</v>
      </c>
      <c r="BT519">
        <v>9</v>
      </c>
      <c r="BU519" t="str">
        <f t="shared" si="85"/>
        <v>2023-10</v>
      </c>
      <c r="BV519">
        <f t="shared" si="86"/>
        <v>2</v>
      </c>
      <c r="BX519" t="s">
        <v>33</v>
      </c>
      <c r="BY519" t="s">
        <v>326</v>
      </c>
      <c r="BZ519">
        <v>31080</v>
      </c>
      <c r="CA519">
        <f t="shared" si="87"/>
        <v>3</v>
      </c>
      <c r="CB519">
        <f t="shared" si="88"/>
        <v>2024</v>
      </c>
      <c r="CC519" t="str">
        <f t="shared" si="89"/>
        <v>2024-3</v>
      </c>
    </row>
    <row r="520" spans="1:81" x14ac:dyDescent="0.25">
      <c r="A520" t="s">
        <v>20</v>
      </c>
      <c r="B520" t="s">
        <v>93</v>
      </c>
      <c r="C520" t="s">
        <v>326</v>
      </c>
      <c r="D520">
        <v>78376</v>
      </c>
      <c r="E520">
        <v>8</v>
      </c>
      <c r="P520" t="s">
        <v>23</v>
      </c>
      <c r="Q520" t="s">
        <v>95</v>
      </c>
      <c r="R520">
        <v>2</v>
      </c>
      <c r="AI520" t="s">
        <v>93</v>
      </c>
      <c r="AJ520">
        <v>78376</v>
      </c>
      <c r="AL520">
        <f>COUNTIF(AI:AI,AK520)</f>
        <v>0</v>
      </c>
      <c r="AM520">
        <f>SUMIF(AI:AI,AK520,AJ:AJ)</f>
        <v>0</v>
      </c>
      <c r="AP520" t="s">
        <v>23</v>
      </c>
      <c r="AQ520" t="s">
        <v>214</v>
      </c>
      <c r="BP520" t="s">
        <v>5</v>
      </c>
      <c r="BQ520" t="s">
        <v>117</v>
      </c>
      <c r="BR520">
        <f t="shared" si="83"/>
        <v>10</v>
      </c>
      <c r="BS520">
        <f t="shared" si="84"/>
        <v>2023</v>
      </c>
      <c r="BT520">
        <v>8</v>
      </c>
      <c r="BU520" t="str">
        <f t="shared" si="85"/>
        <v>2023-10</v>
      </c>
      <c r="BV520">
        <f t="shared" si="86"/>
        <v>1</v>
      </c>
      <c r="BX520" t="s">
        <v>20</v>
      </c>
      <c r="BY520" t="s">
        <v>326</v>
      </c>
      <c r="BZ520">
        <v>78376</v>
      </c>
      <c r="CA520">
        <f t="shared" si="87"/>
        <v>3</v>
      </c>
      <c r="CB520">
        <f t="shared" si="88"/>
        <v>2024</v>
      </c>
      <c r="CC520" t="str">
        <f t="shared" si="89"/>
        <v>2024-3</v>
      </c>
    </row>
    <row r="521" spans="1:81" x14ac:dyDescent="0.25">
      <c r="A521" t="s">
        <v>33</v>
      </c>
      <c r="B521" t="s">
        <v>131</v>
      </c>
      <c r="C521" t="s">
        <v>326</v>
      </c>
      <c r="D521">
        <v>13226</v>
      </c>
      <c r="E521">
        <v>6</v>
      </c>
      <c r="P521" t="s">
        <v>8</v>
      </c>
      <c r="Q521" t="s">
        <v>81</v>
      </c>
      <c r="R521">
        <v>8</v>
      </c>
      <c r="AI521" t="s">
        <v>131</v>
      </c>
      <c r="AJ521">
        <v>13226</v>
      </c>
      <c r="AL521">
        <f>COUNTIF(AI:AI,AK521)</f>
        <v>0</v>
      </c>
      <c r="AM521">
        <f>SUMIF(AI:AI,AK521,AJ:AJ)</f>
        <v>0</v>
      </c>
      <c r="AP521" t="s">
        <v>20</v>
      </c>
      <c r="AQ521" t="s">
        <v>229</v>
      </c>
      <c r="BP521" t="s">
        <v>5</v>
      </c>
      <c r="BQ521" t="s">
        <v>123</v>
      </c>
      <c r="BR521">
        <f t="shared" si="83"/>
        <v>10</v>
      </c>
      <c r="BS521">
        <f t="shared" si="84"/>
        <v>2023</v>
      </c>
      <c r="BT521">
        <v>6</v>
      </c>
      <c r="BU521" t="str">
        <f t="shared" si="85"/>
        <v>2023-10</v>
      </c>
      <c r="BV521">
        <f t="shared" si="86"/>
        <v>0</v>
      </c>
      <c r="BX521" t="s">
        <v>33</v>
      </c>
      <c r="BY521" t="s">
        <v>326</v>
      </c>
      <c r="BZ521">
        <v>13226</v>
      </c>
      <c r="CA521">
        <f t="shared" si="87"/>
        <v>3</v>
      </c>
      <c r="CB521">
        <f t="shared" si="88"/>
        <v>2024</v>
      </c>
      <c r="CC521" t="str">
        <f t="shared" si="89"/>
        <v>2024-3</v>
      </c>
    </row>
    <row r="522" spans="1:81" x14ac:dyDescent="0.25">
      <c r="A522" t="s">
        <v>36</v>
      </c>
      <c r="B522" t="s">
        <v>327</v>
      </c>
      <c r="C522" t="s">
        <v>326</v>
      </c>
      <c r="D522">
        <v>45847</v>
      </c>
      <c r="E522">
        <v>7</v>
      </c>
      <c r="P522" t="s">
        <v>27</v>
      </c>
      <c r="Q522" t="s">
        <v>182</v>
      </c>
      <c r="R522">
        <v>6</v>
      </c>
      <c r="AI522" t="s">
        <v>327</v>
      </c>
      <c r="AJ522">
        <v>45847</v>
      </c>
      <c r="AL522">
        <f>COUNTIF(AI:AI,AK522)</f>
        <v>0</v>
      </c>
      <c r="AM522">
        <f>SUMIF(AI:AI,AK522,AJ:AJ)</f>
        <v>0</v>
      </c>
      <c r="AP522" t="s">
        <v>10</v>
      </c>
      <c r="AQ522" t="s">
        <v>236</v>
      </c>
      <c r="BP522" t="s">
        <v>5</v>
      </c>
      <c r="BQ522" t="s">
        <v>137</v>
      </c>
      <c r="BR522">
        <f t="shared" si="83"/>
        <v>10</v>
      </c>
      <c r="BS522">
        <f t="shared" si="84"/>
        <v>2023</v>
      </c>
      <c r="BT522">
        <v>7</v>
      </c>
      <c r="BU522" t="str">
        <f t="shared" si="85"/>
        <v>2023-10</v>
      </c>
      <c r="BV522">
        <f t="shared" si="86"/>
        <v>1</v>
      </c>
      <c r="BX522" t="s">
        <v>36</v>
      </c>
      <c r="BY522" t="s">
        <v>326</v>
      </c>
      <c r="BZ522">
        <v>45847</v>
      </c>
      <c r="CA522">
        <f t="shared" si="87"/>
        <v>3</v>
      </c>
      <c r="CB522">
        <f t="shared" si="88"/>
        <v>2024</v>
      </c>
      <c r="CC522" t="str">
        <f t="shared" si="89"/>
        <v>2024-3</v>
      </c>
    </row>
    <row r="523" spans="1:81" x14ac:dyDescent="0.25">
      <c r="A523" t="s">
        <v>10</v>
      </c>
      <c r="B523" t="s">
        <v>156</v>
      </c>
      <c r="C523" t="s">
        <v>326</v>
      </c>
      <c r="D523">
        <v>19692</v>
      </c>
      <c r="E523">
        <v>9</v>
      </c>
      <c r="P523" t="s">
        <v>36</v>
      </c>
      <c r="Q523" t="s">
        <v>162</v>
      </c>
      <c r="R523">
        <v>7</v>
      </c>
      <c r="AI523" t="s">
        <v>156</v>
      </c>
      <c r="AJ523">
        <v>19692</v>
      </c>
      <c r="AL523">
        <f>COUNTIF(AI:AI,AK523)</f>
        <v>0</v>
      </c>
      <c r="AM523">
        <f>SUMIF(AI:AI,AK523,AJ:AJ)</f>
        <v>0</v>
      </c>
      <c r="AP523" t="s">
        <v>23</v>
      </c>
      <c r="AQ523" t="s">
        <v>68</v>
      </c>
      <c r="BP523" t="s">
        <v>5</v>
      </c>
      <c r="BQ523" t="s">
        <v>141</v>
      </c>
      <c r="BR523">
        <f t="shared" si="83"/>
        <v>10</v>
      </c>
      <c r="BS523">
        <f t="shared" si="84"/>
        <v>2023</v>
      </c>
      <c r="BT523">
        <v>9</v>
      </c>
      <c r="BU523" t="str">
        <f t="shared" si="85"/>
        <v>2023-10</v>
      </c>
      <c r="BV523">
        <f t="shared" si="86"/>
        <v>2</v>
      </c>
      <c r="BX523" t="s">
        <v>10</v>
      </c>
      <c r="BY523" t="s">
        <v>326</v>
      </c>
      <c r="BZ523">
        <v>19692</v>
      </c>
      <c r="CA523">
        <f t="shared" si="87"/>
        <v>3</v>
      </c>
      <c r="CB523">
        <f t="shared" si="88"/>
        <v>2024</v>
      </c>
      <c r="CC523" t="str">
        <f t="shared" si="89"/>
        <v>2024-3</v>
      </c>
    </row>
    <row r="524" spans="1:81" x14ac:dyDescent="0.25">
      <c r="A524" t="s">
        <v>5</v>
      </c>
      <c r="B524" t="s">
        <v>237</v>
      </c>
      <c r="C524" t="s">
        <v>328</v>
      </c>
      <c r="D524">
        <v>36797</v>
      </c>
      <c r="E524">
        <v>7</v>
      </c>
      <c r="P524" t="s">
        <v>14</v>
      </c>
      <c r="Q524" t="s">
        <v>237</v>
      </c>
      <c r="R524">
        <v>9</v>
      </c>
      <c r="AI524" t="s">
        <v>237</v>
      </c>
      <c r="AJ524">
        <v>36797</v>
      </c>
      <c r="AL524">
        <f>COUNTIF(AI:AI,AK524)</f>
        <v>0</v>
      </c>
      <c r="AM524">
        <f>SUMIF(AI:AI,AK524,AJ:AJ)</f>
        <v>0</v>
      </c>
      <c r="AP524" t="s">
        <v>27</v>
      </c>
      <c r="AQ524" t="s">
        <v>247</v>
      </c>
      <c r="BP524" t="s">
        <v>5</v>
      </c>
      <c r="BQ524" t="s">
        <v>141</v>
      </c>
      <c r="BR524">
        <f t="shared" si="83"/>
        <v>10</v>
      </c>
      <c r="BS524">
        <f t="shared" si="84"/>
        <v>2023</v>
      </c>
      <c r="BT524">
        <v>7</v>
      </c>
      <c r="BU524" t="str">
        <f t="shared" si="85"/>
        <v>2023-10</v>
      </c>
      <c r="BV524">
        <f t="shared" si="86"/>
        <v>1</v>
      </c>
      <c r="BX524" t="s">
        <v>5</v>
      </c>
      <c r="BY524" t="s">
        <v>328</v>
      </c>
      <c r="BZ524">
        <v>36797</v>
      </c>
      <c r="CA524">
        <f t="shared" si="87"/>
        <v>3</v>
      </c>
      <c r="CB524">
        <f t="shared" si="88"/>
        <v>2024</v>
      </c>
      <c r="CC524" t="str">
        <f t="shared" si="89"/>
        <v>2024-3</v>
      </c>
    </row>
    <row r="525" spans="1:81" x14ac:dyDescent="0.25">
      <c r="A525" t="s">
        <v>17</v>
      </c>
      <c r="B525" t="s">
        <v>286</v>
      </c>
      <c r="C525" t="s">
        <v>328</v>
      </c>
      <c r="D525">
        <v>27568</v>
      </c>
      <c r="E525">
        <v>5</v>
      </c>
      <c r="P525" t="s">
        <v>20</v>
      </c>
      <c r="Q525" t="s">
        <v>173</v>
      </c>
      <c r="R525">
        <v>10</v>
      </c>
      <c r="AI525" t="s">
        <v>286</v>
      </c>
      <c r="AJ525">
        <v>27568</v>
      </c>
      <c r="AL525">
        <f>COUNTIF(AI:AI,AK525)</f>
        <v>0</v>
      </c>
      <c r="AM525">
        <f>SUMIF(AI:AI,AK525,AJ:AJ)</f>
        <v>0</v>
      </c>
      <c r="AP525" t="s">
        <v>5</v>
      </c>
      <c r="AQ525" t="s">
        <v>9</v>
      </c>
      <c r="BP525" t="s">
        <v>5</v>
      </c>
      <c r="BQ525" t="s">
        <v>164</v>
      </c>
      <c r="BR525">
        <f t="shared" si="83"/>
        <v>11</v>
      </c>
      <c r="BS525">
        <f t="shared" si="84"/>
        <v>2023</v>
      </c>
      <c r="BT525">
        <v>5</v>
      </c>
      <c r="BU525" t="str">
        <f t="shared" si="85"/>
        <v>2023-11</v>
      </c>
      <c r="BV525">
        <f t="shared" si="86"/>
        <v>0</v>
      </c>
      <c r="BX525" t="s">
        <v>17</v>
      </c>
      <c r="BY525" t="s">
        <v>328</v>
      </c>
      <c r="BZ525">
        <v>27568</v>
      </c>
      <c r="CA525">
        <f t="shared" si="87"/>
        <v>3</v>
      </c>
      <c r="CB525">
        <f t="shared" si="88"/>
        <v>2024</v>
      </c>
      <c r="CC525" t="str">
        <f t="shared" si="89"/>
        <v>2024-3</v>
      </c>
    </row>
    <row r="526" spans="1:81" x14ac:dyDescent="0.25">
      <c r="A526" t="s">
        <v>23</v>
      </c>
      <c r="B526" t="s">
        <v>95</v>
      </c>
      <c r="C526" t="s">
        <v>328</v>
      </c>
      <c r="D526">
        <v>24089</v>
      </c>
      <c r="E526">
        <v>2</v>
      </c>
      <c r="P526" t="s">
        <v>32</v>
      </c>
      <c r="Q526" t="s">
        <v>52</v>
      </c>
      <c r="R526">
        <v>9</v>
      </c>
      <c r="AI526" t="s">
        <v>95</v>
      </c>
      <c r="AJ526">
        <v>24089</v>
      </c>
      <c r="AL526">
        <f>COUNTIF(AI:AI,AK526)</f>
        <v>0</v>
      </c>
      <c r="AM526">
        <f>SUMIF(AI:AI,AK526,AJ:AJ)</f>
        <v>0</v>
      </c>
      <c r="AP526" t="s">
        <v>17</v>
      </c>
      <c r="AQ526" t="s">
        <v>334</v>
      </c>
      <c r="BP526" t="s">
        <v>5</v>
      </c>
      <c r="BQ526" t="s">
        <v>170</v>
      </c>
      <c r="BR526">
        <f t="shared" si="83"/>
        <v>11</v>
      </c>
      <c r="BS526">
        <f t="shared" si="84"/>
        <v>2023</v>
      </c>
      <c r="BT526">
        <v>2</v>
      </c>
      <c r="BU526" t="str">
        <f t="shared" si="85"/>
        <v>2023-11</v>
      </c>
      <c r="BV526">
        <f t="shared" si="86"/>
        <v>0</v>
      </c>
      <c r="BX526" t="s">
        <v>23</v>
      </c>
      <c r="BY526" t="s">
        <v>328</v>
      </c>
      <c r="BZ526">
        <v>24089</v>
      </c>
      <c r="CA526">
        <f t="shared" si="87"/>
        <v>3</v>
      </c>
      <c r="CB526">
        <f t="shared" si="88"/>
        <v>2024</v>
      </c>
      <c r="CC526" t="str">
        <f t="shared" si="89"/>
        <v>2024-3</v>
      </c>
    </row>
    <row r="527" spans="1:81" x14ac:dyDescent="0.25">
      <c r="A527" t="s">
        <v>8</v>
      </c>
      <c r="B527" t="s">
        <v>81</v>
      </c>
      <c r="C527" t="s">
        <v>328</v>
      </c>
      <c r="D527">
        <v>19089</v>
      </c>
      <c r="E527">
        <v>8</v>
      </c>
      <c r="P527" t="s">
        <v>17</v>
      </c>
      <c r="Q527" t="s">
        <v>81</v>
      </c>
      <c r="R527">
        <v>8</v>
      </c>
      <c r="AI527" t="s">
        <v>81</v>
      </c>
      <c r="AJ527">
        <v>19089</v>
      </c>
      <c r="AL527">
        <f>COUNTIF(AI:AI,AK527)</f>
        <v>0</v>
      </c>
      <c r="AM527">
        <f>SUMIF(AI:AI,AK527,AJ:AJ)</f>
        <v>0</v>
      </c>
      <c r="AP527" t="s">
        <v>27</v>
      </c>
      <c r="AQ527" t="s">
        <v>202</v>
      </c>
      <c r="BP527" t="s">
        <v>5</v>
      </c>
      <c r="BQ527" t="s">
        <v>187</v>
      </c>
      <c r="BR527">
        <f t="shared" si="83"/>
        <v>11</v>
      </c>
      <c r="BS527">
        <f t="shared" si="84"/>
        <v>2023</v>
      </c>
      <c r="BT527">
        <v>8</v>
      </c>
      <c r="BU527" t="str">
        <f t="shared" si="85"/>
        <v>2023-11</v>
      </c>
      <c r="BV527">
        <f t="shared" si="86"/>
        <v>1</v>
      </c>
      <c r="BX527" t="s">
        <v>8</v>
      </c>
      <c r="BY527" t="s">
        <v>328</v>
      </c>
      <c r="BZ527">
        <v>19089</v>
      </c>
      <c r="CA527">
        <f t="shared" si="87"/>
        <v>3</v>
      </c>
      <c r="CB527">
        <f t="shared" si="88"/>
        <v>2024</v>
      </c>
      <c r="CC527" t="str">
        <f t="shared" si="89"/>
        <v>2024-3</v>
      </c>
    </row>
    <row r="528" spans="1:81" x14ac:dyDescent="0.25">
      <c r="A528" t="s">
        <v>27</v>
      </c>
      <c r="B528" t="s">
        <v>182</v>
      </c>
      <c r="C528" t="s">
        <v>328</v>
      </c>
      <c r="D528">
        <v>32618</v>
      </c>
      <c r="E528">
        <v>6</v>
      </c>
      <c r="P528" t="s">
        <v>17</v>
      </c>
      <c r="Q528" t="s">
        <v>119</v>
      </c>
      <c r="R528">
        <v>8</v>
      </c>
      <c r="AI528" t="s">
        <v>182</v>
      </c>
      <c r="AJ528">
        <v>32618</v>
      </c>
      <c r="AL528">
        <f>COUNTIF(AI:AI,AK528)</f>
        <v>0</v>
      </c>
      <c r="AM528">
        <f>SUMIF(AI:AI,AK528,AJ:AJ)</f>
        <v>0</v>
      </c>
      <c r="AP528" t="s">
        <v>14</v>
      </c>
      <c r="AQ528" t="s">
        <v>93</v>
      </c>
      <c r="BP528" t="s">
        <v>5</v>
      </c>
      <c r="BQ528" t="s">
        <v>211</v>
      </c>
      <c r="BR528">
        <f t="shared" si="83"/>
        <v>12</v>
      </c>
      <c r="BS528">
        <f t="shared" si="84"/>
        <v>2023</v>
      </c>
      <c r="BT528">
        <v>6</v>
      </c>
      <c r="BU528" t="str">
        <f t="shared" si="85"/>
        <v>2023-12</v>
      </c>
      <c r="BV528">
        <f t="shared" si="86"/>
        <v>0</v>
      </c>
      <c r="BX528" t="s">
        <v>27</v>
      </c>
      <c r="BY528" t="s">
        <v>328</v>
      </c>
      <c r="BZ528">
        <v>32618</v>
      </c>
      <c r="CA528">
        <f t="shared" si="87"/>
        <v>3</v>
      </c>
      <c r="CB528">
        <f t="shared" si="88"/>
        <v>2024</v>
      </c>
      <c r="CC528" t="str">
        <f t="shared" si="89"/>
        <v>2024-3</v>
      </c>
    </row>
    <row r="529" spans="1:81" x14ac:dyDescent="0.25">
      <c r="A529" t="s">
        <v>36</v>
      </c>
      <c r="B529" t="s">
        <v>162</v>
      </c>
      <c r="C529" t="s">
        <v>328</v>
      </c>
      <c r="D529">
        <v>10750</v>
      </c>
      <c r="E529">
        <v>7</v>
      </c>
      <c r="P529" t="s">
        <v>17</v>
      </c>
      <c r="Q529" t="s">
        <v>281</v>
      </c>
      <c r="R529">
        <v>9</v>
      </c>
      <c r="AI529" t="s">
        <v>162</v>
      </c>
      <c r="AJ529">
        <v>10750</v>
      </c>
      <c r="AL529">
        <f>COUNTIF(AI:AI,AK529)</f>
        <v>0</v>
      </c>
      <c r="AM529">
        <f>SUMIF(AI:AI,AK529,AJ:AJ)</f>
        <v>0</v>
      </c>
      <c r="AP529" t="s">
        <v>12</v>
      </c>
      <c r="AQ529" t="s">
        <v>266</v>
      </c>
      <c r="BP529" t="s">
        <v>5</v>
      </c>
      <c r="BQ529" t="s">
        <v>224</v>
      </c>
      <c r="BR529">
        <f t="shared" si="83"/>
        <v>12</v>
      </c>
      <c r="BS529">
        <f t="shared" si="84"/>
        <v>2023</v>
      </c>
      <c r="BT529">
        <v>7</v>
      </c>
      <c r="BU529" t="str">
        <f t="shared" si="85"/>
        <v>2023-12</v>
      </c>
      <c r="BV529">
        <f t="shared" si="86"/>
        <v>1</v>
      </c>
      <c r="BX529" t="s">
        <v>36</v>
      </c>
      <c r="BY529" t="s">
        <v>328</v>
      </c>
      <c r="BZ529">
        <v>10750</v>
      </c>
      <c r="CA529">
        <f t="shared" si="87"/>
        <v>3</v>
      </c>
      <c r="CB529">
        <f t="shared" si="88"/>
        <v>2024</v>
      </c>
      <c r="CC529" t="str">
        <f t="shared" si="89"/>
        <v>2024-3</v>
      </c>
    </row>
    <row r="530" spans="1:81" x14ac:dyDescent="0.25">
      <c r="A530" t="s">
        <v>14</v>
      </c>
      <c r="B530" t="s">
        <v>237</v>
      </c>
      <c r="C530" t="s">
        <v>328</v>
      </c>
      <c r="D530">
        <v>30404</v>
      </c>
      <c r="E530">
        <v>9</v>
      </c>
      <c r="P530" t="s">
        <v>17</v>
      </c>
      <c r="Q530" t="s">
        <v>155</v>
      </c>
      <c r="R530">
        <v>10</v>
      </c>
      <c r="AI530" t="s">
        <v>237</v>
      </c>
      <c r="AJ530">
        <v>30404</v>
      </c>
      <c r="AL530">
        <f>COUNTIF(AI:AI,AK530)</f>
        <v>0</v>
      </c>
      <c r="AM530">
        <f>SUMIF(AI:AI,AK530,AJ:AJ)</f>
        <v>0</v>
      </c>
      <c r="AP530" t="s">
        <v>36</v>
      </c>
      <c r="AQ530" t="s">
        <v>127</v>
      </c>
      <c r="BP530" t="s">
        <v>5</v>
      </c>
      <c r="BQ530" t="s">
        <v>235</v>
      </c>
      <c r="BR530">
        <f t="shared" si="83"/>
        <v>12</v>
      </c>
      <c r="BS530">
        <f t="shared" si="84"/>
        <v>2023</v>
      </c>
      <c r="BT530">
        <v>9</v>
      </c>
      <c r="BU530" t="str">
        <f t="shared" si="85"/>
        <v>2023-12</v>
      </c>
      <c r="BV530">
        <f t="shared" si="86"/>
        <v>2</v>
      </c>
      <c r="BX530" t="s">
        <v>14</v>
      </c>
      <c r="BY530" t="s">
        <v>328</v>
      </c>
      <c r="BZ530">
        <v>30404</v>
      </c>
      <c r="CA530">
        <f t="shared" si="87"/>
        <v>3</v>
      </c>
      <c r="CB530">
        <f t="shared" si="88"/>
        <v>2024</v>
      </c>
      <c r="CC530" t="str">
        <f t="shared" si="89"/>
        <v>2024-3</v>
      </c>
    </row>
    <row r="531" spans="1:81" x14ac:dyDescent="0.25">
      <c r="A531" t="s">
        <v>20</v>
      </c>
      <c r="B531" t="s">
        <v>173</v>
      </c>
      <c r="C531" t="s">
        <v>328</v>
      </c>
      <c r="D531">
        <v>31461</v>
      </c>
      <c r="E531">
        <v>10</v>
      </c>
      <c r="P531" t="s">
        <v>8</v>
      </c>
      <c r="Q531" t="s">
        <v>25</v>
      </c>
      <c r="R531">
        <v>6</v>
      </c>
      <c r="AI531" t="s">
        <v>173</v>
      </c>
      <c r="AJ531">
        <v>31461</v>
      </c>
      <c r="AL531">
        <f>COUNTIF(AI:AI,AK531)</f>
        <v>0</v>
      </c>
      <c r="AM531">
        <f>SUMIF(AI:AI,AK531,AJ:AJ)</f>
        <v>0</v>
      </c>
      <c r="AP531" t="s">
        <v>23</v>
      </c>
      <c r="AQ531" t="s">
        <v>183</v>
      </c>
      <c r="BP531" t="s">
        <v>5</v>
      </c>
      <c r="BQ531" t="s">
        <v>246</v>
      </c>
      <c r="BR531">
        <f t="shared" si="83"/>
        <v>12</v>
      </c>
      <c r="BS531">
        <f t="shared" si="84"/>
        <v>2023</v>
      </c>
      <c r="BT531">
        <v>10</v>
      </c>
      <c r="BU531" t="str">
        <f t="shared" si="85"/>
        <v>2023-12</v>
      </c>
      <c r="BV531">
        <f t="shared" si="86"/>
        <v>2</v>
      </c>
      <c r="BX531" t="s">
        <v>20</v>
      </c>
      <c r="BY531" t="s">
        <v>328</v>
      </c>
      <c r="BZ531">
        <v>31461</v>
      </c>
      <c r="CA531">
        <f t="shared" si="87"/>
        <v>3</v>
      </c>
      <c r="CB531">
        <f t="shared" si="88"/>
        <v>2024</v>
      </c>
      <c r="CC531" t="str">
        <f t="shared" si="89"/>
        <v>2024-3</v>
      </c>
    </row>
    <row r="532" spans="1:81" x14ac:dyDescent="0.25">
      <c r="A532" t="s">
        <v>32</v>
      </c>
      <c r="B532" t="s">
        <v>52</v>
      </c>
      <c r="C532" t="s">
        <v>328</v>
      </c>
      <c r="D532">
        <v>80268</v>
      </c>
      <c r="E532">
        <v>9</v>
      </c>
      <c r="P532" t="s">
        <v>27</v>
      </c>
      <c r="Q532" t="s">
        <v>132</v>
      </c>
      <c r="R532">
        <v>3</v>
      </c>
      <c r="AI532" t="s">
        <v>52</v>
      </c>
      <c r="AJ532">
        <v>80268</v>
      </c>
      <c r="AL532">
        <f>COUNTIF(AI:AI,AK532)</f>
        <v>0</v>
      </c>
      <c r="AM532">
        <f>SUMIF(AI:AI,AK532,AJ:AJ)</f>
        <v>0</v>
      </c>
      <c r="AP532" t="s">
        <v>5</v>
      </c>
      <c r="AQ532" t="s">
        <v>173</v>
      </c>
      <c r="BP532" t="s">
        <v>5</v>
      </c>
      <c r="BQ532" t="s">
        <v>251</v>
      </c>
      <c r="BR532">
        <f t="shared" si="83"/>
        <v>1</v>
      </c>
      <c r="BS532">
        <f t="shared" si="84"/>
        <v>2024</v>
      </c>
      <c r="BT532">
        <v>9</v>
      </c>
      <c r="BU532" t="str">
        <f t="shared" si="85"/>
        <v>2024-1</v>
      </c>
      <c r="BV532">
        <f t="shared" si="86"/>
        <v>2</v>
      </c>
      <c r="BX532" t="s">
        <v>32</v>
      </c>
      <c r="BY532" t="s">
        <v>328</v>
      </c>
      <c r="BZ532">
        <v>80268</v>
      </c>
      <c r="CA532">
        <f t="shared" si="87"/>
        <v>3</v>
      </c>
      <c r="CB532">
        <f t="shared" si="88"/>
        <v>2024</v>
      </c>
      <c r="CC532" t="str">
        <f t="shared" si="89"/>
        <v>2024-3</v>
      </c>
    </row>
    <row r="533" spans="1:81" x14ac:dyDescent="0.25">
      <c r="A533" t="s">
        <v>17</v>
      </c>
      <c r="B533" t="s">
        <v>81</v>
      </c>
      <c r="C533" t="s">
        <v>329</v>
      </c>
      <c r="D533">
        <v>42015</v>
      </c>
      <c r="E533">
        <v>8</v>
      </c>
      <c r="P533" t="s">
        <v>20</v>
      </c>
      <c r="Q533" t="s">
        <v>253</v>
      </c>
      <c r="R533">
        <v>5</v>
      </c>
      <c r="AI533" t="s">
        <v>81</v>
      </c>
      <c r="AJ533">
        <v>42015</v>
      </c>
      <c r="AL533">
        <f>COUNTIF(AI:AI,AK533)</f>
        <v>0</v>
      </c>
      <c r="AM533">
        <f>SUMIF(AI:AI,AK533,AJ:AJ)</f>
        <v>0</v>
      </c>
      <c r="AP533" t="s">
        <v>20</v>
      </c>
      <c r="AQ533" t="s">
        <v>77</v>
      </c>
      <c r="BP533" t="s">
        <v>5</v>
      </c>
      <c r="BQ533" t="s">
        <v>252</v>
      </c>
      <c r="BR533">
        <f t="shared" si="83"/>
        <v>1</v>
      </c>
      <c r="BS533">
        <f t="shared" si="84"/>
        <v>2024</v>
      </c>
      <c r="BT533">
        <v>8</v>
      </c>
      <c r="BU533" t="str">
        <f t="shared" si="85"/>
        <v>2024-1</v>
      </c>
      <c r="BV533">
        <f t="shared" si="86"/>
        <v>1</v>
      </c>
      <c r="BX533" t="s">
        <v>17</v>
      </c>
      <c r="BY533" t="s">
        <v>329</v>
      </c>
      <c r="BZ533">
        <v>42015</v>
      </c>
      <c r="CA533">
        <f t="shared" si="87"/>
        <v>3</v>
      </c>
      <c r="CB533">
        <f t="shared" si="88"/>
        <v>2024</v>
      </c>
      <c r="CC533" t="str">
        <f t="shared" si="89"/>
        <v>2024-3</v>
      </c>
    </row>
    <row r="534" spans="1:81" x14ac:dyDescent="0.25">
      <c r="A534" t="s">
        <v>17</v>
      </c>
      <c r="B534" t="s">
        <v>119</v>
      </c>
      <c r="C534" t="s">
        <v>329</v>
      </c>
      <c r="D534">
        <v>55981</v>
      </c>
      <c r="E534">
        <v>8</v>
      </c>
      <c r="P534" t="s">
        <v>17</v>
      </c>
      <c r="Q534" t="s">
        <v>88</v>
      </c>
      <c r="R534">
        <v>6</v>
      </c>
      <c r="AI534" t="s">
        <v>119</v>
      </c>
      <c r="AJ534">
        <v>55981</v>
      </c>
      <c r="AL534">
        <f>COUNTIF(AI:AI,AK534)</f>
        <v>0</v>
      </c>
      <c r="AM534">
        <f>SUMIF(AI:AI,AK534,AJ:AJ)</f>
        <v>0</v>
      </c>
      <c r="AP534" t="s">
        <v>10</v>
      </c>
      <c r="AQ534" t="s">
        <v>238</v>
      </c>
      <c r="BP534" t="s">
        <v>5</v>
      </c>
      <c r="BQ534" t="s">
        <v>260</v>
      </c>
      <c r="BR534">
        <f t="shared" si="83"/>
        <v>1</v>
      </c>
      <c r="BS534">
        <f t="shared" si="84"/>
        <v>2024</v>
      </c>
      <c r="BT534">
        <v>8</v>
      </c>
      <c r="BU534" t="str">
        <f t="shared" si="85"/>
        <v>2024-1</v>
      </c>
      <c r="BV534">
        <f t="shared" si="86"/>
        <v>1</v>
      </c>
      <c r="BX534" t="s">
        <v>17</v>
      </c>
      <c r="BY534" t="s">
        <v>329</v>
      </c>
      <c r="BZ534">
        <v>55981</v>
      </c>
      <c r="CA534">
        <f t="shared" si="87"/>
        <v>3</v>
      </c>
      <c r="CB534">
        <f t="shared" si="88"/>
        <v>2024</v>
      </c>
      <c r="CC534" t="str">
        <f t="shared" si="89"/>
        <v>2024-3</v>
      </c>
    </row>
    <row r="535" spans="1:81" x14ac:dyDescent="0.25">
      <c r="A535" t="s">
        <v>17</v>
      </c>
      <c r="B535" t="s">
        <v>281</v>
      </c>
      <c r="C535" t="s">
        <v>329</v>
      </c>
      <c r="D535">
        <v>94620</v>
      </c>
      <c r="E535">
        <v>9</v>
      </c>
      <c r="P535" t="s">
        <v>10</v>
      </c>
      <c r="Q535" t="s">
        <v>263</v>
      </c>
      <c r="R535">
        <v>9</v>
      </c>
      <c r="AI535" t="s">
        <v>281</v>
      </c>
      <c r="AJ535">
        <v>94620</v>
      </c>
      <c r="AL535">
        <f>COUNTIF(AI:AI,AK535)</f>
        <v>0</v>
      </c>
      <c r="AM535">
        <f>SUMIF(AI:AI,AK535,AJ:AJ)</f>
        <v>0</v>
      </c>
      <c r="AP535" t="s">
        <v>27</v>
      </c>
      <c r="AQ535" t="s">
        <v>352</v>
      </c>
      <c r="BP535" t="s">
        <v>5</v>
      </c>
      <c r="BQ535" t="s">
        <v>282</v>
      </c>
      <c r="BR535">
        <f t="shared" ref="BR535:BR598" si="90">MONTH(BQ535)</f>
        <v>1</v>
      </c>
      <c r="BS535">
        <f t="shared" si="84"/>
        <v>2024</v>
      </c>
      <c r="BT535">
        <v>9</v>
      </c>
      <c r="BU535" t="str">
        <f t="shared" si="85"/>
        <v>2024-1</v>
      </c>
      <c r="BV535">
        <f t="shared" si="86"/>
        <v>2</v>
      </c>
      <c r="BX535" t="s">
        <v>17</v>
      </c>
      <c r="BY535" t="s">
        <v>329</v>
      </c>
      <c r="BZ535">
        <v>94620</v>
      </c>
      <c r="CA535">
        <f t="shared" si="87"/>
        <v>3</v>
      </c>
      <c r="CB535">
        <f t="shared" si="88"/>
        <v>2024</v>
      </c>
      <c r="CC535" t="str">
        <f t="shared" si="89"/>
        <v>2024-3</v>
      </c>
    </row>
    <row r="536" spans="1:81" x14ac:dyDescent="0.25">
      <c r="A536" t="s">
        <v>17</v>
      </c>
      <c r="B536" t="s">
        <v>155</v>
      </c>
      <c r="C536" t="s">
        <v>330</v>
      </c>
      <c r="D536">
        <v>21362</v>
      </c>
      <c r="E536">
        <v>10</v>
      </c>
      <c r="P536" t="s">
        <v>33</v>
      </c>
      <c r="Q536" t="s">
        <v>182</v>
      </c>
      <c r="R536">
        <v>5</v>
      </c>
      <c r="AI536" t="s">
        <v>25</v>
      </c>
      <c r="AJ536">
        <v>13313</v>
      </c>
      <c r="AL536">
        <f>COUNTIF(AI:AI,AK536)</f>
        <v>0</v>
      </c>
      <c r="AM536">
        <f>SUMIF(AI:AI,AK536,AJ:AJ)</f>
        <v>0</v>
      </c>
      <c r="AP536" t="s">
        <v>10</v>
      </c>
      <c r="AQ536" t="s">
        <v>55</v>
      </c>
      <c r="BP536" t="s">
        <v>5</v>
      </c>
      <c r="BQ536" t="s">
        <v>285</v>
      </c>
      <c r="BR536">
        <f t="shared" si="90"/>
        <v>2</v>
      </c>
      <c r="BS536">
        <f t="shared" si="84"/>
        <v>2024</v>
      </c>
      <c r="BT536">
        <v>10</v>
      </c>
      <c r="BU536" t="str">
        <f t="shared" si="85"/>
        <v>2024-2</v>
      </c>
      <c r="BV536">
        <f t="shared" si="86"/>
        <v>2</v>
      </c>
      <c r="BX536" t="s">
        <v>17</v>
      </c>
      <c r="BY536" t="s">
        <v>330</v>
      </c>
      <c r="BZ536">
        <v>21362</v>
      </c>
      <c r="CA536">
        <f t="shared" si="87"/>
        <v>3</v>
      </c>
      <c r="CB536">
        <f t="shared" si="88"/>
        <v>2024</v>
      </c>
      <c r="CC536" t="str">
        <f t="shared" si="89"/>
        <v>2024-3</v>
      </c>
    </row>
    <row r="537" spans="1:81" x14ac:dyDescent="0.25">
      <c r="A537" t="s">
        <v>8</v>
      </c>
      <c r="B537" t="s">
        <v>25</v>
      </c>
      <c r="C537" t="s">
        <v>330</v>
      </c>
      <c r="D537">
        <v>13313</v>
      </c>
      <c r="E537">
        <v>6</v>
      </c>
      <c r="P537" t="s">
        <v>36</v>
      </c>
      <c r="Q537" t="s">
        <v>46</v>
      </c>
      <c r="R537">
        <v>10</v>
      </c>
      <c r="AI537" t="s">
        <v>132</v>
      </c>
      <c r="AJ537">
        <v>73668</v>
      </c>
      <c r="AL537">
        <f>COUNTIF(AI:AI,AK537)</f>
        <v>0</v>
      </c>
      <c r="AM537">
        <f>SUMIF(AI:AI,AK537,AJ:AJ)</f>
        <v>0</v>
      </c>
      <c r="AP537" t="s">
        <v>23</v>
      </c>
      <c r="AQ537" t="s">
        <v>180</v>
      </c>
      <c r="BP537" t="s">
        <v>5</v>
      </c>
      <c r="BQ537" t="s">
        <v>293</v>
      </c>
      <c r="BR537">
        <f t="shared" si="90"/>
        <v>2</v>
      </c>
      <c r="BS537">
        <f t="shared" si="84"/>
        <v>2024</v>
      </c>
      <c r="BT537">
        <v>6</v>
      </c>
      <c r="BU537" t="str">
        <f t="shared" si="85"/>
        <v>2024-2</v>
      </c>
      <c r="BV537">
        <f t="shared" si="86"/>
        <v>0</v>
      </c>
      <c r="BX537" t="s">
        <v>8</v>
      </c>
      <c r="BY537" t="s">
        <v>330</v>
      </c>
      <c r="BZ537">
        <v>13313</v>
      </c>
      <c r="CA537">
        <f t="shared" si="87"/>
        <v>3</v>
      </c>
      <c r="CB537">
        <f t="shared" si="88"/>
        <v>2024</v>
      </c>
      <c r="CC537" t="str">
        <f t="shared" si="89"/>
        <v>2024-3</v>
      </c>
    </row>
    <row r="538" spans="1:81" x14ac:dyDescent="0.25">
      <c r="A538" t="s">
        <v>27</v>
      </c>
      <c r="B538" t="s">
        <v>132</v>
      </c>
      <c r="C538" t="s">
        <v>330</v>
      </c>
      <c r="D538">
        <v>73668</v>
      </c>
      <c r="E538">
        <v>3</v>
      </c>
      <c r="P538" t="s">
        <v>27</v>
      </c>
      <c r="Q538" t="s">
        <v>199</v>
      </c>
      <c r="R538">
        <v>6</v>
      </c>
      <c r="AI538" t="s">
        <v>253</v>
      </c>
      <c r="AJ538">
        <v>64263</v>
      </c>
      <c r="AL538">
        <f>COUNTIF(AI:AI,AK538)</f>
        <v>0</v>
      </c>
      <c r="AM538">
        <f>SUMIF(AI:AI,AK538,AJ:AJ)</f>
        <v>0</v>
      </c>
      <c r="AP538" t="s">
        <v>14</v>
      </c>
      <c r="AQ538" t="s">
        <v>307</v>
      </c>
      <c r="BP538" t="s">
        <v>5</v>
      </c>
      <c r="BQ538" t="s">
        <v>299</v>
      </c>
      <c r="BR538">
        <f t="shared" si="90"/>
        <v>2</v>
      </c>
      <c r="BS538">
        <f t="shared" si="84"/>
        <v>2024</v>
      </c>
      <c r="BT538">
        <v>3</v>
      </c>
      <c r="BU538" t="str">
        <f t="shared" si="85"/>
        <v>2024-2</v>
      </c>
      <c r="BV538">
        <f t="shared" si="86"/>
        <v>0</v>
      </c>
      <c r="BX538" t="s">
        <v>27</v>
      </c>
      <c r="BY538" t="s">
        <v>330</v>
      </c>
      <c r="BZ538">
        <v>73668</v>
      </c>
      <c r="CA538">
        <f t="shared" si="87"/>
        <v>3</v>
      </c>
      <c r="CB538">
        <f t="shared" si="88"/>
        <v>2024</v>
      </c>
      <c r="CC538" t="str">
        <f t="shared" si="89"/>
        <v>2024-3</v>
      </c>
    </row>
    <row r="539" spans="1:81" x14ac:dyDescent="0.25">
      <c r="A539" t="s">
        <v>20</v>
      </c>
      <c r="B539" t="s">
        <v>253</v>
      </c>
      <c r="C539" t="s">
        <v>331</v>
      </c>
      <c r="D539">
        <v>64263</v>
      </c>
      <c r="E539">
        <v>5</v>
      </c>
      <c r="P539" t="s">
        <v>5</v>
      </c>
      <c r="Q539" t="s">
        <v>72</v>
      </c>
      <c r="R539">
        <v>6</v>
      </c>
      <c r="AI539" t="s">
        <v>88</v>
      </c>
      <c r="AJ539">
        <v>37901</v>
      </c>
      <c r="AL539">
        <f>COUNTIF(AI:AI,AK539)</f>
        <v>0</v>
      </c>
      <c r="AM539">
        <f>SUMIF(AI:AI,AK539,AJ:AJ)</f>
        <v>0</v>
      </c>
      <c r="AP539" t="s">
        <v>14</v>
      </c>
      <c r="AQ539" t="s">
        <v>274</v>
      </c>
      <c r="BP539" t="s">
        <v>5</v>
      </c>
      <c r="BQ539" t="s">
        <v>304</v>
      </c>
      <c r="BR539">
        <f t="shared" si="90"/>
        <v>2</v>
      </c>
      <c r="BS539">
        <f t="shared" si="84"/>
        <v>2024</v>
      </c>
      <c r="BT539">
        <v>5</v>
      </c>
      <c r="BU539" t="str">
        <f t="shared" si="85"/>
        <v>2024-2</v>
      </c>
      <c r="BV539">
        <f t="shared" si="86"/>
        <v>0</v>
      </c>
      <c r="BX539" t="s">
        <v>20</v>
      </c>
      <c r="BY539" t="s">
        <v>331</v>
      </c>
      <c r="BZ539">
        <v>64263</v>
      </c>
      <c r="CA539">
        <f t="shared" si="87"/>
        <v>3</v>
      </c>
      <c r="CB539">
        <f t="shared" si="88"/>
        <v>2024</v>
      </c>
      <c r="CC539" t="str">
        <f t="shared" si="89"/>
        <v>2024-3</v>
      </c>
    </row>
    <row r="540" spans="1:81" x14ac:dyDescent="0.25">
      <c r="A540" t="s">
        <v>17</v>
      </c>
      <c r="B540" t="s">
        <v>88</v>
      </c>
      <c r="C540" t="s">
        <v>331</v>
      </c>
      <c r="D540">
        <v>37901</v>
      </c>
      <c r="E540">
        <v>6</v>
      </c>
      <c r="P540" t="s">
        <v>12</v>
      </c>
      <c r="Q540" t="s">
        <v>75</v>
      </c>
      <c r="R540">
        <v>3</v>
      </c>
      <c r="AI540" t="s">
        <v>263</v>
      </c>
      <c r="AJ540">
        <v>45223</v>
      </c>
      <c r="AL540">
        <f>COUNTIF(AI:AI,AK540)</f>
        <v>0</v>
      </c>
      <c r="AM540">
        <f>SUMIF(AI:AI,AK540,AJ:AJ)</f>
        <v>0</v>
      </c>
      <c r="AP540" t="s">
        <v>14</v>
      </c>
      <c r="AQ540" t="s">
        <v>195</v>
      </c>
      <c r="BP540" t="s">
        <v>5</v>
      </c>
      <c r="BQ540" t="s">
        <v>304</v>
      </c>
      <c r="BR540">
        <f t="shared" si="90"/>
        <v>2</v>
      </c>
      <c r="BS540">
        <f t="shared" si="84"/>
        <v>2024</v>
      </c>
      <c r="BT540">
        <v>6</v>
      </c>
      <c r="BU540" t="str">
        <f t="shared" si="85"/>
        <v>2024-2</v>
      </c>
      <c r="BV540">
        <f t="shared" si="86"/>
        <v>0</v>
      </c>
      <c r="BX540" t="s">
        <v>17</v>
      </c>
      <c r="BY540" t="s">
        <v>331</v>
      </c>
      <c r="BZ540">
        <v>37901</v>
      </c>
      <c r="CA540">
        <f t="shared" si="87"/>
        <v>3</v>
      </c>
      <c r="CB540">
        <f t="shared" si="88"/>
        <v>2024</v>
      </c>
      <c r="CC540" t="str">
        <f t="shared" si="89"/>
        <v>2024-3</v>
      </c>
    </row>
    <row r="541" spans="1:81" x14ac:dyDescent="0.25">
      <c r="A541" t="s">
        <v>10</v>
      </c>
      <c r="B541" t="s">
        <v>263</v>
      </c>
      <c r="C541" t="s">
        <v>331</v>
      </c>
      <c r="D541">
        <v>45223</v>
      </c>
      <c r="E541">
        <v>9</v>
      </c>
      <c r="P541" t="s">
        <v>14</v>
      </c>
      <c r="Q541" t="s">
        <v>276</v>
      </c>
      <c r="R541">
        <v>4</v>
      </c>
      <c r="AI541" t="s">
        <v>182</v>
      </c>
      <c r="AJ541">
        <v>15482</v>
      </c>
      <c r="AL541">
        <f>COUNTIF(AI:AI,AK541)</f>
        <v>0</v>
      </c>
      <c r="AM541">
        <f>SUMIF(AI:AI,AK541,AJ:AJ)</f>
        <v>0</v>
      </c>
      <c r="AP541" t="s">
        <v>10</v>
      </c>
      <c r="AQ541" t="s">
        <v>173</v>
      </c>
      <c r="BP541" t="s">
        <v>5</v>
      </c>
      <c r="BQ541" t="s">
        <v>306</v>
      </c>
      <c r="BR541">
        <f t="shared" si="90"/>
        <v>2</v>
      </c>
      <c r="BS541">
        <f t="shared" si="84"/>
        <v>2024</v>
      </c>
      <c r="BT541">
        <v>9</v>
      </c>
      <c r="BU541" t="str">
        <f t="shared" si="85"/>
        <v>2024-2</v>
      </c>
      <c r="BV541">
        <f t="shared" si="86"/>
        <v>2</v>
      </c>
      <c r="BX541" t="s">
        <v>10</v>
      </c>
      <c r="BY541" t="s">
        <v>331</v>
      </c>
      <c r="BZ541">
        <v>45223</v>
      </c>
      <c r="CA541">
        <f t="shared" si="87"/>
        <v>3</v>
      </c>
      <c r="CB541">
        <f t="shared" si="88"/>
        <v>2024</v>
      </c>
      <c r="CC541" t="str">
        <f t="shared" si="89"/>
        <v>2024-3</v>
      </c>
    </row>
    <row r="542" spans="1:81" x14ac:dyDescent="0.25">
      <c r="A542" t="s">
        <v>33</v>
      </c>
      <c r="B542" t="s">
        <v>182</v>
      </c>
      <c r="C542" t="s">
        <v>332</v>
      </c>
      <c r="D542">
        <v>15482</v>
      </c>
      <c r="E542">
        <v>5</v>
      </c>
      <c r="P542" t="s">
        <v>5</v>
      </c>
      <c r="Q542" t="s">
        <v>87</v>
      </c>
      <c r="R542">
        <v>7</v>
      </c>
      <c r="AI542" t="s">
        <v>46</v>
      </c>
      <c r="AJ542">
        <v>34665</v>
      </c>
      <c r="AL542">
        <f>COUNTIF(AI:AI,AK542)</f>
        <v>0</v>
      </c>
      <c r="AM542">
        <f>SUMIF(AI:AI,AK542,AJ:AJ)</f>
        <v>0</v>
      </c>
      <c r="AP542" t="s">
        <v>5</v>
      </c>
      <c r="AQ542" t="s">
        <v>259</v>
      </c>
      <c r="BP542" t="s">
        <v>5</v>
      </c>
      <c r="BQ542" t="s">
        <v>315</v>
      </c>
      <c r="BR542">
        <f t="shared" si="90"/>
        <v>3</v>
      </c>
      <c r="BS542">
        <f t="shared" si="84"/>
        <v>2024</v>
      </c>
      <c r="BT542">
        <v>5</v>
      </c>
      <c r="BU542" t="str">
        <f t="shared" si="85"/>
        <v>2024-3</v>
      </c>
      <c r="BV542">
        <f t="shared" si="86"/>
        <v>0</v>
      </c>
      <c r="BX542" t="s">
        <v>33</v>
      </c>
      <c r="BY542" t="s">
        <v>332</v>
      </c>
      <c r="BZ542">
        <v>15482</v>
      </c>
      <c r="CA542">
        <f t="shared" si="87"/>
        <v>3</v>
      </c>
      <c r="CB542">
        <f t="shared" si="88"/>
        <v>2024</v>
      </c>
      <c r="CC542" t="str">
        <f t="shared" si="89"/>
        <v>2024-3</v>
      </c>
    </row>
    <row r="543" spans="1:81" x14ac:dyDescent="0.25">
      <c r="A543" t="s">
        <v>36</v>
      </c>
      <c r="B543" t="s">
        <v>46</v>
      </c>
      <c r="C543" t="s">
        <v>332</v>
      </c>
      <c r="D543">
        <v>34665</v>
      </c>
      <c r="E543">
        <v>10</v>
      </c>
      <c r="P543" t="s">
        <v>23</v>
      </c>
      <c r="Q543" t="s">
        <v>256</v>
      </c>
      <c r="R543">
        <v>8</v>
      </c>
      <c r="AI543" t="s">
        <v>199</v>
      </c>
      <c r="AJ543">
        <v>86814</v>
      </c>
      <c r="AL543">
        <f>COUNTIF(AI:AI,AK543)</f>
        <v>0</v>
      </c>
      <c r="AM543">
        <f>SUMIF(AI:AI,AK543,AJ:AJ)</f>
        <v>0</v>
      </c>
      <c r="AP543" t="s">
        <v>12</v>
      </c>
      <c r="AQ543" t="s">
        <v>44</v>
      </c>
      <c r="BP543" t="s">
        <v>5</v>
      </c>
      <c r="BQ543" t="s">
        <v>315</v>
      </c>
      <c r="BR543">
        <f t="shared" si="90"/>
        <v>3</v>
      </c>
      <c r="BS543">
        <f t="shared" si="84"/>
        <v>2024</v>
      </c>
      <c r="BT543">
        <v>10</v>
      </c>
      <c r="BU543" t="str">
        <f t="shared" si="85"/>
        <v>2024-3</v>
      </c>
      <c r="BV543">
        <f t="shared" si="86"/>
        <v>2</v>
      </c>
      <c r="BX543" t="s">
        <v>36</v>
      </c>
      <c r="BY543" t="s">
        <v>332</v>
      </c>
      <c r="BZ543">
        <v>34665</v>
      </c>
      <c r="CA543">
        <f t="shared" si="87"/>
        <v>3</v>
      </c>
      <c r="CB543">
        <f t="shared" si="88"/>
        <v>2024</v>
      </c>
      <c r="CC543" t="str">
        <f t="shared" si="89"/>
        <v>2024-3</v>
      </c>
    </row>
    <row r="544" spans="1:81" x14ac:dyDescent="0.25">
      <c r="A544" t="s">
        <v>27</v>
      </c>
      <c r="B544" t="s">
        <v>199</v>
      </c>
      <c r="C544" t="s">
        <v>333</v>
      </c>
      <c r="D544">
        <v>86814</v>
      </c>
      <c r="E544">
        <v>6</v>
      </c>
      <c r="P544" t="s">
        <v>36</v>
      </c>
      <c r="Q544" t="s">
        <v>334</v>
      </c>
      <c r="R544">
        <v>4</v>
      </c>
      <c r="AI544" t="s">
        <v>72</v>
      </c>
      <c r="AJ544">
        <v>10010</v>
      </c>
      <c r="AL544">
        <f>COUNTIF(AI:AI,AK544)</f>
        <v>0</v>
      </c>
      <c r="AM544">
        <f>SUMIF(AI:AI,AK544,AJ:AJ)</f>
        <v>0</v>
      </c>
      <c r="AP544" t="s">
        <v>5</v>
      </c>
      <c r="AQ544" t="s">
        <v>68</v>
      </c>
      <c r="BP544" t="s">
        <v>5</v>
      </c>
      <c r="BQ544" t="s">
        <v>318</v>
      </c>
      <c r="BR544">
        <f t="shared" si="90"/>
        <v>3</v>
      </c>
      <c r="BS544">
        <f t="shared" si="84"/>
        <v>2024</v>
      </c>
      <c r="BT544">
        <v>6</v>
      </c>
      <c r="BU544" t="str">
        <f t="shared" si="85"/>
        <v>2024-3</v>
      </c>
      <c r="BV544">
        <f t="shared" si="86"/>
        <v>0</v>
      </c>
      <c r="BX544" t="s">
        <v>27</v>
      </c>
      <c r="BY544" t="s">
        <v>333</v>
      </c>
      <c r="BZ544">
        <v>86814</v>
      </c>
      <c r="CA544">
        <f t="shared" si="87"/>
        <v>3</v>
      </c>
      <c r="CB544">
        <f t="shared" si="88"/>
        <v>2024</v>
      </c>
      <c r="CC544" t="str">
        <f t="shared" si="89"/>
        <v>2024-3</v>
      </c>
    </row>
    <row r="545" spans="1:81" x14ac:dyDescent="0.25">
      <c r="A545" t="s">
        <v>5</v>
      </c>
      <c r="B545" t="s">
        <v>72</v>
      </c>
      <c r="C545" t="s">
        <v>333</v>
      </c>
      <c r="D545">
        <v>10010</v>
      </c>
      <c r="E545">
        <v>6</v>
      </c>
      <c r="P545" t="s">
        <v>10</v>
      </c>
      <c r="Q545" t="s">
        <v>245</v>
      </c>
      <c r="R545">
        <v>4</v>
      </c>
      <c r="AI545" t="s">
        <v>75</v>
      </c>
      <c r="AJ545">
        <v>43477</v>
      </c>
      <c r="AL545">
        <f>COUNTIF(AI:AI,AK545)</f>
        <v>0</v>
      </c>
      <c r="AM545">
        <f>SUMIF(AI:AI,AK545,AJ:AJ)</f>
        <v>0</v>
      </c>
      <c r="AP545" t="s">
        <v>14</v>
      </c>
      <c r="AQ545" t="s">
        <v>316</v>
      </c>
      <c r="BP545" t="s">
        <v>5</v>
      </c>
      <c r="BQ545" t="s">
        <v>321</v>
      </c>
      <c r="BR545">
        <f t="shared" si="90"/>
        <v>3</v>
      </c>
      <c r="BS545">
        <f t="shared" si="84"/>
        <v>2024</v>
      </c>
      <c r="BT545">
        <v>6</v>
      </c>
      <c r="BU545" t="str">
        <f t="shared" si="85"/>
        <v>2024-3</v>
      </c>
      <c r="BV545">
        <f t="shared" si="86"/>
        <v>0</v>
      </c>
      <c r="BX545" t="s">
        <v>5</v>
      </c>
      <c r="BY545" t="s">
        <v>333</v>
      </c>
      <c r="BZ545">
        <v>10010</v>
      </c>
      <c r="CA545">
        <f t="shared" si="87"/>
        <v>3</v>
      </c>
      <c r="CB545">
        <f t="shared" si="88"/>
        <v>2024</v>
      </c>
      <c r="CC545" t="str">
        <f t="shared" si="89"/>
        <v>2024-3</v>
      </c>
    </row>
    <row r="546" spans="1:81" x14ac:dyDescent="0.25">
      <c r="A546" t="s">
        <v>12</v>
      </c>
      <c r="B546" t="s">
        <v>75</v>
      </c>
      <c r="C546" t="s">
        <v>333</v>
      </c>
      <c r="D546">
        <v>43477</v>
      </c>
      <c r="E546">
        <v>3</v>
      </c>
      <c r="P546" t="s">
        <v>14</v>
      </c>
      <c r="Q546" t="s">
        <v>222</v>
      </c>
      <c r="R546">
        <v>0</v>
      </c>
      <c r="AI546" t="s">
        <v>276</v>
      </c>
      <c r="AJ546">
        <v>97134</v>
      </c>
      <c r="AL546">
        <f>COUNTIF(AI:AI,AK546)</f>
        <v>0</v>
      </c>
      <c r="AM546">
        <f>SUMIF(AI:AI,AK546,AJ:AJ)</f>
        <v>0</v>
      </c>
      <c r="AP546" t="s">
        <v>12</v>
      </c>
      <c r="AQ546" t="s">
        <v>169</v>
      </c>
      <c r="BP546" t="s">
        <v>5</v>
      </c>
      <c r="BQ546" t="s">
        <v>322</v>
      </c>
      <c r="BR546">
        <f t="shared" si="90"/>
        <v>3</v>
      </c>
      <c r="BS546">
        <f t="shared" si="84"/>
        <v>2024</v>
      </c>
      <c r="BT546">
        <v>3</v>
      </c>
      <c r="BU546" t="str">
        <f t="shared" si="85"/>
        <v>2024-3</v>
      </c>
      <c r="BV546">
        <f t="shared" si="86"/>
        <v>0</v>
      </c>
      <c r="BX546" t="s">
        <v>12</v>
      </c>
      <c r="BY546" t="s">
        <v>333</v>
      </c>
      <c r="BZ546">
        <v>43477</v>
      </c>
      <c r="CA546">
        <f t="shared" si="87"/>
        <v>3</v>
      </c>
      <c r="CB546">
        <f t="shared" si="88"/>
        <v>2024</v>
      </c>
      <c r="CC546" t="str">
        <f t="shared" si="89"/>
        <v>2024-3</v>
      </c>
    </row>
    <row r="547" spans="1:81" x14ac:dyDescent="0.25">
      <c r="A547" t="s">
        <v>14</v>
      </c>
      <c r="B547" t="s">
        <v>276</v>
      </c>
      <c r="C547" t="s">
        <v>333</v>
      </c>
      <c r="D547">
        <v>97134</v>
      </c>
      <c r="E547">
        <v>4</v>
      </c>
      <c r="P547" t="s">
        <v>27</v>
      </c>
      <c r="Q547" t="s">
        <v>60</v>
      </c>
      <c r="R547">
        <v>8</v>
      </c>
      <c r="AI547" t="s">
        <v>87</v>
      </c>
      <c r="AJ547">
        <v>31571</v>
      </c>
      <c r="AL547">
        <f>COUNTIF(AI:AI,AK547)</f>
        <v>0</v>
      </c>
      <c r="AM547">
        <f>SUMIF(AI:AI,AK547,AJ:AJ)</f>
        <v>0</v>
      </c>
      <c r="AP547" t="s">
        <v>5</v>
      </c>
      <c r="AQ547" t="s">
        <v>161</v>
      </c>
      <c r="BP547" t="s">
        <v>5</v>
      </c>
      <c r="BQ547" t="s">
        <v>328</v>
      </c>
      <c r="BR547">
        <f t="shared" si="90"/>
        <v>3</v>
      </c>
      <c r="BS547">
        <f t="shared" si="84"/>
        <v>2024</v>
      </c>
      <c r="BT547">
        <v>4</v>
      </c>
      <c r="BU547" t="str">
        <f t="shared" si="85"/>
        <v>2024-3</v>
      </c>
      <c r="BV547">
        <f t="shared" si="86"/>
        <v>0</v>
      </c>
      <c r="BX547" t="s">
        <v>14</v>
      </c>
      <c r="BY547" t="s">
        <v>333</v>
      </c>
      <c r="BZ547">
        <v>97134</v>
      </c>
      <c r="CA547">
        <f t="shared" si="87"/>
        <v>3</v>
      </c>
      <c r="CB547">
        <f t="shared" si="88"/>
        <v>2024</v>
      </c>
      <c r="CC547" t="str">
        <f t="shared" si="89"/>
        <v>2024-3</v>
      </c>
    </row>
    <row r="548" spans="1:81" x14ac:dyDescent="0.25">
      <c r="A548" t="s">
        <v>5</v>
      </c>
      <c r="B548" t="s">
        <v>87</v>
      </c>
      <c r="C548" t="s">
        <v>333</v>
      </c>
      <c r="D548">
        <v>31571</v>
      </c>
      <c r="E548">
        <v>7</v>
      </c>
      <c r="P548" t="s">
        <v>23</v>
      </c>
      <c r="Q548" t="s">
        <v>98</v>
      </c>
      <c r="R548">
        <v>6</v>
      </c>
      <c r="AI548" t="s">
        <v>116</v>
      </c>
      <c r="AJ548">
        <v>60702</v>
      </c>
      <c r="AL548">
        <f>COUNTIF(AI:AI,AK548)</f>
        <v>0</v>
      </c>
      <c r="AM548">
        <f>SUMIF(AI:AI,AK548,AJ:AJ)</f>
        <v>0</v>
      </c>
      <c r="AP548" t="s">
        <v>33</v>
      </c>
      <c r="AQ548" t="s">
        <v>195</v>
      </c>
      <c r="BP548" t="s">
        <v>5</v>
      </c>
      <c r="BQ548" t="s">
        <v>333</v>
      </c>
      <c r="BR548">
        <f t="shared" si="90"/>
        <v>3</v>
      </c>
      <c r="BS548">
        <f t="shared" si="84"/>
        <v>2024</v>
      </c>
      <c r="BT548">
        <v>7</v>
      </c>
      <c r="BU548" t="str">
        <f t="shared" si="85"/>
        <v>2024-3</v>
      </c>
      <c r="BV548">
        <f t="shared" si="86"/>
        <v>1</v>
      </c>
      <c r="BX548" t="s">
        <v>5</v>
      </c>
      <c r="BY548" t="s">
        <v>333</v>
      </c>
      <c r="BZ548">
        <v>31571</v>
      </c>
      <c r="CA548">
        <f t="shared" si="87"/>
        <v>3</v>
      </c>
      <c r="CB548">
        <f t="shared" si="88"/>
        <v>2024</v>
      </c>
      <c r="CC548" t="str">
        <f t="shared" si="89"/>
        <v>2024-3</v>
      </c>
    </row>
    <row r="549" spans="1:81" x14ac:dyDescent="0.25">
      <c r="A549" t="s">
        <v>32</v>
      </c>
      <c r="B549" t="s">
        <v>116</v>
      </c>
      <c r="C549" t="s">
        <v>333</v>
      </c>
      <c r="D549">
        <v>60702</v>
      </c>
      <c r="E549">
        <v>10</v>
      </c>
      <c r="P549" t="s">
        <v>5</v>
      </c>
      <c r="Q549" t="s">
        <v>241</v>
      </c>
      <c r="R549">
        <v>4</v>
      </c>
      <c r="AI549" t="s">
        <v>256</v>
      </c>
      <c r="AJ549">
        <v>23133</v>
      </c>
      <c r="AL549">
        <f>COUNTIF(AI:AI,AK549)</f>
        <v>0</v>
      </c>
      <c r="AM549">
        <f>SUMIF(AI:AI,AK549,AJ:AJ)</f>
        <v>0</v>
      </c>
      <c r="AP549" t="s">
        <v>36</v>
      </c>
      <c r="AQ549" t="s">
        <v>215</v>
      </c>
      <c r="BP549" t="s">
        <v>5</v>
      </c>
      <c r="BQ549" t="s">
        <v>333</v>
      </c>
      <c r="BR549">
        <f t="shared" si="90"/>
        <v>3</v>
      </c>
      <c r="BS549">
        <f t="shared" si="84"/>
        <v>2024</v>
      </c>
      <c r="BT549">
        <v>10</v>
      </c>
      <c r="BU549" t="str">
        <f t="shared" si="85"/>
        <v>2024-3</v>
      </c>
      <c r="BV549">
        <f t="shared" si="86"/>
        <v>2</v>
      </c>
      <c r="BX549" t="s">
        <v>32</v>
      </c>
      <c r="BY549" t="s">
        <v>333</v>
      </c>
      <c r="BZ549">
        <v>60702</v>
      </c>
      <c r="CA549">
        <f t="shared" si="87"/>
        <v>3</v>
      </c>
      <c r="CB549">
        <f t="shared" si="88"/>
        <v>2024</v>
      </c>
      <c r="CC549" t="str">
        <f t="shared" si="89"/>
        <v>2024-3</v>
      </c>
    </row>
    <row r="550" spans="1:81" x14ac:dyDescent="0.25">
      <c r="A550" t="s">
        <v>23</v>
      </c>
      <c r="B550" t="s">
        <v>256</v>
      </c>
      <c r="C550" t="s">
        <v>333</v>
      </c>
      <c r="D550">
        <v>23133</v>
      </c>
      <c r="E550">
        <v>8</v>
      </c>
      <c r="P550" t="s">
        <v>10</v>
      </c>
      <c r="Q550" t="s">
        <v>336</v>
      </c>
      <c r="R550">
        <v>4</v>
      </c>
      <c r="AI550" t="s">
        <v>334</v>
      </c>
      <c r="AJ550">
        <v>26311</v>
      </c>
      <c r="AL550">
        <f>COUNTIF(AI:AI,AK550)</f>
        <v>0</v>
      </c>
      <c r="AM550">
        <f>SUMIF(AI:AI,AK550,AJ:AJ)</f>
        <v>0</v>
      </c>
      <c r="AP550" t="s">
        <v>36</v>
      </c>
      <c r="AQ550" t="s">
        <v>255</v>
      </c>
      <c r="BP550" t="s">
        <v>5</v>
      </c>
      <c r="BQ550" t="s">
        <v>335</v>
      </c>
      <c r="BR550">
        <f t="shared" si="90"/>
        <v>3</v>
      </c>
      <c r="BS550">
        <f t="shared" si="84"/>
        <v>2024</v>
      </c>
      <c r="BT550">
        <v>8</v>
      </c>
      <c r="BU550" t="str">
        <f t="shared" si="85"/>
        <v>2024-3</v>
      </c>
      <c r="BV550">
        <f t="shared" si="86"/>
        <v>1</v>
      </c>
      <c r="BX550" t="s">
        <v>23</v>
      </c>
      <c r="BY550" t="s">
        <v>333</v>
      </c>
      <c r="BZ550">
        <v>23133</v>
      </c>
      <c r="CA550">
        <f t="shared" si="87"/>
        <v>3</v>
      </c>
      <c r="CB550">
        <f t="shared" si="88"/>
        <v>2024</v>
      </c>
      <c r="CC550" t="str">
        <f t="shared" si="89"/>
        <v>2024-3</v>
      </c>
    </row>
    <row r="551" spans="1:81" x14ac:dyDescent="0.25">
      <c r="A551" t="s">
        <v>36</v>
      </c>
      <c r="B551" t="s">
        <v>334</v>
      </c>
      <c r="C551" t="s">
        <v>333</v>
      </c>
      <c r="D551">
        <v>26311</v>
      </c>
      <c r="E551">
        <v>4</v>
      </c>
      <c r="P551" t="s">
        <v>32</v>
      </c>
      <c r="Q551" t="s">
        <v>72</v>
      </c>
      <c r="R551">
        <v>6</v>
      </c>
      <c r="AI551" t="s">
        <v>245</v>
      </c>
      <c r="AJ551">
        <v>12836</v>
      </c>
      <c r="AL551">
        <f>COUNTIF(AI:AI,AK551)</f>
        <v>0</v>
      </c>
      <c r="AM551">
        <f>SUMIF(AI:AI,AK551,AJ:AJ)</f>
        <v>0</v>
      </c>
      <c r="AP551" t="s">
        <v>8</v>
      </c>
      <c r="AQ551" t="s">
        <v>55</v>
      </c>
      <c r="BP551" t="s">
        <v>5</v>
      </c>
      <c r="BQ551" t="s">
        <v>337</v>
      </c>
      <c r="BR551">
        <f t="shared" si="90"/>
        <v>3</v>
      </c>
      <c r="BS551">
        <f t="shared" si="84"/>
        <v>2024</v>
      </c>
      <c r="BT551">
        <v>4</v>
      </c>
      <c r="BU551" t="str">
        <f t="shared" si="85"/>
        <v>2024-3</v>
      </c>
      <c r="BV551">
        <f t="shared" si="86"/>
        <v>0</v>
      </c>
      <c r="BX551" t="s">
        <v>36</v>
      </c>
      <c r="BY551" t="s">
        <v>333</v>
      </c>
      <c r="BZ551">
        <v>26311</v>
      </c>
      <c r="CA551">
        <f t="shared" si="87"/>
        <v>3</v>
      </c>
      <c r="CB551">
        <f t="shared" si="88"/>
        <v>2024</v>
      </c>
      <c r="CC551" t="str">
        <f t="shared" si="89"/>
        <v>2024-3</v>
      </c>
    </row>
    <row r="552" spans="1:81" x14ac:dyDescent="0.25">
      <c r="A552" t="s">
        <v>10</v>
      </c>
      <c r="B552" t="s">
        <v>245</v>
      </c>
      <c r="C552" t="s">
        <v>333</v>
      </c>
      <c r="D552">
        <v>12836</v>
      </c>
      <c r="E552">
        <v>4</v>
      </c>
      <c r="P552" t="s">
        <v>5</v>
      </c>
      <c r="Q552" t="s">
        <v>47</v>
      </c>
      <c r="R552">
        <v>0</v>
      </c>
      <c r="AI552" t="s">
        <v>222</v>
      </c>
      <c r="AJ552">
        <v>68787</v>
      </c>
      <c r="AL552">
        <f>COUNTIF(AI:AI,AK552)</f>
        <v>0</v>
      </c>
      <c r="AM552">
        <f>SUMIF(AI:AI,AK552,AJ:AJ)</f>
        <v>0</v>
      </c>
      <c r="AP552" t="s">
        <v>10</v>
      </c>
      <c r="AQ552" t="s">
        <v>158</v>
      </c>
      <c r="BP552" t="s">
        <v>5</v>
      </c>
      <c r="BQ552" t="s">
        <v>340</v>
      </c>
      <c r="BR552">
        <f t="shared" si="90"/>
        <v>4</v>
      </c>
      <c r="BS552">
        <f t="shared" si="84"/>
        <v>2024</v>
      </c>
      <c r="BT552">
        <v>4</v>
      </c>
      <c r="BU552" t="str">
        <f t="shared" si="85"/>
        <v>2024-4</v>
      </c>
      <c r="BV552">
        <f t="shared" si="86"/>
        <v>0</v>
      </c>
      <c r="BX552" t="s">
        <v>10</v>
      </c>
      <c r="BY552" t="s">
        <v>333</v>
      </c>
      <c r="BZ552">
        <v>12836</v>
      </c>
      <c r="CA552">
        <f t="shared" si="87"/>
        <v>3</v>
      </c>
      <c r="CB552">
        <f t="shared" si="88"/>
        <v>2024</v>
      </c>
      <c r="CC552" t="str">
        <f t="shared" si="89"/>
        <v>2024-3</v>
      </c>
    </row>
    <row r="553" spans="1:81" x14ac:dyDescent="0.25">
      <c r="A553" t="s">
        <v>14</v>
      </c>
      <c r="B553" t="s">
        <v>222</v>
      </c>
      <c r="C553" t="s">
        <v>335</v>
      </c>
      <c r="D553">
        <v>68787</v>
      </c>
      <c r="E553">
        <v>0</v>
      </c>
      <c r="P553" t="s">
        <v>33</v>
      </c>
      <c r="Q553" t="s">
        <v>188</v>
      </c>
      <c r="R553">
        <v>6</v>
      </c>
      <c r="AI553" t="s">
        <v>60</v>
      </c>
      <c r="AJ553">
        <v>67614</v>
      </c>
      <c r="AL553">
        <f>COUNTIF(AI:AI,AK553)</f>
        <v>0</v>
      </c>
      <c r="AM553">
        <f>SUMIF(AI:AI,AK553,AJ:AJ)</f>
        <v>0</v>
      </c>
      <c r="AP553" t="s">
        <v>20</v>
      </c>
      <c r="AQ553" t="s">
        <v>188</v>
      </c>
      <c r="BP553" t="s">
        <v>5</v>
      </c>
      <c r="BQ553" t="s">
        <v>345</v>
      </c>
      <c r="BR553">
        <f t="shared" si="90"/>
        <v>4</v>
      </c>
      <c r="BS553">
        <f t="shared" si="84"/>
        <v>2024</v>
      </c>
      <c r="BT553">
        <v>0</v>
      </c>
      <c r="BU553" t="str">
        <f t="shared" si="85"/>
        <v>2024-4</v>
      </c>
      <c r="BV553">
        <f t="shared" si="86"/>
        <v>0</v>
      </c>
      <c r="BX553" t="s">
        <v>14</v>
      </c>
      <c r="BY553" t="s">
        <v>335</v>
      </c>
      <c r="BZ553">
        <v>68787</v>
      </c>
      <c r="CA553">
        <f t="shared" si="87"/>
        <v>3</v>
      </c>
      <c r="CB553">
        <f t="shared" si="88"/>
        <v>2024</v>
      </c>
      <c r="CC553" t="str">
        <f t="shared" si="89"/>
        <v>2024-3</v>
      </c>
    </row>
    <row r="554" spans="1:81" x14ac:dyDescent="0.25">
      <c r="A554" t="s">
        <v>27</v>
      </c>
      <c r="B554" t="s">
        <v>60</v>
      </c>
      <c r="C554" t="s">
        <v>335</v>
      </c>
      <c r="D554">
        <v>67614</v>
      </c>
      <c r="E554">
        <v>8</v>
      </c>
      <c r="P554" t="s">
        <v>14</v>
      </c>
      <c r="Q554" t="s">
        <v>266</v>
      </c>
      <c r="R554">
        <v>4</v>
      </c>
      <c r="AI554" t="s">
        <v>98</v>
      </c>
      <c r="AJ554">
        <v>93047</v>
      </c>
      <c r="AL554">
        <f>COUNTIF(AI:AI,AK554)</f>
        <v>0</v>
      </c>
      <c r="AM554">
        <f>SUMIF(AI:AI,AK554,AJ:AJ)</f>
        <v>0</v>
      </c>
      <c r="AP554" t="s">
        <v>27</v>
      </c>
      <c r="AQ554" t="s">
        <v>116</v>
      </c>
      <c r="BP554" t="s">
        <v>5</v>
      </c>
      <c r="BQ554" t="s">
        <v>346</v>
      </c>
      <c r="BR554">
        <f t="shared" si="90"/>
        <v>4</v>
      </c>
      <c r="BS554">
        <f t="shared" si="84"/>
        <v>2024</v>
      </c>
      <c r="BT554">
        <v>8</v>
      </c>
      <c r="BU554" t="str">
        <f t="shared" si="85"/>
        <v>2024-4</v>
      </c>
      <c r="BV554">
        <f t="shared" si="86"/>
        <v>1</v>
      </c>
      <c r="BX554" t="s">
        <v>27</v>
      </c>
      <c r="BY554" t="s">
        <v>335</v>
      </c>
      <c r="BZ554">
        <v>67614</v>
      </c>
      <c r="CA554">
        <f t="shared" si="87"/>
        <v>3</v>
      </c>
      <c r="CB554">
        <f t="shared" si="88"/>
        <v>2024</v>
      </c>
      <c r="CC554" t="str">
        <f t="shared" si="89"/>
        <v>2024-3</v>
      </c>
    </row>
    <row r="555" spans="1:81" x14ac:dyDescent="0.25">
      <c r="A555" t="s">
        <v>23</v>
      </c>
      <c r="B555" t="s">
        <v>98</v>
      </c>
      <c r="C555" t="s">
        <v>335</v>
      </c>
      <c r="D555">
        <v>93047</v>
      </c>
      <c r="E555">
        <v>6</v>
      </c>
      <c r="P555" t="s">
        <v>23</v>
      </c>
      <c r="Q555" t="s">
        <v>84</v>
      </c>
      <c r="R555">
        <v>4</v>
      </c>
      <c r="AI555" t="s">
        <v>120</v>
      </c>
      <c r="AJ555">
        <v>97865</v>
      </c>
      <c r="AL555">
        <f>COUNTIF(AI:AI,AK555)</f>
        <v>0</v>
      </c>
      <c r="AM555">
        <f>SUMIF(AI:AI,AK555,AJ:AJ)</f>
        <v>0</v>
      </c>
      <c r="AP555" t="s">
        <v>20</v>
      </c>
      <c r="AQ555" t="s">
        <v>307</v>
      </c>
      <c r="BP555" t="s">
        <v>5</v>
      </c>
      <c r="BQ555" t="s">
        <v>346</v>
      </c>
      <c r="BR555">
        <f t="shared" si="90"/>
        <v>4</v>
      </c>
      <c r="BS555">
        <f t="shared" si="84"/>
        <v>2024</v>
      </c>
      <c r="BT555">
        <v>6</v>
      </c>
      <c r="BU555" t="str">
        <f t="shared" si="85"/>
        <v>2024-4</v>
      </c>
      <c r="BV555">
        <f t="shared" si="86"/>
        <v>0</v>
      </c>
      <c r="BX555" t="s">
        <v>23</v>
      </c>
      <c r="BY555" t="s">
        <v>335</v>
      </c>
      <c r="BZ555">
        <v>93047</v>
      </c>
      <c r="CA555">
        <f t="shared" si="87"/>
        <v>3</v>
      </c>
      <c r="CB555">
        <f t="shared" si="88"/>
        <v>2024</v>
      </c>
      <c r="CC555" t="str">
        <f t="shared" si="89"/>
        <v>2024-3</v>
      </c>
    </row>
    <row r="556" spans="1:81" x14ac:dyDescent="0.25">
      <c r="A556" t="s">
        <v>23</v>
      </c>
      <c r="B556" t="s">
        <v>120</v>
      </c>
      <c r="C556" t="s">
        <v>335</v>
      </c>
      <c r="D556">
        <v>97865</v>
      </c>
      <c r="E556">
        <v>10</v>
      </c>
      <c r="P556" t="s">
        <v>23</v>
      </c>
      <c r="Q556" t="s">
        <v>48</v>
      </c>
      <c r="R556">
        <v>7</v>
      </c>
      <c r="AI556" t="s">
        <v>241</v>
      </c>
      <c r="AJ556">
        <v>62295</v>
      </c>
      <c r="AL556">
        <f>COUNTIF(AI:AI,AK556)</f>
        <v>0</v>
      </c>
      <c r="AM556">
        <f>SUMIF(AI:AI,AK556,AJ:AJ)</f>
        <v>0</v>
      </c>
      <c r="AP556" t="s">
        <v>23</v>
      </c>
      <c r="AQ556" t="s">
        <v>52</v>
      </c>
      <c r="BP556" t="s">
        <v>5</v>
      </c>
      <c r="BQ556" t="s">
        <v>349</v>
      </c>
      <c r="BR556">
        <f t="shared" si="90"/>
        <v>4</v>
      </c>
      <c r="BS556">
        <f t="shared" si="84"/>
        <v>2024</v>
      </c>
      <c r="BT556">
        <v>10</v>
      </c>
      <c r="BU556" t="str">
        <f t="shared" si="85"/>
        <v>2024-4</v>
      </c>
      <c r="BV556">
        <f t="shared" si="86"/>
        <v>2</v>
      </c>
      <c r="BX556" t="s">
        <v>23</v>
      </c>
      <c r="BY556" t="s">
        <v>335</v>
      </c>
      <c r="BZ556">
        <v>97865</v>
      </c>
      <c r="CA556">
        <f t="shared" si="87"/>
        <v>3</v>
      </c>
      <c r="CB556">
        <f t="shared" si="88"/>
        <v>2024</v>
      </c>
      <c r="CC556" t="str">
        <f t="shared" si="89"/>
        <v>2024-3</v>
      </c>
    </row>
    <row r="557" spans="1:81" x14ac:dyDescent="0.25">
      <c r="A557" t="s">
        <v>5</v>
      </c>
      <c r="B557" t="s">
        <v>241</v>
      </c>
      <c r="C557" t="s">
        <v>335</v>
      </c>
      <c r="D557">
        <v>62295</v>
      </c>
      <c r="E557">
        <v>4</v>
      </c>
      <c r="P557" t="s">
        <v>5</v>
      </c>
      <c r="Q557" t="s">
        <v>101</v>
      </c>
      <c r="R557">
        <v>8</v>
      </c>
      <c r="AI557" t="s">
        <v>336</v>
      </c>
      <c r="AJ557">
        <v>21847</v>
      </c>
      <c r="AL557">
        <f>COUNTIF(AI:AI,AK557)</f>
        <v>0</v>
      </c>
      <c r="AM557">
        <f>SUMIF(AI:AI,AK557,AJ:AJ)</f>
        <v>0</v>
      </c>
      <c r="AP557" t="s">
        <v>27</v>
      </c>
      <c r="AQ557" t="s">
        <v>119</v>
      </c>
      <c r="BP557" t="s">
        <v>5</v>
      </c>
      <c r="BQ557" t="s">
        <v>349</v>
      </c>
      <c r="BR557">
        <f t="shared" si="90"/>
        <v>4</v>
      </c>
      <c r="BS557">
        <f t="shared" si="84"/>
        <v>2024</v>
      </c>
      <c r="BT557">
        <v>4</v>
      </c>
      <c r="BU557" t="str">
        <f t="shared" si="85"/>
        <v>2024-4</v>
      </c>
      <c r="BV557">
        <f t="shared" si="86"/>
        <v>0</v>
      </c>
      <c r="BX557" t="s">
        <v>5</v>
      </c>
      <c r="BY557" t="s">
        <v>335</v>
      </c>
      <c r="BZ557">
        <v>62295</v>
      </c>
      <c r="CA557">
        <f t="shared" si="87"/>
        <v>3</v>
      </c>
      <c r="CB557">
        <f t="shared" si="88"/>
        <v>2024</v>
      </c>
      <c r="CC557" t="str">
        <f t="shared" si="89"/>
        <v>2024-3</v>
      </c>
    </row>
    <row r="558" spans="1:81" x14ac:dyDescent="0.25">
      <c r="A558" t="s">
        <v>10</v>
      </c>
      <c r="B558" t="s">
        <v>336</v>
      </c>
      <c r="C558" t="s">
        <v>337</v>
      </c>
      <c r="D558">
        <v>21847</v>
      </c>
      <c r="E558">
        <v>4</v>
      </c>
      <c r="P558" t="s">
        <v>10</v>
      </c>
      <c r="Q558" t="s">
        <v>341</v>
      </c>
      <c r="R558">
        <v>2</v>
      </c>
      <c r="AI558" t="s">
        <v>72</v>
      </c>
      <c r="AJ558">
        <v>88450</v>
      </c>
      <c r="AL558">
        <f>COUNTIF(AI:AI,AK558)</f>
        <v>0</v>
      </c>
      <c r="AM558">
        <f>SUMIF(AI:AI,AK558,AJ:AJ)</f>
        <v>0</v>
      </c>
      <c r="AP558" t="s">
        <v>10</v>
      </c>
      <c r="AQ558" t="s">
        <v>247</v>
      </c>
      <c r="BP558" t="s">
        <v>5</v>
      </c>
      <c r="BQ558" t="s">
        <v>351</v>
      </c>
      <c r="BR558">
        <f t="shared" si="90"/>
        <v>4</v>
      </c>
      <c r="BS558">
        <f t="shared" si="84"/>
        <v>2024</v>
      </c>
      <c r="BT558">
        <v>4</v>
      </c>
      <c r="BU558" t="str">
        <f t="shared" si="85"/>
        <v>2024-4</v>
      </c>
      <c r="BV558">
        <f t="shared" si="86"/>
        <v>0</v>
      </c>
      <c r="BX558" t="s">
        <v>10</v>
      </c>
      <c r="BY558" t="s">
        <v>337</v>
      </c>
      <c r="BZ558">
        <v>21847</v>
      </c>
      <c r="CA558">
        <f t="shared" si="87"/>
        <v>3</v>
      </c>
      <c r="CB558">
        <f t="shared" si="88"/>
        <v>2024</v>
      </c>
      <c r="CC558" t="str">
        <f t="shared" si="89"/>
        <v>2024-3</v>
      </c>
    </row>
    <row r="559" spans="1:81" x14ac:dyDescent="0.25">
      <c r="A559" t="s">
        <v>32</v>
      </c>
      <c r="B559" t="s">
        <v>72</v>
      </c>
      <c r="C559" t="s">
        <v>337</v>
      </c>
      <c r="D559">
        <v>88450</v>
      </c>
      <c r="E559">
        <v>6</v>
      </c>
      <c r="P559" t="s">
        <v>33</v>
      </c>
      <c r="Q559" t="s">
        <v>79</v>
      </c>
      <c r="R559">
        <v>8</v>
      </c>
      <c r="AI559" t="s">
        <v>47</v>
      </c>
      <c r="AJ559">
        <v>73702</v>
      </c>
      <c r="AL559">
        <f>COUNTIF(AI:AI,AK559)</f>
        <v>0</v>
      </c>
      <c r="AM559">
        <f>SUMIF(AI:AI,AK559,AJ:AJ)</f>
        <v>0</v>
      </c>
      <c r="AP559" t="s">
        <v>27</v>
      </c>
      <c r="AQ559" t="s">
        <v>177</v>
      </c>
      <c r="BP559" t="s">
        <v>5</v>
      </c>
      <c r="BQ559" t="s">
        <v>351</v>
      </c>
      <c r="BR559">
        <f t="shared" si="90"/>
        <v>4</v>
      </c>
      <c r="BS559">
        <f t="shared" si="84"/>
        <v>2024</v>
      </c>
      <c r="BT559">
        <v>6</v>
      </c>
      <c r="BU559" t="str">
        <f t="shared" si="85"/>
        <v>2024-4</v>
      </c>
      <c r="BV559">
        <f t="shared" si="86"/>
        <v>0</v>
      </c>
      <c r="BX559" t="s">
        <v>32</v>
      </c>
      <c r="BY559" t="s">
        <v>337</v>
      </c>
      <c r="BZ559">
        <v>88450</v>
      </c>
      <c r="CA559">
        <f t="shared" si="87"/>
        <v>3</v>
      </c>
      <c r="CB559">
        <f t="shared" si="88"/>
        <v>2024</v>
      </c>
      <c r="CC559" t="str">
        <f t="shared" si="89"/>
        <v>2024-3</v>
      </c>
    </row>
    <row r="560" spans="1:81" x14ac:dyDescent="0.25">
      <c r="A560" t="s">
        <v>5</v>
      </c>
      <c r="B560" t="s">
        <v>47</v>
      </c>
      <c r="C560" t="s">
        <v>337</v>
      </c>
      <c r="D560">
        <v>73702</v>
      </c>
      <c r="E560">
        <v>0</v>
      </c>
      <c r="P560" t="s">
        <v>32</v>
      </c>
      <c r="Q560" t="s">
        <v>81</v>
      </c>
      <c r="R560">
        <v>8</v>
      </c>
      <c r="AI560" t="s">
        <v>132</v>
      </c>
      <c r="AJ560">
        <v>19564</v>
      </c>
      <c r="AL560">
        <f>COUNTIF(AI:AI,AK560)</f>
        <v>0</v>
      </c>
      <c r="AM560">
        <f>SUMIF(AI:AI,AK560,AJ:AJ)</f>
        <v>0</v>
      </c>
      <c r="AP560" t="s">
        <v>17</v>
      </c>
      <c r="AQ560" t="s">
        <v>90</v>
      </c>
      <c r="BP560" t="s">
        <v>5</v>
      </c>
      <c r="BQ560" t="s">
        <v>354</v>
      </c>
      <c r="BR560">
        <f t="shared" si="90"/>
        <v>4</v>
      </c>
      <c r="BS560">
        <f t="shared" si="84"/>
        <v>2024</v>
      </c>
      <c r="BT560">
        <v>0</v>
      </c>
      <c r="BU560" t="str">
        <f t="shared" si="85"/>
        <v>2024-4</v>
      </c>
      <c r="BV560">
        <f t="shared" si="86"/>
        <v>0</v>
      </c>
      <c r="BX560" t="s">
        <v>5</v>
      </c>
      <c r="BY560" t="s">
        <v>337</v>
      </c>
      <c r="BZ560">
        <v>73702</v>
      </c>
      <c r="CA560">
        <f t="shared" si="87"/>
        <v>3</v>
      </c>
      <c r="CB560">
        <f t="shared" si="88"/>
        <v>2024</v>
      </c>
      <c r="CC560" t="str">
        <f t="shared" si="89"/>
        <v>2024-3</v>
      </c>
    </row>
    <row r="561" spans="1:81" x14ac:dyDescent="0.25">
      <c r="A561" t="s">
        <v>10</v>
      </c>
      <c r="B561" t="s">
        <v>132</v>
      </c>
      <c r="C561" t="s">
        <v>338</v>
      </c>
      <c r="D561">
        <v>19564</v>
      </c>
      <c r="E561">
        <v>7</v>
      </c>
      <c r="P561" t="s">
        <v>23</v>
      </c>
      <c r="Q561" t="s">
        <v>65</v>
      </c>
      <c r="R561">
        <v>4</v>
      </c>
      <c r="AI561" t="s">
        <v>188</v>
      </c>
      <c r="AJ561">
        <v>43681</v>
      </c>
      <c r="AL561">
        <f>COUNTIF(AI:AI,AK561)</f>
        <v>0</v>
      </c>
      <c r="AM561">
        <f>SUMIF(AI:AI,AK561,AJ:AJ)</f>
        <v>0</v>
      </c>
      <c r="AP561" t="s">
        <v>12</v>
      </c>
      <c r="AQ561" t="s">
        <v>61</v>
      </c>
      <c r="BP561" t="s">
        <v>5</v>
      </c>
      <c r="BQ561" t="s">
        <v>360</v>
      </c>
      <c r="BR561">
        <f t="shared" si="90"/>
        <v>4</v>
      </c>
      <c r="BS561">
        <f t="shared" si="84"/>
        <v>2024</v>
      </c>
      <c r="BT561">
        <v>7</v>
      </c>
      <c r="BU561" t="str">
        <f t="shared" si="85"/>
        <v>2024-4</v>
      </c>
      <c r="BV561">
        <f t="shared" si="86"/>
        <v>1</v>
      </c>
      <c r="BX561" t="s">
        <v>10</v>
      </c>
      <c r="BY561" t="s">
        <v>338</v>
      </c>
      <c r="BZ561">
        <v>19564</v>
      </c>
      <c r="CA561">
        <f t="shared" si="87"/>
        <v>3</v>
      </c>
      <c r="CB561">
        <f t="shared" si="88"/>
        <v>2024</v>
      </c>
      <c r="CC561" t="str">
        <f t="shared" si="89"/>
        <v>2024-3</v>
      </c>
    </row>
    <row r="562" spans="1:81" x14ac:dyDescent="0.25">
      <c r="A562" t="s">
        <v>33</v>
      </c>
      <c r="B562" t="s">
        <v>188</v>
      </c>
      <c r="C562" t="s">
        <v>338</v>
      </c>
      <c r="D562">
        <v>43681</v>
      </c>
      <c r="E562">
        <v>6</v>
      </c>
      <c r="P562" t="s">
        <v>32</v>
      </c>
      <c r="Q562" t="s">
        <v>22</v>
      </c>
      <c r="R562">
        <v>8</v>
      </c>
      <c r="AI562" t="s">
        <v>50</v>
      </c>
      <c r="AJ562">
        <v>46118</v>
      </c>
      <c r="AL562">
        <f>COUNTIF(AI:AI,AK562)</f>
        <v>0</v>
      </c>
      <c r="AM562">
        <f>SUMIF(AI:AI,AK562,AJ:AJ)</f>
        <v>0</v>
      </c>
      <c r="AP562" t="s">
        <v>27</v>
      </c>
      <c r="AQ562" t="s">
        <v>19</v>
      </c>
      <c r="BP562" t="s">
        <v>5</v>
      </c>
      <c r="BQ562" t="s">
        <v>363</v>
      </c>
      <c r="BR562">
        <f t="shared" si="90"/>
        <v>5</v>
      </c>
      <c r="BS562">
        <f t="shared" si="84"/>
        <v>2024</v>
      </c>
      <c r="BT562">
        <v>6</v>
      </c>
      <c r="BU562" t="str">
        <f t="shared" si="85"/>
        <v>2024-5</v>
      </c>
      <c r="BV562">
        <f t="shared" si="86"/>
        <v>0</v>
      </c>
      <c r="BX562" t="s">
        <v>33</v>
      </c>
      <c r="BY562" t="s">
        <v>338</v>
      </c>
      <c r="BZ562">
        <v>43681</v>
      </c>
      <c r="CA562">
        <f t="shared" si="87"/>
        <v>3</v>
      </c>
      <c r="CB562">
        <f t="shared" si="88"/>
        <v>2024</v>
      </c>
      <c r="CC562" t="str">
        <f t="shared" si="89"/>
        <v>2024-3</v>
      </c>
    </row>
    <row r="563" spans="1:81" x14ac:dyDescent="0.25">
      <c r="A563" t="s">
        <v>27</v>
      </c>
      <c r="B563" t="s">
        <v>50</v>
      </c>
      <c r="C563" t="s">
        <v>339</v>
      </c>
      <c r="D563">
        <v>46118</v>
      </c>
      <c r="E563">
        <v>7</v>
      </c>
      <c r="P563" t="s">
        <v>33</v>
      </c>
      <c r="Q563" t="s">
        <v>18</v>
      </c>
      <c r="R563">
        <v>3</v>
      </c>
      <c r="AI563" t="s">
        <v>266</v>
      </c>
      <c r="AJ563">
        <v>92745</v>
      </c>
      <c r="AL563">
        <f>COUNTIF(AI:AI,AK563)</f>
        <v>0</v>
      </c>
      <c r="AM563">
        <f>SUMIF(AI:AI,AK563,AJ:AJ)</f>
        <v>0</v>
      </c>
      <c r="AP563" t="s">
        <v>5</v>
      </c>
      <c r="AQ563" t="s">
        <v>341</v>
      </c>
      <c r="BP563" t="s">
        <v>5</v>
      </c>
      <c r="BQ563" t="s">
        <v>372</v>
      </c>
      <c r="BR563">
        <f t="shared" si="90"/>
        <v>5</v>
      </c>
      <c r="BS563">
        <f t="shared" si="84"/>
        <v>2024</v>
      </c>
      <c r="BT563">
        <v>7</v>
      </c>
      <c r="BU563" t="str">
        <f t="shared" si="85"/>
        <v>2024-5</v>
      </c>
      <c r="BV563">
        <f t="shared" si="86"/>
        <v>1</v>
      </c>
      <c r="BX563" t="s">
        <v>27</v>
      </c>
      <c r="BY563" t="s">
        <v>339</v>
      </c>
      <c r="BZ563">
        <v>46118</v>
      </c>
      <c r="CA563">
        <f t="shared" si="87"/>
        <v>3</v>
      </c>
      <c r="CB563">
        <f t="shared" si="88"/>
        <v>2024</v>
      </c>
      <c r="CC563" t="str">
        <f t="shared" si="89"/>
        <v>2024-3</v>
      </c>
    </row>
    <row r="564" spans="1:81" x14ac:dyDescent="0.25">
      <c r="A564" t="s">
        <v>14</v>
      </c>
      <c r="B564" t="s">
        <v>266</v>
      </c>
      <c r="C564" t="s">
        <v>339</v>
      </c>
      <c r="D564">
        <v>92745</v>
      </c>
      <c r="E564">
        <v>4</v>
      </c>
      <c r="P564" t="s">
        <v>27</v>
      </c>
      <c r="Q564" t="s">
        <v>101</v>
      </c>
      <c r="R564">
        <v>8</v>
      </c>
      <c r="AI564" t="s">
        <v>84</v>
      </c>
      <c r="AJ564">
        <v>13240</v>
      </c>
      <c r="AL564">
        <f>COUNTIF(AI:AI,AK564)</f>
        <v>0</v>
      </c>
      <c r="AM564">
        <f>SUMIF(AI:AI,AK564,AJ:AJ)</f>
        <v>0</v>
      </c>
      <c r="AP564" t="s">
        <v>17</v>
      </c>
      <c r="AQ564" t="s">
        <v>132</v>
      </c>
      <c r="BP564" t="s">
        <v>5</v>
      </c>
      <c r="BQ564" t="s">
        <v>375</v>
      </c>
      <c r="BR564">
        <f t="shared" si="90"/>
        <v>5</v>
      </c>
      <c r="BS564">
        <f t="shared" si="84"/>
        <v>2024</v>
      </c>
      <c r="BT564">
        <v>4</v>
      </c>
      <c r="BU564" t="str">
        <f t="shared" si="85"/>
        <v>2024-5</v>
      </c>
      <c r="BV564">
        <f t="shared" si="86"/>
        <v>0</v>
      </c>
      <c r="BX564" t="s">
        <v>14</v>
      </c>
      <c r="BY564" t="s">
        <v>339</v>
      </c>
      <c r="BZ564">
        <v>92745</v>
      </c>
      <c r="CA564">
        <f t="shared" si="87"/>
        <v>3</v>
      </c>
      <c r="CB564">
        <f t="shared" si="88"/>
        <v>2024</v>
      </c>
      <c r="CC564" t="str">
        <f t="shared" si="89"/>
        <v>2024-3</v>
      </c>
    </row>
    <row r="565" spans="1:81" x14ac:dyDescent="0.25">
      <c r="A565" t="s">
        <v>23</v>
      </c>
      <c r="B565" t="s">
        <v>84</v>
      </c>
      <c r="C565" t="s">
        <v>339</v>
      </c>
      <c r="D565">
        <v>13240</v>
      </c>
      <c r="E565">
        <v>4</v>
      </c>
      <c r="P565" t="s">
        <v>8</v>
      </c>
      <c r="Q565" t="s">
        <v>24</v>
      </c>
      <c r="R565">
        <v>10</v>
      </c>
      <c r="AI565" t="s">
        <v>48</v>
      </c>
      <c r="AJ565">
        <v>69001</v>
      </c>
      <c r="AL565">
        <f>COUNTIF(AI:AI,AK565)</f>
        <v>0</v>
      </c>
      <c r="AM565">
        <f>SUMIF(AI:AI,AK565,AJ:AJ)</f>
        <v>0</v>
      </c>
      <c r="AP565" t="s">
        <v>10</v>
      </c>
      <c r="AQ565" t="s">
        <v>58</v>
      </c>
      <c r="BP565" t="s">
        <v>5</v>
      </c>
      <c r="BQ565" t="s">
        <v>376</v>
      </c>
      <c r="BR565">
        <f t="shared" si="90"/>
        <v>5</v>
      </c>
      <c r="BS565">
        <f t="shared" si="84"/>
        <v>2024</v>
      </c>
      <c r="BT565">
        <v>4</v>
      </c>
      <c r="BU565" t="str">
        <f t="shared" si="85"/>
        <v>2024-5</v>
      </c>
      <c r="BV565">
        <f t="shared" si="86"/>
        <v>0</v>
      </c>
      <c r="BX565" t="s">
        <v>23</v>
      </c>
      <c r="BY565" t="s">
        <v>339</v>
      </c>
      <c r="BZ565">
        <v>13240</v>
      </c>
      <c r="CA565">
        <f t="shared" si="87"/>
        <v>3</v>
      </c>
      <c r="CB565">
        <f t="shared" si="88"/>
        <v>2024</v>
      </c>
      <c r="CC565" t="str">
        <f t="shared" si="89"/>
        <v>2024-3</v>
      </c>
    </row>
    <row r="566" spans="1:81" x14ac:dyDescent="0.25">
      <c r="A566" t="s">
        <v>23</v>
      </c>
      <c r="B566" t="s">
        <v>48</v>
      </c>
      <c r="C566" t="s">
        <v>340</v>
      </c>
      <c r="D566">
        <v>69001</v>
      </c>
      <c r="E566">
        <v>7</v>
      </c>
      <c r="P566" t="s">
        <v>20</v>
      </c>
      <c r="Q566" t="s">
        <v>286</v>
      </c>
      <c r="R566">
        <v>7</v>
      </c>
      <c r="AI566" t="s">
        <v>101</v>
      </c>
      <c r="AJ566">
        <v>69214</v>
      </c>
      <c r="AL566">
        <f>COUNTIF(AI:AI,AK566)</f>
        <v>0</v>
      </c>
      <c r="AM566">
        <f>SUMIF(AI:AI,AK566,AJ:AJ)</f>
        <v>0</v>
      </c>
      <c r="AP566" t="s">
        <v>20</v>
      </c>
      <c r="AQ566" t="s">
        <v>186</v>
      </c>
      <c r="BP566" t="s">
        <v>5</v>
      </c>
      <c r="BQ566" t="s">
        <v>379</v>
      </c>
      <c r="BR566">
        <f t="shared" si="90"/>
        <v>5</v>
      </c>
      <c r="BS566">
        <f t="shared" si="84"/>
        <v>2024</v>
      </c>
      <c r="BT566">
        <v>7</v>
      </c>
      <c r="BU566" t="str">
        <f t="shared" si="85"/>
        <v>2024-5</v>
      </c>
      <c r="BV566">
        <f t="shared" si="86"/>
        <v>1</v>
      </c>
      <c r="BX566" t="s">
        <v>23</v>
      </c>
      <c r="BY566" t="s">
        <v>340</v>
      </c>
      <c r="BZ566">
        <v>69001</v>
      </c>
      <c r="CA566">
        <f t="shared" si="87"/>
        <v>4</v>
      </c>
      <c r="CB566">
        <f t="shared" si="88"/>
        <v>2024</v>
      </c>
      <c r="CC566" t="str">
        <f t="shared" si="89"/>
        <v>2024-4</v>
      </c>
    </row>
    <row r="567" spans="1:81" x14ac:dyDescent="0.25">
      <c r="A567" t="s">
        <v>5</v>
      </c>
      <c r="B567" t="s">
        <v>101</v>
      </c>
      <c r="C567" t="s">
        <v>340</v>
      </c>
      <c r="D567">
        <v>69214</v>
      </c>
      <c r="E567">
        <v>8</v>
      </c>
      <c r="P567" t="s">
        <v>10</v>
      </c>
      <c r="Q567" t="s">
        <v>112</v>
      </c>
      <c r="R567">
        <v>8</v>
      </c>
      <c r="AI567" t="s">
        <v>341</v>
      </c>
      <c r="AJ567">
        <v>38227</v>
      </c>
      <c r="AL567">
        <f>COUNTIF(AI:AI,AK567)</f>
        <v>0</v>
      </c>
      <c r="AM567">
        <f>SUMIF(AI:AI,AK567,AJ:AJ)</f>
        <v>0</v>
      </c>
      <c r="AP567" t="s">
        <v>12</v>
      </c>
      <c r="AQ567" t="s">
        <v>274</v>
      </c>
      <c r="BP567" t="s">
        <v>5</v>
      </c>
      <c r="BQ567" t="s">
        <v>381</v>
      </c>
      <c r="BR567">
        <f t="shared" si="90"/>
        <v>5</v>
      </c>
      <c r="BS567">
        <f t="shared" si="84"/>
        <v>2024</v>
      </c>
      <c r="BT567">
        <v>8</v>
      </c>
      <c r="BU567" t="str">
        <f t="shared" si="85"/>
        <v>2024-5</v>
      </c>
      <c r="BV567">
        <f t="shared" si="86"/>
        <v>1</v>
      </c>
      <c r="BX567" t="s">
        <v>5</v>
      </c>
      <c r="BY567" t="s">
        <v>340</v>
      </c>
      <c r="BZ567">
        <v>69214</v>
      </c>
      <c r="CA567">
        <f t="shared" si="87"/>
        <v>4</v>
      </c>
      <c r="CB567">
        <f t="shared" si="88"/>
        <v>2024</v>
      </c>
      <c r="CC567" t="str">
        <f t="shared" si="89"/>
        <v>2024-4</v>
      </c>
    </row>
    <row r="568" spans="1:81" x14ac:dyDescent="0.25">
      <c r="A568" t="s">
        <v>10</v>
      </c>
      <c r="B568" t="s">
        <v>341</v>
      </c>
      <c r="C568" t="s">
        <v>340</v>
      </c>
      <c r="D568">
        <v>38227</v>
      </c>
      <c r="E568">
        <v>2</v>
      </c>
      <c r="P568" t="s">
        <v>27</v>
      </c>
      <c r="Q568" t="s">
        <v>279</v>
      </c>
      <c r="R568">
        <v>5</v>
      </c>
      <c r="AI568" t="s">
        <v>79</v>
      </c>
      <c r="AJ568">
        <v>74890</v>
      </c>
      <c r="AL568">
        <f>COUNTIF(AI:AI,AK568)</f>
        <v>0</v>
      </c>
      <c r="AM568">
        <f>SUMIF(AI:AI,AK568,AJ:AJ)</f>
        <v>0</v>
      </c>
      <c r="AP568" t="s">
        <v>36</v>
      </c>
      <c r="AQ568" t="s">
        <v>157</v>
      </c>
      <c r="BP568" t="s">
        <v>5</v>
      </c>
      <c r="BQ568" t="s">
        <v>385</v>
      </c>
      <c r="BR568">
        <f t="shared" si="90"/>
        <v>5</v>
      </c>
      <c r="BS568">
        <f t="shared" si="84"/>
        <v>2024</v>
      </c>
      <c r="BT568">
        <v>2</v>
      </c>
      <c r="BU568" t="str">
        <f t="shared" si="85"/>
        <v>2024-5</v>
      </c>
      <c r="BV568">
        <f t="shared" si="86"/>
        <v>0</v>
      </c>
      <c r="BX568" t="s">
        <v>10</v>
      </c>
      <c r="BY568" t="s">
        <v>340</v>
      </c>
      <c r="BZ568">
        <v>38227</v>
      </c>
      <c r="CA568">
        <f t="shared" si="87"/>
        <v>4</v>
      </c>
      <c r="CB568">
        <f t="shared" si="88"/>
        <v>2024</v>
      </c>
      <c r="CC568" t="str">
        <f t="shared" si="89"/>
        <v>2024-4</v>
      </c>
    </row>
    <row r="569" spans="1:81" x14ac:dyDescent="0.25">
      <c r="A569" t="s">
        <v>33</v>
      </c>
      <c r="B569" t="s">
        <v>79</v>
      </c>
      <c r="C569" t="s">
        <v>340</v>
      </c>
      <c r="D569">
        <v>74890</v>
      </c>
      <c r="E569">
        <v>8</v>
      </c>
      <c r="P569" t="s">
        <v>10</v>
      </c>
      <c r="Q569" t="s">
        <v>37</v>
      </c>
      <c r="R569">
        <v>6</v>
      </c>
      <c r="AI569" t="s">
        <v>81</v>
      </c>
      <c r="AJ569">
        <v>78380</v>
      </c>
      <c r="AL569">
        <f>COUNTIF(AI:AI,AK569)</f>
        <v>0</v>
      </c>
      <c r="AM569">
        <f>SUMIF(AI:AI,AK569,AJ:AJ)</f>
        <v>0</v>
      </c>
      <c r="AP569" t="s">
        <v>27</v>
      </c>
      <c r="AQ569" t="s">
        <v>361</v>
      </c>
      <c r="BP569" t="s">
        <v>5</v>
      </c>
      <c r="BQ569" t="s">
        <v>390</v>
      </c>
      <c r="BR569">
        <f t="shared" si="90"/>
        <v>6</v>
      </c>
      <c r="BS569">
        <f t="shared" si="84"/>
        <v>2024</v>
      </c>
      <c r="BT569">
        <v>8</v>
      </c>
      <c r="BU569" t="str">
        <f t="shared" si="85"/>
        <v>2024-6</v>
      </c>
      <c r="BV569">
        <f t="shared" si="86"/>
        <v>1</v>
      </c>
      <c r="BX569" t="s">
        <v>33</v>
      </c>
      <c r="BY569" t="s">
        <v>340</v>
      </c>
      <c r="BZ569">
        <v>74890</v>
      </c>
      <c r="CA569">
        <f t="shared" si="87"/>
        <v>4</v>
      </c>
      <c r="CB569">
        <f t="shared" si="88"/>
        <v>2024</v>
      </c>
      <c r="CC569" t="str">
        <f t="shared" si="89"/>
        <v>2024-4</v>
      </c>
    </row>
    <row r="570" spans="1:81" x14ac:dyDescent="0.25">
      <c r="A570" t="s">
        <v>32</v>
      </c>
      <c r="B570" t="s">
        <v>81</v>
      </c>
      <c r="C570" t="s">
        <v>340</v>
      </c>
      <c r="D570">
        <v>78380</v>
      </c>
      <c r="E570">
        <v>8</v>
      </c>
      <c r="P570" t="s">
        <v>5</v>
      </c>
      <c r="Q570" t="s">
        <v>11</v>
      </c>
      <c r="R570">
        <v>4</v>
      </c>
      <c r="AI570" t="s">
        <v>65</v>
      </c>
      <c r="AJ570">
        <v>90883</v>
      </c>
      <c r="AL570">
        <f>COUNTIF(AI:AI,AK570)</f>
        <v>0</v>
      </c>
      <c r="AM570">
        <f>SUMIF(AI:AI,AK570,AJ:AJ)</f>
        <v>0</v>
      </c>
      <c r="AP570" t="s">
        <v>36</v>
      </c>
      <c r="AQ570" t="s">
        <v>183</v>
      </c>
      <c r="BP570" t="s">
        <v>5</v>
      </c>
      <c r="BQ570" t="s">
        <v>394</v>
      </c>
      <c r="BR570">
        <f t="shared" si="90"/>
        <v>6</v>
      </c>
      <c r="BS570">
        <f t="shared" si="84"/>
        <v>2024</v>
      </c>
      <c r="BT570">
        <v>8</v>
      </c>
      <c r="BU570" t="str">
        <f t="shared" si="85"/>
        <v>2024-6</v>
      </c>
      <c r="BV570">
        <f t="shared" si="86"/>
        <v>1</v>
      </c>
      <c r="BX570" t="s">
        <v>32</v>
      </c>
      <c r="BY570" t="s">
        <v>340</v>
      </c>
      <c r="BZ570">
        <v>78380</v>
      </c>
      <c r="CA570">
        <f t="shared" si="87"/>
        <v>4</v>
      </c>
      <c r="CB570">
        <f t="shared" si="88"/>
        <v>2024</v>
      </c>
      <c r="CC570" t="str">
        <f t="shared" si="89"/>
        <v>2024-4</v>
      </c>
    </row>
    <row r="571" spans="1:81" x14ac:dyDescent="0.25">
      <c r="A571" t="s">
        <v>23</v>
      </c>
      <c r="B571" t="s">
        <v>65</v>
      </c>
      <c r="C571" t="s">
        <v>340</v>
      </c>
      <c r="D571">
        <v>90883</v>
      </c>
      <c r="E571">
        <v>4</v>
      </c>
      <c r="P571" t="s">
        <v>17</v>
      </c>
      <c r="Q571" t="s">
        <v>15</v>
      </c>
      <c r="R571">
        <v>10</v>
      </c>
      <c r="AI571" t="s">
        <v>22</v>
      </c>
      <c r="AJ571">
        <v>71609</v>
      </c>
      <c r="AL571">
        <f>COUNTIF(AI:AI,AK571)</f>
        <v>0</v>
      </c>
      <c r="AM571">
        <f>SUMIF(AI:AI,AK571,AJ:AJ)</f>
        <v>0</v>
      </c>
      <c r="AP571" t="s">
        <v>23</v>
      </c>
      <c r="AQ571" t="s">
        <v>50</v>
      </c>
      <c r="BP571" t="s">
        <v>5</v>
      </c>
      <c r="BQ571" t="s">
        <v>394</v>
      </c>
      <c r="BR571">
        <f t="shared" si="90"/>
        <v>6</v>
      </c>
      <c r="BS571">
        <f t="shared" si="84"/>
        <v>2024</v>
      </c>
      <c r="BT571">
        <v>4</v>
      </c>
      <c r="BU571" t="str">
        <f t="shared" si="85"/>
        <v>2024-6</v>
      </c>
      <c r="BV571">
        <f t="shared" si="86"/>
        <v>0</v>
      </c>
      <c r="BX571" t="s">
        <v>23</v>
      </c>
      <c r="BY571" t="s">
        <v>340</v>
      </c>
      <c r="BZ571">
        <v>90883</v>
      </c>
      <c r="CA571">
        <f t="shared" si="87"/>
        <v>4</v>
      </c>
      <c r="CB571">
        <f t="shared" si="88"/>
        <v>2024</v>
      </c>
      <c r="CC571" t="str">
        <f t="shared" si="89"/>
        <v>2024-4</v>
      </c>
    </row>
    <row r="572" spans="1:81" x14ac:dyDescent="0.25">
      <c r="A572" t="s">
        <v>32</v>
      </c>
      <c r="B572" t="s">
        <v>22</v>
      </c>
      <c r="C572" t="s">
        <v>340</v>
      </c>
      <c r="D572">
        <v>71609</v>
      </c>
      <c r="E572">
        <v>8</v>
      </c>
      <c r="P572" t="s">
        <v>12</v>
      </c>
      <c r="Q572" t="s">
        <v>158</v>
      </c>
      <c r="R572">
        <v>6</v>
      </c>
      <c r="AI572" t="s">
        <v>18</v>
      </c>
      <c r="AJ572">
        <v>42875</v>
      </c>
      <c r="AL572">
        <f>COUNTIF(AI:AI,AK572)</f>
        <v>0</v>
      </c>
      <c r="AM572">
        <f>SUMIF(AI:AI,AK572,AJ:AJ)</f>
        <v>0</v>
      </c>
      <c r="AP572" t="s">
        <v>23</v>
      </c>
      <c r="AQ572" t="s">
        <v>364</v>
      </c>
      <c r="BP572" t="s">
        <v>5</v>
      </c>
      <c r="BQ572" t="s">
        <v>394</v>
      </c>
      <c r="BR572">
        <f t="shared" si="90"/>
        <v>6</v>
      </c>
      <c r="BS572">
        <f t="shared" si="84"/>
        <v>2024</v>
      </c>
      <c r="BT572">
        <v>8</v>
      </c>
      <c r="BU572" t="str">
        <f t="shared" si="85"/>
        <v>2024-6</v>
      </c>
      <c r="BV572">
        <f t="shared" si="86"/>
        <v>1</v>
      </c>
      <c r="BX572" t="s">
        <v>32</v>
      </c>
      <c r="BY572" t="s">
        <v>340</v>
      </c>
      <c r="BZ572">
        <v>71609</v>
      </c>
      <c r="CA572">
        <f t="shared" si="87"/>
        <v>4</v>
      </c>
      <c r="CB572">
        <f t="shared" si="88"/>
        <v>2024</v>
      </c>
      <c r="CC572" t="str">
        <f t="shared" si="89"/>
        <v>2024-4</v>
      </c>
    </row>
    <row r="573" spans="1:81" x14ac:dyDescent="0.25">
      <c r="A573" t="s">
        <v>33</v>
      </c>
      <c r="B573" t="s">
        <v>18</v>
      </c>
      <c r="C573" t="s">
        <v>342</v>
      </c>
      <c r="D573">
        <v>42875</v>
      </c>
      <c r="E573">
        <v>3</v>
      </c>
      <c r="P573" t="s">
        <v>10</v>
      </c>
      <c r="Q573" t="s">
        <v>231</v>
      </c>
      <c r="R573">
        <v>7</v>
      </c>
      <c r="AI573" t="s">
        <v>101</v>
      </c>
      <c r="AJ573">
        <v>64577</v>
      </c>
      <c r="AL573">
        <f>COUNTIF(AI:AI,AK573)</f>
        <v>0</v>
      </c>
      <c r="AM573">
        <f>SUMIF(AI:AI,AK573,AJ:AJ)</f>
        <v>0</v>
      </c>
      <c r="AP573" t="s">
        <v>27</v>
      </c>
      <c r="AQ573" t="s">
        <v>121</v>
      </c>
      <c r="BP573" t="s">
        <v>5</v>
      </c>
      <c r="BQ573" t="s">
        <v>397</v>
      </c>
      <c r="BR573">
        <f t="shared" si="90"/>
        <v>6</v>
      </c>
      <c r="BS573">
        <f t="shared" si="84"/>
        <v>2024</v>
      </c>
      <c r="BT573">
        <v>3</v>
      </c>
      <c r="BU573" t="str">
        <f t="shared" si="85"/>
        <v>2024-6</v>
      </c>
      <c r="BV573">
        <f t="shared" si="86"/>
        <v>0</v>
      </c>
      <c r="BX573" t="s">
        <v>33</v>
      </c>
      <c r="BY573" t="s">
        <v>342</v>
      </c>
      <c r="BZ573">
        <v>42875</v>
      </c>
      <c r="CA573">
        <f t="shared" si="87"/>
        <v>4</v>
      </c>
      <c r="CB573">
        <f t="shared" si="88"/>
        <v>2024</v>
      </c>
      <c r="CC573" t="str">
        <f t="shared" si="89"/>
        <v>2024-4</v>
      </c>
    </row>
    <row r="574" spans="1:81" x14ac:dyDescent="0.25">
      <c r="A574" t="s">
        <v>27</v>
      </c>
      <c r="B574" t="s">
        <v>101</v>
      </c>
      <c r="C574" t="s">
        <v>342</v>
      </c>
      <c r="D574">
        <v>64577</v>
      </c>
      <c r="E574">
        <v>8</v>
      </c>
      <c r="P574" t="s">
        <v>5</v>
      </c>
      <c r="Q574" t="s">
        <v>233</v>
      </c>
      <c r="R574">
        <v>9</v>
      </c>
      <c r="AI574" t="s">
        <v>24</v>
      </c>
      <c r="AJ574">
        <v>46122</v>
      </c>
      <c r="AL574">
        <f>COUNTIF(AI:AI,AK574)</f>
        <v>0</v>
      </c>
      <c r="AM574">
        <f>SUMIF(AI:AI,AK574,AJ:AJ)</f>
        <v>0</v>
      </c>
      <c r="AP574" t="s">
        <v>5</v>
      </c>
      <c r="AQ574" t="s">
        <v>55</v>
      </c>
      <c r="BP574" t="s">
        <v>5</v>
      </c>
      <c r="BQ574" t="s">
        <v>401</v>
      </c>
      <c r="BR574">
        <f t="shared" si="90"/>
        <v>6</v>
      </c>
      <c r="BS574">
        <f t="shared" si="84"/>
        <v>2024</v>
      </c>
      <c r="BT574">
        <v>8</v>
      </c>
      <c r="BU574" t="str">
        <f t="shared" si="85"/>
        <v>2024-6</v>
      </c>
      <c r="BV574">
        <f t="shared" si="86"/>
        <v>1</v>
      </c>
      <c r="BX574" t="s">
        <v>27</v>
      </c>
      <c r="BY574" t="s">
        <v>342</v>
      </c>
      <c r="BZ574">
        <v>64577</v>
      </c>
      <c r="CA574">
        <f t="shared" si="87"/>
        <v>4</v>
      </c>
      <c r="CB574">
        <f t="shared" si="88"/>
        <v>2024</v>
      </c>
      <c r="CC574" t="str">
        <f t="shared" si="89"/>
        <v>2024-4</v>
      </c>
    </row>
    <row r="575" spans="1:81" x14ac:dyDescent="0.25">
      <c r="A575" t="s">
        <v>8</v>
      </c>
      <c r="B575" t="s">
        <v>24</v>
      </c>
      <c r="C575" t="s">
        <v>342</v>
      </c>
      <c r="D575">
        <v>46122</v>
      </c>
      <c r="E575">
        <v>10</v>
      </c>
      <c r="P575" t="s">
        <v>32</v>
      </c>
      <c r="Q575" t="s">
        <v>169</v>
      </c>
      <c r="R575">
        <v>7</v>
      </c>
      <c r="AI575" t="s">
        <v>286</v>
      </c>
      <c r="AJ575">
        <v>87904</v>
      </c>
      <c r="AL575">
        <f>COUNTIF(AI:AI,AK575)</f>
        <v>0</v>
      </c>
      <c r="AM575">
        <f>SUMIF(AI:AI,AK575,AJ:AJ)</f>
        <v>0</v>
      </c>
      <c r="AP575" t="s">
        <v>33</v>
      </c>
      <c r="AQ575" t="s">
        <v>72</v>
      </c>
      <c r="BP575" t="s">
        <v>5</v>
      </c>
      <c r="BQ575" t="s">
        <v>403</v>
      </c>
      <c r="BR575">
        <f t="shared" si="90"/>
        <v>6</v>
      </c>
      <c r="BS575">
        <f t="shared" si="84"/>
        <v>2024</v>
      </c>
      <c r="BT575">
        <v>10</v>
      </c>
      <c r="BU575" t="str">
        <f t="shared" si="85"/>
        <v>2024-6</v>
      </c>
      <c r="BV575">
        <f t="shared" si="86"/>
        <v>2</v>
      </c>
      <c r="BX575" t="s">
        <v>8</v>
      </c>
      <c r="BY575" t="s">
        <v>342</v>
      </c>
      <c r="BZ575">
        <v>46122</v>
      </c>
      <c r="CA575">
        <f t="shared" si="87"/>
        <v>4</v>
      </c>
      <c r="CB575">
        <f t="shared" si="88"/>
        <v>2024</v>
      </c>
      <c r="CC575" t="str">
        <f t="shared" si="89"/>
        <v>2024-4</v>
      </c>
    </row>
    <row r="576" spans="1:81" x14ac:dyDescent="0.25">
      <c r="A576" t="s">
        <v>20</v>
      </c>
      <c r="B576" t="s">
        <v>286</v>
      </c>
      <c r="C576" t="s">
        <v>342</v>
      </c>
      <c r="D576">
        <v>87904</v>
      </c>
      <c r="E576">
        <v>7</v>
      </c>
      <c r="P576" t="s">
        <v>23</v>
      </c>
      <c r="Q576" t="s">
        <v>214</v>
      </c>
      <c r="R576">
        <v>7</v>
      </c>
      <c r="AI576" t="s">
        <v>112</v>
      </c>
      <c r="AJ576">
        <v>23608</v>
      </c>
      <c r="AL576">
        <f>COUNTIF(AI:AI,AK576)</f>
        <v>0</v>
      </c>
      <c r="AM576">
        <f>SUMIF(AI:AI,AK576,AJ:AJ)</f>
        <v>0</v>
      </c>
      <c r="AP576" t="s">
        <v>12</v>
      </c>
      <c r="AQ576" t="s">
        <v>276</v>
      </c>
      <c r="BP576" t="s">
        <v>5</v>
      </c>
      <c r="BQ576" t="s">
        <v>406</v>
      </c>
      <c r="BR576">
        <f t="shared" si="90"/>
        <v>6</v>
      </c>
      <c r="BS576">
        <f t="shared" si="84"/>
        <v>2024</v>
      </c>
      <c r="BT576">
        <v>7</v>
      </c>
      <c r="BU576" t="str">
        <f t="shared" si="85"/>
        <v>2024-6</v>
      </c>
      <c r="BV576">
        <f t="shared" si="86"/>
        <v>1</v>
      </c>
      <c r="BX576" t="s">
        <v>20</v>
      </c>
      <c r="BY576" t="s">
        <v>342</v>
      </c>
      <c r="BZ576">
        <v>87904</v>
      </c>
      <c r="CA576">
        <f t="shared" si="87"/>
        <v>4</v>
      </c>
      <c r="CB576">
        <f t="shared" si="88"/>
        <v>2024</v>
      </c>
      <c r="CC576" t="str">
        <f t="shared" si="89"/>
        <v>2024-4</v>
      </c>
    </row>
    <row r="577" spans="1:81" x14ac:dyDescent="0.25">
      <c r="A577" t="s">
        <v>10</v>
      </c>
      <c r="B577" t="s">
        <v>112</v>
      </c>
      <c r="C577" t="s">
        <v>343</v>
      </c>
      <c r="D577">
        <v>23608</v>
      </c>
      <c r="E577">
        <v>8</v>
      </c>
      <c r="P577" t="s">
        <v>17</v>
      </c>
      <c r="Q577" t="s">
        <v>35</v>
      </c>
      <c r="R577">
        <v>1</v>
      </c>
      <c r="AI577" t="s">
        <v>279</v>
      </c>
      <c r="AJ577">
        <v>68259</v>
      </c>
      <c r="AL577">
        <f>COUNTIF(AI:AI,AK577)</f>
        <v>0</v>
      </c>
      <c r="AM577">
        <f>SUMIF(AI:AI,AK577,AJ:AJ)</f>
        <v>0</v>
      </c>
      <c r="AP577" t="s">
        <v>17</v>
      </c>
      <c r="AQ577" t="s">
        <v>101</v>
      </c>
      <c r="BP577" t="s">
        <v>5</v>
      </c>
      <c r="BQ577" t="s">
        <v>407</v>
      </c>
      <c r="BR577">
        <f t="shared" si="90"/>
        <v>6</v>
      </c>
      <c r="BS577">
        <f t="shared" si="84"/>
        <v>2024</v>
      </c>
      <c r="BT577">
        <v>8</v>
      </c>
      <c r="BU577" t="str">
        <f t="shared" si="85"/>
        <v>2024-6</v>
      </c>
      <c r="BV577">
        <f t="shared" si="86"/>
        <v>1</v>
      </c>
      <c r="BX577" t="s">
        <v>10</v>
      </c>
      <c r="BY577" t="s">
        <v>343</v>
      </c>
      <c r="BZ577">
        <v>23608</v>
      </c>
      <c r="CA577">
        <f t="shared" si="87"/>
        <v>4</v>
      </c>
      <c r="CB577">
        <f t="shared" si="88"/>
        <v>2024</v>
      </c>
      <c r="CC577" t="str">
        <f t="shared" si="89"/>
        <v>2024-4</v>
      </c>
    </row>
    <row r="578" spans="1:81" x14ac:dyDescent="0.25">
      <c r="A578" t="s">
        <v>27</v>
      </c>
      <c r="B578" t="s">
        <v>279</v>
      </c>
      <c r="C578" t="s">
        <v>344</v>
      </c>
      <c r="D578">
        <v>68259</v>
      </c>
      <c r="E578">
        <v>5</v>
      </c>
      <c r="P578" t="s">
        <v>12</v>
      </c>
      <c r="Q578" t="s">
        <v>196</v>
      </c>
      <c r="R578">
        <v>6</v>
      </c>
      <c r="AI578" t="s">
        <v>37</v>
      </c>
      <c r="AJ578">
        <v>61769</v>
      </c>
      <c r="AL578">
        <f>COUNTIF(AI:AI,AK578)</f>
        <v>0</v>
      </c>
      <c r="AM578">
        <f>SUMIF(AI:AI,AK578,AJ:AJ)</f>
        <v>0</v>
      </c>
      <c r="AP578" t="s">
        <v>14</v>
      </c>
      <c r="AQ578" t="s">
        <v>143</v>
      </c>
      <c r="BP578" t="s">
        <v>5</v>
      </c>
      <c r="BQ578" t="s">
        <v>412</v>
      </c>
      <c r="BR578">
        <f t="shared" si="90"/>
        <v>7</v>
      </c>
      <c r="BS578">
        <f t="shared" si="84"/>
        <v>2024</v>
      </c>
      <c r="BT578">
        <v>5</v>
      </c>
      <c r="BU578" t="str">
        <f t="shared" si="85"/>
        <v>2024-7</v>
      </c>
      <c r="BV578">
        <f t="shared" si="86"/>
        <v>0</v>
      </c>
      <c r="BX578" t="s">
        <v>27</v>
      </c>
      <c r="BY578" t="s">
        <v>344</v>
      </c>
      <c r="BZ578">
        <v>68259</v>
      </c>
      <c r="CA578">
        <f t="shared" si="87"/>
        <v>4</v>
      </c>
      <c r="CB578">
        <f t="shared" si="88"/>
        <v>2024</v>
      </c>
      <c r="CC578" t="str">
        <f t="shared" si="89"/>
        <v>2024-4</v>
      </c>
    </row>
    <row r="579" spans="1:81" x14ac:dyDescent="0.25">
      <c r="A579" t="s">
        <v>10</v>
      </c>
      <c r="B579" t="s">
        <v>37</v>
      </c>
      <c r="C579" t="s">
        <v>344</v>
      </c>
      <c r="D579">
        <v>61769</v>
      </c>
      <c r="E579">
        <v>6</v>
      </c>
      <c r="P579" t="s">
        <v>17</v>
      </c>
      <c r="Q579" t="s">
        <v>319</v>
      </c>
      <c r="R579">
        <v>10</v>
      </c>
      <c r="AI579" t="s">
        <v>11</v>
      </c>
      <c r="AJ579">
        <v>30978</v>
      </c>
      <c r="AL579">
        <f>COUNTIF(AI:AI,AK579)</f>
        <v>0</v>
      </c>
      <c r="AM579">
        <f>SUMIF(AI:AI,AK579,AJ:AJ)</f>
        <v>0</v>
      </c>
      <c r="AP579" t="s">
        <v>27</v>
      </c>
      <c r="AQ579" t="s">
        <v>213</v>
      </c>
      <c r="BP579" t="s">
        <v>5</v>
      </c>
      <c r="BQ579" t="s">
        <v>416</v>
      </c>
      <c r="BR579">
        <f t="shared" si="90"/>
        <v>7</v>
      </c>
      <c r="BS579">
        <f t="shared" ref="BS579:BS642" si="91">YEAR(BQ579)</f>
        <v>2024</v>
      </c>
      <c r="BT579">
        <v>6</v>
      </c>
      <c r="BU579" t="str">
        <f t="shared" ref="BU579:BU642" si="92">BS579&amp;"-"&amp;BR579</f>
        <v>2024-7</v>
      </c>
      <c r="BV579">
        <f t="shared" ref="BV579:BV642" si="93">IF(BT579&lt;7,0,IF(BT579&lt;9,1,2))</f>
        <v>0</v>
      </c>
      <c r="BX579" t="s">
        <v>10</v>
      </c>
      <c r="BY579" t="s">
        <v>344</v>
      </c>
      <c r="BZ579">
        <v>61769</v>
      </c>
      <c r="CA579">
        <f t="shared" ref="CA579:CA642" si="94">MONTH(BY579)</f>
        <v>4</v>
      </c>
      <c r="CB579">
        <f t="shared" ref="CB579:CB642" si="95">YEAR(BY579)</f>
        <v>2024</v>
      </c>
      <c r="CC579" t="str">
        <f t="shared" ref="CC579:CC642" si="96">CB579&amp;"-"&amp;CA579</f>
        <v>2024-4</v>
      </c>
    </row>
    <row r="580" spans="1:81" x14ac:dyDescent="0.25">
      <c r="A580" t="s">
        <v>5</v>
      </c>
      <c r="B580" t="s">
        <v>11</v>
      </c>
      <c r="C580" t="s">
        <v>345</v>
      </c>
      <c r="D580">
        <v>30978</v>
      </c>
      <c r="E580">
        <v>4</v>
      </c>
      <c r="P580" t="s">
        <v>20</v>
      </c>
      <c r="Q580" t="s">
        <v>229</v>
      </c>
      <c r="R580">
        <v>9</v>
      </c>
      <c r="AI580" t="s">
        <v>15</v>
      </c>
      <c r="AJ580">
        <v>74519</v>
      </c>
      <c r="AL580">
        <f>COUNTIF(AI:AI,AK580)</f>
        <v>0</v>
      </c>
      <c r="AM580">
        <f>SUMIF(AI:AI,AK580,AJ:AJ)</f>
        <v>0</v>
      </c>
      <c r="AP580" t="s">
        <v>17</v>
      </c>
      <c r="AQ580" t="s">
        <v>199</v>
      </c>
      <c r="BP580" t="s">
        <v>5</v>
      </c>
      <c r="BQ580" t="s">
        <v>416</v>
      </c>
      <c r="BR580">
        <f t="shared" si="90"/>
        <v>7</v>
      </c>
      <c r="BS580">
        <f t="shared" si="91"/>
        <v>2024</v>
      </c>
      <c r="BT580">
        <v>4</v>
      </c>
      <c r="BU580" t="str">
        <f t="shared" si="92"/>
        <v>2024-7</v>
      </c>
      <c r="BV580">
        <f t="shared" si="93"/>
        <v>0</v>
      </c>
      <c r="BX580" t="s">
        <v>5</v>
      </c>
      <c r="BY580" t="s">
        <v>345</v>
      </c>
      <c r="BZ580">
        <v>30978</v>
      </c>
      <c r="CA580">
        <f t="shared" si="94"/>
        <v>4</v>
      </c>
      <c r="CB580">
        <f t="shared" si="95"/>
        <v>2024</v>
      </c>
      <c r="CC580" t="str">
        <f t="shared" si="96"/>
        <v>2024-4</v>
      </c>
    </row>
    <row r="581" spans="1:81" x14ac:dyDescent="0.25">
      <c r="A581" t="s">
        <v>17</v>
      </c>
      <c r="B581" t="s">
        <v>15</v>
      </c>
      <c r="C581" t="s">
        <v>346</v>
      </c>
      <c r="D581">
        <v>74519</v>
      </c>
      <c r="E581">
        <v>10</v>
      </c>
      <c r="P581" t="s">
        <v>10</v>
      </c>
      <c r="Q581" t="s">
        <v>236</v>
      </c>
      <c r="R581">
        <v>10</v>
      </c>
      <c r="AI581" t="s">
        <v>158</v>
      </c>
      <c r="AJ581">
        <v>13412</v>
      </c>
      <c r="AL581">
        <f>COUNTIF(AI:AI,AK581)</f>
        <v>0</v>
      </c>
      <c r="AM581">
        <f>SUMIF(AI:AI,AK581,AJ:AJ)</f>
        <v>0</v>
      </c>
      <c r="AP581" t="s">
        <v>32</v>
      </c>
      <c r="AQ581" t="s">
        <v>35</v>
      </c>
      <c r="BP581" t="s">
        <v>5</v>
      </c>
      <c r="BQ581" t="s">
        <v>419</v>
      </c>
      <c r="BR581">
        <f t="shared" si="90"/>
        <v>7</v>
      </c>
      <c r="BS581">
        <f t="shared" si="91"/>
        <v>2024</v>
      </c>
      <c r="BT581">
        <v>10</v>
      </c>
      <c r="BU581" t="str">
        <f t="shared" si="92"/>
        <v>2024-7</v>
      </c>
      <c r="BV581">
        <f t="shared" si="93"/>
        <v>2</v>
      </c>
      <c r="BX581" t="s">
        <v>17</v>
      </c>
      <c r="BY581" t="s">
        <v>346</v>
      </c>
      <c r="BZ581">
        <v>74519</v>
      </c>
      <c r="CA581">
        <f t="shared" si="94"/>
        <v>4</v>
      </c>
      <c r="CB581">
        <f t="shared" si="95"/>
        <v>2024</v>
      </c>
      <c r="CC581" t="str">
        <f t="shared" si="96"/>
        <v>2024-4</v>
      </c>
    </row>
    <row r="582" spans="1:81" x14ac:dyDescent="0.25">
      <c r="A582" t="s">
        <v>12</v>
      </c>
      <c r="B582" t="s">
        <v>158</v>
      </c>
      <c r="C582" t="s">
        <v>346</v>
      </c>
      <c r="D582">
        <v>13412</v>
      </c>
      <c r="E582">
        <v>6</v>
      </c>
      <c r="P582" t="s">
        <v>23</v>
      </c>
      <c r="Q582" t="s">
        <v>68</v>
      </c>
      <c r="R582">
        <v>8</v>
      </c>
      <c r="AI582" t="s">
        <v>231</v>
      </c>
      <c r="AJ582">
        <v>82553</v>
      </c>
      <c r="AL582">
        <f>COUNTIF(AI:AI,AK582)</f>
        <v>0</v>
      </c>
      <c r="AM582">
        <f>SUMIF(AI:AI,AK582,AJ:AJ)</f>
        <v>0</v>
      </c>
      <c r="AP582" t="s">
        <v>27</v>
      </c>
      <c r="AQ582" t="s">
        <v>93</v>
      </c>
      <c r="BP582" t="s">
        <v>5</v>
      </c>
      <c r="BQ582" t="s">
        <v>419</v>
      </c>
      <c r="BR582">
        <f t="shared" si="90"/>
        <v>7</v>
      </c>
      <c r="BS582">
        <f t="shared" si="91"/>
        <v>2024</v>
      </c>
      <c r="BT582">
        <v>6</v>
      </c>
      <c r="BU582" t="str">
        <f t="shared" si="92"/>
        <v>2024-7</v>
      </c>
      <c r="BV582">
        <f t="shared" si="93"/>
        <v>0</v>
      </c>
      <c r="BX582" t="s">
        <v>12</v>
      </c>
      <c r="BY582" t="s">
        <v>346</v>
      </c>
      <c r="BZ582">
        <v>13412</v>
      </c>
      <c r="CA582">
        <f t="shared" si="94"/>
        <v>4</v>
      </c>
      <c r="CB582">
        <f t="shared" si="95"/>
        <v>2024</v>
      </c>
      <c r="CC582" t="str">
        <f t="shared" si="96"/>
        <v>2024-4</v>
      </c>
    </row>
    <row r="583" spans="1:81" x14ac:dyDescent="0.25">
      <c r="A583" t="s">
        <v>10</v>
      </c>
      <c r="B583" t="s">
        <v>231</v>
      </c>
      <c r="C583" t="s">
        <v>346</v>
      </c>
      <c r="D583">
        <v>82553</v>
      </c>
      <c r="E583">
        <v>7</v>
      </c>
      <c r="P583" t="s">
        <v>27</v>
      </c>
      <c r="Q583" t="s">
        <v>247</v>
      </c>
      <c r="R583">
        <v>7</v>
      </c>
      <c r="AI583" t="s">
        <v>233</v>
      </c>
      <c r="AJ583">
        <v>94875</v>
      </c>
      <c r="AL583">
        <f>COUNTIF(AI:AI,AK583)</f>
        <v>0</v>
      </c>
      <c r="AM583">
        <f>SUMIF(AI:AI,AK583,AJ:AJ)</f>
        <v>0</v>
      </c>
      <c r="AP583" t="s">
        <v>14</v>
      </c>
      <c r="AQ583" t="s">
        <v>352</v>
      </c>
      <c r="BP583" t="s">
        <v>5</v>
      </c>
      <c r="BQ583" t="s">
        <v>419</v>
      </c>
      <c r="BR583">
        <f t="shared" si="90"/>
        <v>7</v>
      </c>
      <c r="BS583">
        <f t="shared" si="91"/>
        <v>2024</v>
      </c>
      <c r="BT583">
        <v>7</v>
      </c>
      <c r="BU583" t="str">
        <f t="shared" si="92"/>
        <v>2024-7</v>
      </c>
      <c r="BV583">
        <f t="shared" si="93"/>
        <v>1</v>
      </c>
      <c r="BX583" t="s">
        <v>10</v>
      </c>
      <c r="BY583" t="s">
        <v>346</v>
      </c>
      <c r="BZ583">
        <v>82553</v>
      </c>
      <c r="CA583">
        <f t="shared" si="94"/>
        <v>4</v>
      </c>
      <c r="CB583">
        <f t="shared" si="95"/>
        <v>2024</v>
      </c>
      <c r="CC583" t="str">
        <f t="shared" si="96"/>
        <v>2024-4</v>
      </c>
    </row>
    <row r="584" spans="1:81" x14ac:dyDescent="0.25">
      <c r="A584" t="s">
        <v>5</v>
      </c>
      <c r="B584" t="s">
        <v>233</v>
      </c>
      <c r="C584" t="s">
        <v>346</v>
      </c>
      <c r="D584">
        <v>94875</v>
      </c>
      <c r="E584">
        <v>9</v>
      </c>
      <c r="P584" t="s">
        <v>5</v>
      </c>
      <c r="Q584" t="s">
        <v>9</v>
      </c>
      <c r="R584">
        <v>7</v>
      </c>
      <c r="AI584" t="s">
        <v>169</v>
      </c>
      <c r="AJ584">
        <v>14256</v>
      </c>
      <c r="AL584">
        <f>COUNTIF(AI:AI,AK584)</f>
        <v>0</v>
      </c>
      <c r="AM584">
        <f>SUMIF(AI:AI,AK584,AJ:AJ)</f>
        <v>0</v>
      </c>
      <c r="AP584" t="s">
        <v>8</v>
      </c>
      <c r="AQ584" t="s">
        <v>231</v>
      </c>
      <c r="BP584" t="s">
        <v>5</v>
      </c>
      <c r="BQ584" t="s">
        <v>423</v>
      </c>
      <c r="BR584">
        <f t="shared" si="90"/>
        <v>7</v>
      </c>
      <c r="BS584">
        <f t="shared" si="91"/>
        <v>2024</v>
      </c>
      <c r="BT584">
        <v>9</v>
      </c>
      <c r="BU584" t="str">
        <f t="shared" si="92"/>
        <v>2024-7</v>
      </c>
      <c r="BV584">
        <f t="shared" si="93"/>
        <v>2</v>
      </c>
      <c r="BX584" t="s">
        <v>5</v>
      </c>
      <c r="BY584" t="s">
        <v>346</v>
      </c>
      <c r="BZ584">
        <v>94875</v>
      </c>
      <c r="CA584">
        <f t="shared" si="94"/>
        <v>4</v>
      </c>
      <c r="CB584">
        <f t="shared" si="95"/>
        <v>2024</v>
      </c>
      <c r="CC584" t="str">
        <f t="shared" si="96"/>
        <v>2024-4</v>
      </c>
    </row>
    <row r="585" spans="1:81" x14ac:dyDescent="0.25">
      <c r="A585" t="s">
        <v>32</v>
      </c>
      <c r="B585" t="s">
        <v>169</v>
      </c>
      <c r="C585" t="s">
        <v>346</v>
      </c>
      <c r="D585">
        <v>14256</v>
      </c>
      <c r="E585">
        <v>7</v>
      </c>
      <c r="P585" t="s">
        <v>17</v>
      </c>
      <c r="Q585" t="s">
        <v>334</v>
      </c>
      <c r="R585">
        <v>2</v>
      </c>
      <c r="AI585" t="s">
        <v>214</v>
      </c>
      <c r="AJ585">
        <v>77779</v>
      </c>
      <c r="AL585">
        <f>COUNTIF(AI:AI,AK585)</f>
        <v>0</v>
      </c>
      <c r="AM585">
        <f>SUMIF(AI:AI,AK585,AJ:AJ)</f>
        <v>0</v>
      </c>
      <c r="AP585" t="s">
        <v>20</v>
      </c>
      <c r="AQ585" t="s">
        <v>55</v>
      </c>
      <c r="BP585" t="s">
        <v>5</v>
      </c>
      <c r="BQ585" t="s">
        <v>424</v>
      </c>
      <c r="BR585">
        <f t="shared" si="90"/>
        <v>7</v>
      </c>
      <c r="BS585">
        <f t="shared" si="91"/>
        <v>2024</v>
      </c>
      <c r="BT585">
        <v>7</v>
      </c>
      <c r="BU585" t="str">
        <f t="shared" si="92"/>
        <v>2024-7</v>
      </c>
      <c r="BV585">
        <f t="shared" si="93"/>
        <v>1</v>
      </c>
      <c r="BX585" t="s">
        <v>32</v>
      </c>
      <c r="BY585" t="s">
        <v>346</v>
      </c>
      <c r="BZ585">
        <v>14256</v>
      </c>
      <c r="CA585">
        <f t="shared" si="94"/>
        <v>4</v>
      </c>
      <c r="CB585">
        <f t="shared" si="95"/>
        <v>2024</v>
      </c>
      <c r="CC585" t="str">
        <f t="shared" si="96"/>
        <v>2024-4</v>
      </c>
    </row>
    <row r="586" spans="1:81" x14ac:dyDescent="0.25">
      <c r="A586" t="s">
        <v>23</v>
      </c>
      <c r="B586" t="s">
        <v>214</v>
      </c>
      <c r="C586" t="s">
        <v>346</v>
      </c>
      <c r="D586">
        <v>77779</v>
      </c>
      <c r="E586">
        <v>7</v>
      </c>
      <c r="P586" t="s">
        <v>33</v>
      </c>
      <c r="Q586" t="s">
        <v>182</v>
      </c>
      <c r="R586">
        <v>4</v>
      </c>
      <c r="AI586" t="s">
        <v>35</v>
      </c>
      <c r="AJ586">
        <v>34835</v>
      </c>
      <c r="AL586">
        <f>COUNTIF(AI:AI,AK586)</f>
        <v>0</v>
      </c>
      <c r="AM586">
        <f>SUMIF(AI:AI,AK586,AJ:AJ)</f>
        <v>0</v>
      </c>
      <c r="AP586" t="s">
        <v>8</v>
      </c>
      <c r="AQ586" t="s">
        <v>21</v>
      </c>
      <c r="BP586" t="s">
        <v>5</v>
      </c>
      <c r="BQ586" t="s">
        <v>426</v>
      </c>
      <c r="BR586">
        <f t="shared" si="90"/>
        <v>7</v>
      </c>
      <c r="BS586">
        <f t="shared" si="91"/>
        <v>2024</v>
      </c>
      <c r="BT586">
        <v>7</v>
      </c>
      <c r="BU586" t="str">
        <f t="shared" si="92"/>
        <v>2024-7</v>
      </c>
      <c r="BV586">
        <f t="shared" si="93"/>
        <v>1</v>
      </c>
      <c r="BX586" t="s">
        <v>23</v>
      </c>
      <c r="BY586" t="s">
        <v>346</v>
      </c>
      <c r="BZ586">
        <v>77779</v>
      </c>
      <c r="CA586">
        <f t="shared" si="94"/>
        <v>4</v>
      </c>
      <c r="CB586">
        <f t="shared" si="95"/>
        <v>2024</v>
      </c>
      <c r="CC586" t="str">
        <f t="shared" si="96"/>
        <v>2024-4</v>
      </c>
    </row>
    <row r="587" spans="1:81" x14ac:dyDescent="0.25">
      <c r="A587" t="s">
        <v>17</v>
      </c>
      <c r="B587" t="s">
        <v>35</v>
      </c>
      <c r="C587" t="s">
        <v>346</v>
      </c>
      <c r="D587">
        <v>34835</v>
      </c>
      <c r="E587">
        <v>1</v>
      </c>
      <c r="P587" t="s">
        <v>10</v>
      </c>
      <c r="Q587" t="s">
        <v>28</v>
      </c>
      <c r="R587">
        <v>7</v>
      </c>
      <c r="AI587" t="s">
        <v>196</v>
      </c>
      <c r="AJ587">
        <v>13809</v>
      </c>
      <c r="AL587">
        <f>COUNTIF(AI:AI,AK587)</f>
        <v>0</v>
      </c>
      <c r="AM587">
        <f>SUMIF(AI:AI,AK587,AJ:AJ)</f>
        <v>0</v>
      </c>
      <c r="AP587" t="s">
        <v>17</v>
      </c>
      <c r="AQ587" t="s">
        <v>120</v>
      </c>
      <c r="BP587" t="s">
        <v>5</v>
      </c>
      <c r="BQ587" t="s">
        <v>427</v>
      </c>
      <c r="BR587">
        <f t="shared" si="90"/>
        <v>7</v>
      </c>
      <c r="BS587">
        <f t="shared" si="91"/>
        <v>2024</v>
      </c>
      <c r="BT587">
        <v>1</v>
      </c>
      <c r="BU587" t="str">
        <f t="shared" si="92"/>
        <v>2024-7</v>
      </c>
      <c r="BV587">
        <f t="shared" si="93"/>
        <v>0</v>
      </c>
      <c r="BX587" t="s">
        <v>17</v>
      </c>
      <c r="BY587" t="s">
        <v>346</v>
      </c>
      <c r="BZ587">
        <v>34835</v>
      </c>
      <c r="CA587">
        <f t="shared" si="94"/>
        <v>4</v>
      </c>
      <c r="CB587">
        <f t="shared" si="95"/>
        <v>2024</v>
      </c>
      <c r="CC587" t="str">
        <f t="shared" si="96"/>
        <v>2024-4</v>
      </c>
    </row>
    <row r="588" spans="1:81" x14ac:dyDescent="0.25">
      <c r="A588" t="s">
        <v>12</v>
      </c>
      <c r="B588" t="s">
        <v>196</v>
      </c>
      <c r="C588" t="s">
        <v>346</v>
      </c>
      <c r="D588">
        <v>13809</v>
      </c>
      <c r="E588">
        <v>6</v>
      </c>
      <c r="P588" t="s">
        <v>27</v>
      </c>
      <c r="Q588" t="s">
        <v>202</v>
      </c>
      <c r="R588">
        <v>7</v>
      </c>
      <c r="AI588" t="s">
        <v>319</v>
      </c>
      <c r="AJ588">
        <v>23859</v>
      </c>
      <c r="AL588">
        <f>COUNTIF(AI:AI,AK588)</f>
        <v>0</v>
      </c>
      <c r="AM588">
        <f>SUMIF(AI:AI,AK588,AJ:AJ)</f>
        <v>0</v>
      </c>
      <c r="AP588" t="s">
        <v>10</v>
      </c>
      <c r="AQ588" t="s">
        <v>327</v>
      </c>
      <c r="BP588" t="s">
        <v>5</v>
      </c>
      <c r="BQ588" t="s">
        <v>435</v>
      </c>
      <c r="BR588">
        <f t="shared" si="90"/>
        <v>8</v>
      </c>
      <c r="BS588">
        <f t="shared" si="91"/>
        <v>2024</v>
      </c>
      <c r="BT588">
        <v>6</v>
      </c>
      <c r="BU588" t="str">
        <f t="shared" si="92"/>
        <v>2024-8</v>
      </c>
      <c r="BV588">
        <f t="shared" si="93"/>
        <v>0</v>
      </c>
      <c r="BX588" t="s">
        <v>12</v>
      </c>
      <c r="BY588" t="s">
        <v>346</v>
      </c>
      <c r="BZ588">
        <v>13809</v>
      </c>
      <c r="CA588">
        <f t="shared" si="94"/>
        <v>4</v>
      </c>
      <c r="CB588">
        <f t="shared" si="95"/>
        <v>2024</v>
      </c>
      <c r="CC588" t="str">
        <f t="shared" si="96"/>
        <v>2024-4</v>
      </c>
    </row>
    <row r="589" spans="1:81" x14ac:dyDescent="0.25">
      <c r="A589" t="s">
        <v>17</v>
      </c>
      <c r="B589" t="s">
        <v>319</v>
      </c>
      <c r="C589" t="s">
        <v>346</v>
      </c>
      <c r="D589">
        <v>23859</v>
      </c>
      <c r="E589">
        <v>10</v>
      </c>
      <c r="P589" t="s">
        <v>14</v>
      </c>
      <c r="Q589" t="s">
        <v>93</v>
      </c>
      <c r="R589">
        <v>10</v>
      </c>
      <c r="AI589" t="s">
        <v>229</v>
      </c>
      <c r="AJ589">
        <v>20929</v>
      </c>
      <c r="AL589">
        <f>COUNTIF(AI:AI,AK589)</f>
        <v>0</v>
      </c>
      <c r="AM589">
        <f>SUMIF(AI:AI,AK589,AJ:AJ)</f>
        <v>0</v>
      </c>
      <c r="AP589" t="s">
        <v>36</v>
      </c>
      <c r="AQ589" t="s">
        <v>196</v>
      </c>
      <c r="BP589" t="s">
        <v>5</v>
      </c>
      <c r="BQ589" t="s">
        <v>437</v>
      </c>
      <c r="BR589">
        <f t="shared" si="90"/>
        <v>8</v>
      </c>
      <c r="BS589">
        <f t="shared" si="91"/>
        <v>2024</v>
      </c>
      <c r="BT589">
        <v>10</v>
      </c>
      <c r="BU589" t="str">
        <f t="shared" si="92"/>
        <v>2024-8</v>
      </c>
      <c r="BV589">
        <f t="shared" si="93"/>
        <v>2</v>
      </c>
      <c r="BX589" t="s">
        <v>17</v>
      </c>
      <c r="BY589" t="s">
        <v>346</v>
      </c>
      <c r="BZ589">
        <v>23859</v>
      </c>
      <c r="CA589">
        <f t="shared" si="94"/>
        <v>4</v>
      </c>
      <c r="CB589">
        <f t="shared" si="95"/>
        <v>2024</v>
      </c>
      <c r="CC589" t="str">
        <f t="shared" si="96"/>
        <v>2024-4</v>
      </c>
    </row>
    <row r="590" spans="1:81" x14ac:dyDescent="0.25">
      <c r="A590" t="s">
        <v>20</v>
      </c>
      <c r="B590" t="s">
        <v>229</v>
      </c>
      <c r="C590" t="s">
        <v>346</v>
      </c>
      <c r="D590">
        <v>20929</v>
      </c>
      <c r="E590">
        <v>9</v>
      </c>
      <c r="P590" t="s">
        <v>33</v>
      </c>
      <c r="Q590" t="s">
        <v>161</v>
      </c>
      <c r="R590">
        <v>7</v>
      </c>
      <c r="AI590" t="s">
        <v>236</v>
      </c>
      <c r="AJ590">
        <v>33850</v>
      </c>
      <c r="AL590">
        <f>COUNTIF(AI:AI,AK590)</f>
        <v>0</v>
      </c>
      <c r="AM590">
        <f>SUMIF(AI:AI,AK590,AJ:AJ)</f>
        <v>0</v>
      </c>
      <c r="AP590" t="s">
        <v>32</v>
      </c>
      <c r="AQ590" t="s">
        <v>369</v>
      </c>
      <c r="BP590" t="s">
        <v>5</v>
      </c>
      <c r="BQ590" t="s">
        <v>438</v>
      </c>
      <c r="BR590">
        <f t="shared" si="90"/>
        <v>8</v>
      </c>
      <c r="BS590">
        <f t="shared" si="91"/>
        <v>2024</v>
      </c>
      <c r="BT590">
        <v>9</v>
      </c>
      <c r="BU590" t="str">
        <f t="shared" si="92"/>
        <v>2024-8</v>
      </c>
      <c r="BV590">
        <f t="shared" si="93"/>
        <v>2</v>
      </c>
      <c r="BX590" t="s">
        <v>20</v>
      </c>
      <c r="BY590" t="s">
        <v>346</v>
      </c>
      <c r="BZ590">
        <v>20929</v>
      </c>
      <c r="CA590">
        <f t="shared" si="94"/>
        <v>4</v>
      </c>
      <c r="CB590">
        <f t="shared" si="95"/>
        <v>2024</v>
      </c>
      <c r="CC590" t="str">
        <f t="shared" si="96"/>
        <v>2024-4</v>
      </c>
    </row>
    <row r="591" spans="1:81" x14ac:dyDescent="0.25">
      <c r="A591" t="s">
        <v>10</v>
      </c>
      <c r="B591" t="s">
        <v>236</v>
      </c>
      <c r="C591" t="s">
        <v>346</v>
      </c>
      <c r="D591">
        <v>33850</v>
      </c>
      <c r="E591">
        <v>10</v>
      </c>
      <c r="P591" t="s">
        <v>12</v>
      </c>
      <c r="Q591" t="s">
        <v>266</v>
      </c>
      <c r="R591">
        <v>5</v>
      </c>
      <c r="AI591" t="s">
        <v>68</v>
      </c>
      <c r="AJ591">
        <v>46779</v>
      </c>
      <c r="AL591">
        <f>COUNTIF(AI:AI,AK591)</f>
        <v>0</v>
      </c>
      <c r="AM591">
        <f>SUMIF(AI:AI,AK591,AJ:AJ)</f>
        <v>0</v>
      </c>
      <c r="AP591" t="s">
        <v>8</v>
      </c>
      <c r="AQ591" t="s">
        <v>236</v>
      </c>
      <c r="BP591" t="s">
        <v>5</v>
      </c>
      <c r="BQ591" t="s">
        <v>439</v>
      </c>
      <c r="BR591">
        <f t="shared" si="90"/>
        <v>8</v>
      </c>
      <c r="BS591">
        <f t="shared" si="91"/>
        <v>2024</v>
      </c>
      <c r="BT591">
        <v>10</v>
      </c>
      <c r="BU591" t="str">
        <f t="shared" si="92"/>
        <v>2024-8</v>
      </c>
      <c r="BV591">
        <f t="shared" si="93"/>
        <v>2</v>
      </c>
      <c r="BX591" t="s">
        <v>10</v>
      </c>
      <c r="BY591" t="s">
        <v>346</v>
      </c>
      <c r="BZ591">
        <v>33850</v>
      </c>
      <c r="CA591">
        <f t="shared" si="94"/>
        <v>4</v>
      </c>
      <c r="CB591">
        <f t="shared" si="95"/>
        <v>2024</v>
      </c>
      <c r="CC591" t="str">
        <f t="shared" si="96"/>
        <v>2024-4</v>
      </c>
    </row>
    <row r="592" spans="1:81" x14ac:dyDescent="0.25">
      <c r="A592" t="s">
        <v>23</v>
      </c>
      <c r="B592" t="s">
        <v>68</v>
      </c>
      <c r="C592" t="s">
        <v>346</v>
      </c>
      <c r="D592">
        <v>46779</v>
      </c>
      <c r="E592">
        <v>8</v>
      </c>
      <c r="P592" t="s">
        <v>36</v>
      </c>
      <c r="Q592" t="s">
        <v>127</v>
      </c>
      <c r="R592">
        <v>9</v>
      </c>
      <c r="AI592" t="s">
        <v>247</v>
      </c>
      <c r="AJ592">
        <v>95608</v>
      </c>
      <c r="AL592">
        <f>COUNTIF(AI:AI,AK592)</f>
        <v>0</v>
      </c>
      <c r="AM592">
        <f>SUMIF(AI:AI,AK592,AJ:AJ)</f>
        <v>0</v>
      </c>
      <c r="AP592" t="s">
        <v>32</v>
      </c>
      <c r="AQ592" t="s">
        <v>242</v>
      </c>
      <c r="BP592" t="s">
        <v>5</v>
      </c>
      <c r="BQ592" t="s">
        <v>442</v>
      </c>
      <c r="BR592">
        <f t="shared" si="90"/>
        <v>8</v>
      </c>
      <c r="BS592">
        <f t="shared" si="91"/>
        <v>2024</v>
      </c>
      <c r="BT592">
        <v>8</v>
      </c>
      <c r="BU592" t="str">
        <f t="shared" si="92"/>
        <v>2024-8</v>
      </c>
      <c r="BV592">
        <f t="shared" si="93"/>
        <v>1</v>
      </c>
      <c r="BX592" t="s">
        <v>23</v>
      </c>
      <c r="BY592" t="s">
        <v>346</v>
      </c>
      <c r="BZ592">
        <v>46779</v>
      </c>
      <c r="CA592">
        <f t="shared" si="94"/>
        <v>4</v>
      </c>
      <c r="CB592">
        <f t="shared" si="95"/>
        <v>2024</v>
      </c>
      <c r="CC592" t="str">
        <f t="shared" si="96"/>
        <v>2024-4</v>
      </c>
    </row>
    <row r="593" spans="1:81" x14ac:dyDescent="0.25">
      <c r="A593" t="s">
        <v>27</v>
      </c>
      <c r="B593" t="s">
        <v>247</v>
      </c>
      <c r="C593" t="s">
        <v>346</v>
      </c>
      <c r="D593">
        <v>95608</v>
      </c>
      <c r="E593">
        <v>7</v>
      </c>
      <c r="P593" t="s">
        <v>23</v>
      </c>
      <c r="Q593" t="s">
        <v>183</v>
      </c>
      <c r="R593">
        <v>7</v>
      </c>
      <c r="AI593" t="s">
        <v>9</v>
      </c>
      <c r="AJ593">
        <v>16824</v>
      </c>
      <c r="AL593">
        <f>COUNTIF(AI:AI,AK593)</f>
        <v>0</v>
      </c>
      <c r="AM593">
        <f>SUMIF(AI:AI,AK593,AJ:AJ)</f>
        <v>0</v>
      </c>
      <c r="AP593" t="s">
        <v>12</v>
      </c>
      <c r="AQ593" t="s">
        <v>90</v>
      </c>
      <c r="BP593" t="s">
        <v>5</v>
      </c>
      <c r="BQ593" t="s">
        <v>448</v>
      </c>
      <c r="BR593">
        <f t="shared" si="90"/>
        <v>8</v>
      </c>
      <c r="BS593">
        <f t="shared" si="91"/>
        <v>2024</v>
      </c>
      <c r="BT593">
        <v>7</v>
      </c>
      <c r="BU593" t="str">
        <f t="shared" si="92"/>
        <v>2024-8</v>
      </c>
      <c r="BV593">
        <f t="shared" si="93"/>
        <v>1</v>
      </c>
      <c r="BX593" t="s">
        <v>27</v>
      </c>
      <c r="BY593" t="s">
        <v>346</v>
      </c>
      <c r="BZ593">
        <v>95608</v>
      </c>
      <c r="CA593">
        <f t="shared" si="94"/>
        <v>4</v>
      </c>
      <c r="CB593">
        <f t="shared" si="95"/>
        <v>2024</v>
      </c>
      <c r="CC593" t="str">
        <f t="shared" si="96"/>
        <v>2024-4</v>
      </c>
    </row>
    <row r="594" spans="1:81" x14ac:dyDescent="0.25">
      <c r="A594" t="s">
        <v>5</v>
      </c>
      <c r="B594" t="s">
        <v>9</v>
      </c>
      <c r="C594" t="s">
        <v>346</v>
      </c>
      <c r="D594">
        <v>16824</v>
      </c>
      <c r="E594">
        <v>7</v>
      </c>
      <c r="P594" t="s">
        <v>5</v>
      </c>
      <c r="Q594" t="s">
        <v>245</v>
      </c>
      <c r="R594">
        <v>8</v>
      </c>
      <c r="AI594" t="s">
        <v>256</v>
      </c>
      <c r="AJ594">
        <v>94063</v>
      </c>
      <c r="AL594">
        <f>COUNTIF(AI:AI,AK594)</f>
        <v>0</v>
      </c>
      <c r="AM594">
        <f>SUMIF(AI:AI,AK594,AJ:AJ)</f>
        <v>0</v>
      </c>
      <c r="AP594" t="s">
        <v>20</v>
      </c>
      <c r="AQ594" t="s">
        <v>373</v>
      </c>
      <c r="BP594" t="s">
        <v>8</v>
      </c>
      <c r="BQ594" t="s">
        <v>7</v>
      </c>
      <c r="BR594">
        <f t="shared" si="90"/>
        <v>9</v>
      </c>
      <c r="BS594">
        <f t="shared" si="91"/>
        <v>2023</v>
      </c>
      <c r="BT594">
        <v>7</v>
      </c>
      <c r="BU594" t="str">
        <f t="shared" si="92"/>
        <v>2023-9</v>
      </c>
      <c r="BV594">
        <f t="shared" si="93"/>
        <v>1</v>
      </c>
      <c r="BX594" t="s">
        <v>5</v>
      </c>
      <c r="BY594" t="s">
        <v>346</v>
      </c>
      <c r="BZ594">
        <v>16824</v>
      </c>
      <c r="CA594">
        <f t="shared" si="94"/>
        <v>4</v>
      </c>
      <c r="CB594">
        <f t="shared" si="95"/>
        <v>2024</v>
      </c>
      <c r="CC594" t="str">
        <f t="shared" si="96"/>
        <v>2024-4</v>
      </c>
    </row>
    <row r="595" spans="1:81" x14ac:dyDescent="0.25">
      <c r="A595" t="s">
        <v>27</v>
      </c>
      <c r="B595" t="s">
        <v>256</v>
      </c>
      <c r="C595" t="s">
        <v>347</v>
      </c>
      <c r="D595">
        <v>94063</v>
      </c>
      <c r="E595">
        <v>6</v>
      </c>
      <c r="P595" t="s">
        <v>5</v>
      </c>
      <c r="Q595" t="s">
        <v>173</v>
      </c>
      <c r="R595">
        <v>2</v>
      </c>
      <c r="AI595" t="s">
        <v>334</v>
      </c>
      <c r="AJ595">
        <v>62961</v>
      </c>
      <c r="AL595">
        <f>COUNTIF(AI:AI,AK595)</f>
        <v>0</v>
      </c>
      <c r="AM595">
        <f>SUMIF(AI:AI,AK595,AJ:AJ)</f>
        <v>0</v>
      </c>
      <c r="AP595" t="s">
        <v>12</v>
      </c>
      <c r="AQ595" t="s">
        <v>29</v>
      </c>
      <c r="BP595" t="s">
        <v>8</v>
      </c>
      <c r="BQ595" t="s">
        <v>59</v>
      </c>
      <c r="BR595">
        <f t="shared" si="90"/>
        <v>9</v>
      </c>
      <c r="BS595">
        <f t="shared" si="91"/>
        <v>2023</v>
      </c>
      <c r="BT595">
        <v>6</v>
      </c>
      <c r="BU595" t="str">
        <f t="shared" si="92"/>
        <v>2023-9</v>
      </c>
      <c r="BV595">
        <f t="shared" si="93"/>
        <v>0</v>
      </c>
      <c r="BX595" t="s">
        <v>27</v>
      </c>
      <c r="BY595" t="s">
        <v>347</v>
      </c>
      <c r="BZ595">
        <v>94063</v>
      </c>
      <c r="CA595">
        <f t="shared" si="94"/>
        <v>4</v>
      </c>
      <c r="CB595">
        <f t="shared" si="95"/>
        <v>2024</v>
      </c>
      <c r="CC595" t="str">
        <f t="shared" si="96"/>
        <v>2024-4</v>
      </c>
    </row>
    <row r="596" spans="1:81" x14ac:dyDescent="0.25">
      <c r="A596" t="s">
        <v>17</v>
      </c>
      <c r="B596" t="s">
        <v>334</v>
      </c>
      <c r="C596" t="s">
        <v>347</v>
      </c>
      <c r="D596">
        <v>62961</v>
      </c>
      <c r="E596">
        <v>2</v>
      </c>
      <c r="P596" t="s">
        <v>20</v>
      </c>
      <c r="Q596" t="s">
        <v>77</v>
      </c>
      <c r="R596">
        <v>5</v>
      </c>
      <c r="AI596" t="s">
        <v>182</v>
      </c>
      <c r="AJ596">
        <v>20996</v>
      </c>
      <c r="AL596">
        <f>COUNTIF(AI:AI,AK596)</f>
        <v>0</v>
      </c>
      <c r="AM596">
        <f>SUMIF(AI:AI,AK596,AJ:AJ)</f>
        <v>0</v>
      </c>
      <c r="AP596" t="s">
        <v>17</v>
      </c>
      <c r="AQ596" t="s">
        <v>238</v>
      </c>
      <c r="BP596" t="s">
        <v>8</v>
      </c>
      <c r="BQ596" t="s">
        <v>64</v>
      </c>
      <c r="BR596">
        <f t="shared" si="90"/>
        <v>9</v>
      </c>
      <c r="BS596">
        <f t="shared" si="91"/>
        <v>2023</v>
      </c>
      <c r="BT596">
        <v>2</v>
      </c>
      <c r="BU596" t="str">
        <f t="shared" si="92"/>
        <v>2023-9</v>
      </c>
      <c r="BV596">
        <f t="shared" si="93"/>
        <v>0</v>
      </c>
      <c r="BX596" t="s">
        <v>17</v>
      </c>
      <c r="BY596" t="s">
        <v>347</v>
      </c>
      <c r="BZ596">
        <v>62961</v>
      </c>
      <c r="CA596">
        <f t="shared" si="94"/>
        <v>4</v>
      </c>
      <c r="CB596">
        <f t="shared" si="95"/>
        <v>2024</v>
      </c>
      <c r="CC596" t="str">
        <f t="shared" si="96"/>
        <v>2024-4</v>
      </c>
    </row>
    <row r="597" spans="1:81" x14ac:dyDescent="0.25">
      <c r="A597" t="s">
        <v>33</v>
      </c>
      <c r="B597" t="s">
        <v>182</v>
      </c>
      <c r="C597" t="s">
        <v>347</v>
      </c>
      <c r="D597">
        <v>20996</v>
      </c>
      <c r="E597">
        <v>4</v>
      </c>
      <c r="P597" t="s">
        <v>10</v>
      </c>
      <c r="Q597" t="s">
        <v>238</v>
      </c>
      <c r="R597">
        <v>4</v>
      </c>
      <c r="AI597" t="s">
        <v>28</v>
      </c>
      <c r="AJ597">
        <v>16280</v>
      </c>
      <c r="AL597">
        <f>COUNTIF(AI:AI,AK597)</f>
        <v>0</v>
      </c>
      <c r="AM597">
        <f>SUMIF(AI:AI,AK597,AJ:AJ)</f>
        <v>0</v>
      </c>
      <c r="AP597" t="s">
        <v>14</v>
      </c>
      <c r="AQ597" t="s">
        <v>174</v>
      </c>
      <c r="BP597" t="s">
        <v>8</v>
      </c>
      <c r="BQ597" t="s">
        <v>73</v>
      </c>
      <c r="BR597">
        <f t="shared" si="90"/>
        <v>9</v>
      </c>
      <c r="BS597">
        <f t="shared" si="91"/>
        <v>2023</v>
      </c>
      <c r="BT597">
        <v>4</v>
      </c>
      <c r="BU597" t="str">
        <f t="shared" si="92"/>
        <v>2023-9</v>
      </c>
      <c r="BV597">
        <f t="shared" si="93"/>
        <v>0</v>
      </c>
      <c r="BX597" t="s">
        <v>33</v>
      </c>
      <c r="BY597" t="s">
        <v>347</v>
      </c>
      <c r="BZ597">
        <v>20996</v>
      </c>
      <c r="CA597">
        <f t="shared" si="94"/>
        <v>4</v>
      </c>
      <c r="CB597">
        <f t="shared" si="95"/>
        <v>2024</v>
      </c>
      <c r="CC597" t="str">
        <f t="shared" si="96"/>
        <v>2024-4</v>
      </c>
    </row>
    <row r="598" spans="1:81" x14ac:dyDescent="0.25">
      <c r="A598" t="s">
        <v>10</v>
      </c>
      <c r="B598" t="s">
        <v>28</v>
      </c>
      <c r="C598" t="s">
        <v>348</v>
      </c>
      <c r="D598">
        <v>16280</v>
      </c>
      <c r="E598">
        <v>7</v>
      </c>
      <c r="P598" t="s">
        <v>27</v>
      </c>
      <c r="Q598" t="s">
        <v>352</v>
      </c>
      <c r="R598">
        <v>9</v>
      </c>
      <c r="AI598" t="s">
        <v>202</v>
      </c>
      <c r="AJ598">
        <v>37907</v>
      </c>
      <c r="AL598">
        <f>COUNTIF(AI:AI,AK598)</f>
        <v>0</v>
      </c>
      <c r="AM598">
        <f>SUMIF(AI:AI,AK598,AJ:AJ)</f>
        <v>0</v>
      </c>
      <c r="AP598" t="s">
        <v>36</v>
      </c>
      <c r="AQ598" t="s">
        <v>93</v>
      </c>
      <c r="BP598" t="s">
        <v>8</v>
      </c>
      <c r="BQ598" t="s">
        <v>102</v>
      </c>
      <c r="BR598">
        <f t="shared" si="90"/>
        <v>10</v>
      </c>
      <c r="BS598">
        <f t="shared" si="91"/>
        <v>2023</v>
      </c>
      <c r="BT598">
        <v>7</v>
      </c>
      <c r="BU598" t="str">
        <f t="shared" si="92"/>
        <v>2023-10</v>
      </c>
      <c r="BV598">
        <f t="shared" si="93"/>
        <v>1</v>
      </c>
      <c r="BX598" t="s">
        <v>10</v>
      </c>
      <c r="BY598" t="s">
        <v>348</v>
      </c>
      <c r="BZ598">
        <v>16280</v>
      </c>
      <c r="CA598">
        <f t="shared" si="94"/>
        <v>4</v>
      </c>
      <c r="CB598">
        <f t="shared" si="95"/>
        <v>2024</v>
      </c>
      <c r="CC598" t="str">
        <f t="shared" si="96"/>
        <v>2024-4</v>
      </c>
    </row>
    <row r="599" spans="1:81" x14ac:dyDescent="0.25">
      <c r="A599" t="s">
        <v>27</v>
      </c>
      <c r="B599" t="s">
        <v>202</v>
      </c>
      <c r="C599" t="s">
        <v>348</v>
      </c>
      <c r="D599">
        <v>37907</v>
      </c>
      <c r="E599">
        <v>7</v>
      </c>
      <c r="P599" t="s">
        <v>10</v>
      </c>
      <c r="Q599" t="s">
        <v>55</v>
      </c>
      <c r="R599">
        <v>8</v>
      </c>
      <c r="AI599" t="s">
        <v>93</v>
      </c>
      <c r="AJ599">
        <v>19616</v>
      </c>
      <c r="AL599">
        <f>COUNTIF(AI:AI,AK599)</f>
        <v>0</v>
      </c>
      <c r="AM599">
        <f>SUMIF(AI:AI,AK599,AJ:AJ)</f>
        <v>0</v>
      </c>
      <c r="AP599" t="s">
        <v>32</v>
      </c>
      <c r="AQ599" t="s">
        <v>67</v>
      </c>
      <c r="BP599" t="s">
        <v>8</v>
      </c>
      <c r="BQ599" t="s">
        <v>117</v>
      </c>
      <c r="BR599">
        <f t="shared" ref="BR599:BR662" si="97">MONTH(BQ599)</f>
        <v>10</v>
      </c>
      <c r="BS599">
        <f t="shared" si="91"/>
        <v>2023</v>
      </c>
      <c r="BT599">
        <v>7</v>
      </c>
      <c r="BU599" t="str">
        <f t="shared" si="92"/>
        <v>2023-10</v>
      </c>
      <c r="BV599">
        <f t="shared" si="93"/>
        <v>1</v>
      </c>
      <c r="BX599" t="s">
        <v>27</v>
      </c>
      <c r="BY599" t="s">
        <v>348</v>
      </c>
      <c r="BZ599">
        <v>37907</v>
      </c>
      <c r="CA599">
        <f t="shared" si="94"/>
        <v>4</v>
      </c>
      <c r="CB599">
        <f t="shared" si="95"/>
        <v>2024</v>
      </c>
      <c r="CC599" t="str">
        <f t="shared" si="96"/>
        <v>2024-4</v>
      </c>
    </row>
    <row r="600" spans="1:81" x14ac:dyDescent="0.25">
      <c r="A600" t="s">
        <v>14</v>
      </c>
      <c r="B600" t="s">
        <v>93</v>
      </c>
      <c r="C600" t="s">
        <v>348</v>
      </c>
      <c r="D600">
        <v>19616</v>
      </c>
      <c r="E600">
        <v>10</v>
      </c>
      <c r="P600" t="s">
        <v>23</v>
      </c>
      <c r="Q600" t="s">
        <v>180</v>
      </c>
      <c r="R600">
        <v>2</v>
      </c>
      <c r="AI600" t="s">
        <v>161</v>
      </c>
      <c r="AJ600">
        <v>91860</v>
      </c>
      <c r="AL600">
        <f>COUNTIF(AI:AI,AK600)</f>
        <v>0</v>
      </c>
      <c r="AM600">
        <f>SUMIF(AI:AI,AK600,AJ:AJ)</f>
        <v>0</v>
      </c>
      <c r="AP600" t="s">
        <v>5</v>
      </c>
      <c r="AQ600" t="s">
        <v>155</v>
      </c>
      <c r="BP600" t="s">
        <v>8</v>
      </c>
      <c r="BQ600" t="s">
        <v>140</v>
      </c>
      <c r="BR600">
        <f t="shared" si="97"/>
        <v>10</v>
      </c>
      <c r="BS600">
        <f t="shared" si="91"/>
        <v>2023</v>
      </c>
      <c r="BT600">
        <v>10</v>
      </c>
      <c r="BU600" t="str">
        <f t="shared" si="92"/>
        <v>2023-10</v>
      </c>
      <c r="BV600">
        <f t="shared" si="93"/>
        <v>2</v>
      </c>
      <c r="BX600" t="s">
        <v>14</v>
      </c>
      <c r="BY600" t="s">
        <v>348</v>
      </c>
      <c r="BZ600">
        <v>19616</v>
      </c>
      <c r="CA600">
        <f t="shared" si="94"/>
        <v>4</v>
      </c>
      <c r="CB600">
        <f t="shared" si="95"/>
        <v>2024</v>
      </c>
      <c r="CC600" t="str">
        <f t="shared" si="96"/>
        <v>2024-4</v>
      </c>
    </row>
    <row r="601" spans="1:81" x14ac:dyDescent="0.25">
      <c r="A601" t="s">
        <v>33</v>
      </c>
      <c r="B601" t="s">
        <v>161</v>
      </c>
      <c r="C601" t="s">
        <v>349</v>
      </c>
      <c r="D601">
        <v>91860</v>
      </c>
      <c r="E601">
        <v>7</v>
      </c>
      <c r="P601" t="s">
        <v>36</v>
      </c>
      <c r="Q601" t="s">
        <v>46</v>
      </c>
      <c r="R601">
        <v>8</v>
      </c>
      <c r="AI601" t="s">
        <v>266</v>
      </c>
      <c r="AJ601">
        <v>88348</v>
      </c>
      <c r="AL601">
        <f>COUNTIF(AI:AI,AK601)</f>
        <v>0</v>
      </c>
      <c r="AM601">
        <f>SUMIF(AI:AI,AK601,AJ:AJ)</f>
        <v>0</v>
      </c>
      <c r="AP601" t="s">
        <v>8</v>
      </c>
      <c r="AQ601" t="s">
        <v>44</v>
      </c>
      <c r="BP601" t="s">
        <v>8</v>
      </c>
      <c r="BQ601" t="s">
        <v>153</v>
      </c>
      <c r="BR601">
        <f t="shared" si="97"/>
        <v>10</v>
      </c>
      <c r="BS601">
        <f t="shared" si="91"/>
        <v>2023</v>
      </c>
      <c r="BT601">
        <v>7</v>
      </c>
      <c r="BU601" t="str">
        <f t="shared" si="92"/>
        <v>2023-10</v>
      </c>
      <c r="BV601">
        <f t="shared" si="93"/>
        <v>1</v>
      </c>
      <c r="BX601" t="s">
        <v>33</v>
      </c>
      <c r="BY601" t="s">
        <v>349</v>
      </c>
      <c r="BZ601">
        <v>91860</v>
      </c>
      <c r="CA601">
        <f t="shared" si="94"/>
        <v>4</v>
      </c>
      <c r="CB601">
        <f t="shared" si="95"/>
        <v>2024</v>
      </c>
      <c r="CC601" t="str">
        <f t="shared" si="96"/>
        <v>2024-4</v>
      </c>
    </row>
    <row r="602" spans="1:81" x14ac:dyDescent="0.25">
      <c r="A602" t="s">
        <v>12</v>
      </c>
      <c r="B602" t="s">
        <v>266</v>
      </c>
      <c r="C602" t="s">
        <v>349</v>
      </c>
      <c r="D602">
        <v>88348</v>
      </c>
      <c r="E602">
        <v>5</v>
      </c>
      <c r="P602" t="s">
        <v>14</v>
      </c>
      <c r="Q602" t="s">
        <v>307</v>
      </c>
      <c r="R602">
        <v>3</v>
      </c>
      <c r="AI602" t="s">
        <v>127</v>
      </c>
      <c r="AJ602">
        <v>52188</v>
      </c>
      <c r="AL602">
        <f>COUNTIF(AI:AI,AK602)</f>
        <v>0</v>
      </c>
      <c r="AM602">
        <f>SUMIF(AI:AI,AK602,AJ:AJ)</f>
        <v>0</v>
      </c>
      <c r="AP602" t="s">
        <v>20</v>
      </c>
      <c r="AQ602" t="s">
        <v>183</v>
      </c>
      <c r="BP602" t="s">
        <v>8</v>
      </c>
      <c r="BQ602" t="s">
        <v>170</v>
      </c>
      <c r="BR602">
        <f t="shared" si="97"/>
        <v>11</v>
      </c>
      <c r="BS602">
        <f t="shared" si="91"/>
        <v>2023</v>
      </c>
      <c r="BT602">
        <v>5</v>
      </c>
      <c r="BU602" t="str">
        <f t="shared" si="92"/>
        <v>2023-11</v>
      </c>
      <c r="BV602">
        <f t="shared" si="93"/>
        <v>0</v>
      </c>
      <c r="BX602" t="s">
        <v>12</v>
      </c>
      <c r="BY602" t="s">
        <v>349</v>
      </c>
      <c r="BZ602">
        <v>88348</v>
      </c>
      <c r="CA602">
        <f t="shared" si="94"/>
        <v>4</v>
      </c>
      <c r="CB602">
        <f t="shared" si="95"/>
        <v>2024</v>
      </c>
      <c r="CC602" t="str">
        <f t="shared" si="96"/>
        <v>2024-4</v>
      </c>
    </row>
    <row r="603" spans="1:81" x14ac:dyDescent="0.25">
      <c r="A603" t="s">
        <v>36</v>
      </c>
      <c r="B603" t="s">
        <v>127</v>
      </c>
      <c r="C603" t="s">
        <v>349</v>
      </c>
      <c r="D603">
        <v>52188</v>
      </c>
      <c r="E603">
        <v>9</v>
      </c>
      <c r="P603" t="s">
        <v>14</v>
      </c>
      <c r="Q603" t="s">
        <v>274</v>
      </c>
      <c r="R603">
        <v>10</v>
      </c>
      <c r="AI603" t="s">
        <v>183</v>
      </c>
      <c r="AJ603">
        <v>93133</v>
      </c>
      <c r="AL603">
        <f>COUNTIF(AI:AI,AK603)</f>
        <v>0</v>
      </c>
      <c r="AM603">
        <f>SUMIF(AI:AI,AK603,AJ:AJ)</f>
        <v>0</v>
      </c>
      <c r="AP603" t="s">
        <v>33</v>
      </c>
      <c r="AQ603" t="s">
        <v>148</v>
      </c>
      <c r="BP603" t="s">
        <v>8</v>
      </c>
      <c r="BQ603" t="s">
        <v>172</v>
      </c>
      <c r="BR603">
        <f t="shared" si="97"/>
        <v>11</v>
      </c>
      <c r="BS603">
        <f t="shared" si="91"/>
        <v>2023</v>
      </c>
      <c r="BT603">
        <v>9</v>
      </c>
      <c r="BU603" t="str">
        <f t="shared" si="92"/>
        <v>2023-11</v>
      </c>
      <c r="BV603">
        <f t="shared" si="93"/>
        <v>2</v>
      </c>
      <c r="BX603" t="s">
        <v>36</v>
      </c>
      <c r="BY603" t="s">
        <v>349</v>
      </c>
      <c r="BZ603">
        <v>52188</v>
      </c>
      <c r="CA603">
        <f t="shared" si="94"/>
        <v>4</v>
      </c>
      <c r="CB603">
        <f t="shared" si="95"/>
        <v>2024</v>
      </c>
      <c r="CC603" t="str">
        <f t="shared" si="96"/>
        <v>2024-4</v>
      </c>
    </row>
    <row r="604" spans="1:81" x14ac:dyDescent="0.25">
      <c r="A604" t="s">
        <v>23</v>
      </c>
      <c r="B604" t="s">
        <v>183</v>
      </c>
      <c r="C604" t="s">
        <v>349</v>
      </c>
      <c r="D604">
        <v>93133</v>
      </c>
      <c r="E604">
        <v>7</v>
      </c>
      <c r="P604" t="s">
        <v>14</v>
      </c>
      <c r="Q604" t="s">
        <v>195</v>
      </c>
      <c r="R604">
        <v>10</v>
      </c>
      <c r="AI604" t="s">
        <v>245</v>
      </c>
      <c r="AJ604">
        <v>31668</v>
      </c>
      <c r="AL604">
        <f>COUNTIF(AI:AI,AK604)</f>
        <v>0</v>
      </c>
      <c r="AM604">
        <f>SUMIF(AI:AI,AK604,AJ:AJ)</f>
        <v>0</v>
      </c>
      <c r="AP604" t="s">
        <v>8</v>
      </c>
      <c r="AQ604" t="s">
        <v>263</v>
      </c>
      <c r="BP604" t="s">
        <v>8</v>
      </c>
      <c r="BQ604" t="s">
        <v>194</v>
      </c>
      <c r="BR604">
        <f t="shared" si="97"/>
        <v>11</v>
      </c>
      <c r="BS604">
        <f t="shared" si="91"/>
        <v>2023</v>
      </c>
      <c r="BT604">
        <v>7</v>
      </c>
      <c r="BU604" t="str">
        <f t="shared" si="92"/>
        <v>2023-11</v>
      </c>
      <c r="BV604">
        <f t="shared" si="93"/>
        <v>1</v>
      </c>
      <c r="BX604" t="s">
        <v>23</v>
      </c>
      <c r="BY604" t="s">
        <v>349</v>
      </c>
      <c r="BZ604">
        <v>93133</v>
      </c>
      <c r="CA604">
        <f t="shared" si="94"/>
        <v>4</v>
      </c>
      <c r="CB604">
        <f t="shared" si="95"/>
        <v>2024</v>
      </c>
      <c r="CC604" t="str">
        <f t="shared" si="96"/>
        <v>2024-4</v>
      </c>
    </row>
    <row r="605" spans="1:81" x14ac:dyDescent="0.25">
      <c r="A605" t="s">
        <v>5</v>
      </c>
      <c r="B605" t="s">
        <v>245</v>
      </c>
      <c r="C605" t="s">
        <v>349</v>
      </c>
      <c r="D605">
        <v>31668</v>
      </c>
      <c r="E605">
        <v>8</v>
      </c>
      <c r="P605" t="s">
        <v>10</v>
      </c>
      <c r="Q605" t="s">
        <v>173</v>
      </c>
      <c r="R605">
        <v>5</v>
      </c>
      <c r="AI605" t="s">
        <v>173</v>
      </c>
      <c r="AJ605">
        <v>96736</v>
      </c>
      <c r="AL605">
        <f>COUNTIF(AI:AI,AK605)</f>
        <v>0</v>
      </c>
      <c r="AM605">
        <f>SUMIF(AI:AI,AK605,AJ:AJ)</f>
        <v>0</v>
      </c>
      <c r="AP605" t="s">
        <v>36</v>
      </c>
      <c r="AQ605" t="s">
        <v>121</v>
      </c>
      <c r="BP605" t="s">
        <v>8</v>
      </c>
      <c r="BQ605" t="s">
        <v>204</v>
      </c>
      <c r="BR605">
        <f t="shared" si="97"/>
        <v>11</v>
      </c>
      <c r="BS605">
        <f t="shared" si="91"/>
        <v>2023</v>
      </c>
      <c r="BT605">
        <v>8</v>
      </c>
      <c r="BU605" t="str">
        <f t="shared" si="92"/>
        <v>2023-11</v>
      </c>
      <c r="BV605">
        <f t="shared" si="93"/>
        <v>1</v>
      </c>
      <c r="BX605" t="s">
        <v>5</v>
      </c>
      <c r="BY605" t="s">
        <v>349</v>
      </c>
      <c r="BZ605">
        <v>31668</v>
      </c>
      <c r="CA605">
        <f t="shared" si="94"/>
        <v>4</v>
      </c>
      <c r="CB605">
        <f t="shared" si="95"/>
        <v>2024</v>
      </c>
      <c r="CC605" t="str">
        <f t="shared" si="96"/>
        <v>2024-4</v>
      </c>
    </row>
    <row r="606" spans="1:81" x14ac:dyDescent="0.25">
      <c r="A606" t="s">
        <v>5</v>
      </c>
      <c r="B606" t="s">
        <v>173</v>
      </c>
      <c r="C606" t="s">
        <v>349</v>
      </c>
      <c r="D606">
        <v>96736</v>
      </c>
      <c r="E606">
        <v>2</v>
      </c>
      <c r="P606" t="s">
        <v>5</v>
      </c>
      <c r="Q606" t="s">
        <v>259</v>
      </c>
      <c r="R606">
        <v>6</v>
      </c>
      <c r="AI606" t="s">
        <v>77</v>
      </c>
      <c r="AJ606">
        <v>41241</v>
      </c>
      <c r="AL606">
        <f>COUNTIF(AI:AI,AK606)</f>
        <v>0</v>
      </c>
      <c r="AM606">
        <f>SUMIF(AI:AI,AK606,AJ:AJ)</f>
        <v>0</v>
      </c>
      <c r="AP606" t="s">
        <v>32</v>
      </c>
      <c r="AQ606" t="s">
        <v>158</v>
      </c>
      <c r="BP606" t="s">
        <v>8</v>
      </c>
      <c r="BQ606" t="s">
        <v>210</v>
      </c>
      <c r="BR606">
        <f t="shared" si="97"/>
        <v>12</v>
      </c>
      <c r="BS606">
        <f t="shared" si="91"/>
        <v>2023</v>
      </c>
      <c r="BT606">
        <v>2</v>
      </c>
      <c r="BU606" t="str">
        <f t="shared" si="92"/>
        <v>2023-12</v>
      </c>
      <c r="BV606">
        <f t="shared" si="93"/>
        <v>0</v>
      </c>
      <c r="BX606" t="s">
        <v>5</v>
      </c>
      <c r="BY606" t="s">
        <v>349</v>
      </c>
      <c r="BZ606">
        <v>96736</v>
      </c>
      <c r="CA606">
        <f t="shared" si="94"/>
        <v>4</v>
      </c>
      <c r="CB606">
        <f t="shared" si="95"/>
        <v>2024</v>
      </c>
      <c r="CC606" t="str">
        <f t="shared" si="96"/>
        <v>2024-4</v>
      </c>
    </row>
    <row r="607" spans="1:81" x14ac:dyDescent="0.25">
      <c r="A607" t="s">
        <v>20</v>
      </c>
      <c r="B607" t="s">
        <v>77</v>
      </c>
      <c r="C607" t="s">
        <v>350</v>
      </c>
      <c r="D607">
        <v>41241</v>
      </c>
      <c r="E607">
        <v>5</v>
      </c>
      <c r="P607" t="s">
        <v>12</v>
      </c>
      <c r="Q607" t="s">
        <v>44</v>
      </c>
      <c r="R607">
        <v>9</v>
      </c>
      <c r="AI607" t="s">
        <v>238</v>
      </c>
      <c r="AJ607">
        <v>91332</v>
      </c>
      <c r="AL607">
        <f>COUNTIF(AI:AI,AK607)</f>
        <v>0</v>
      </c>
      <c r="AM607">
        <f>SUMIF(AI:AI,AK607,AJ:AJ)</f>
        <v>0</v>
      </c>
      <c r="AP607" t="s">
        <v>23</v>
      </c>
      <c r="AQ607" t="s">
        <v>92</v>
      </c>
      <c r="BP607" t="s">
        <v>8</v>
      </c>
      <c r="BQ607" t="s">
        <v>217</v>
      </c>
      <c r="BR607">
        <f t="shared" si="97"/>
        <v>12</v>
      </c>
      <c r="BS607">
        <f t="shared" si="91"/>
        <v>2023</v>
      </c>
      <c r="BT607">
        <v>5</v>
      </c>
      <c r="BU607" t="str">
        <f t="shared" si="92"/>
        <v>2023-12</v>
      </c>
      <c r="BV607">
        <f t="shared" si="93"/>
        <v>0</v>
      </c>
      <c r="BX607" t="s">
        <v>20</v>
      </c>
      <c r="BY607" t="s">
        <v>350</v>
      </c>
      <c r="BZ607">
        <v>41241</v>
      </c>
      <c r="CA607">
        <f t="shared" si="94"/>
        <v>4</v>
      </c>
      <c r="CB607">
        <f t="shared" si="95"/>
        <v>2024</v>
      </c>
      <c r="CC607" t="str">
        <f t="shared" si="96"/>
        <v>2024-4</v>
      </c>
    </row>
    <row r="608" spans="1:81" x14ac:dyDescent="0.25">
      <c r="A608" t="s">
        <v>10</v>
      </c>
      <c r="B608" t="s">
        <v>238</v>
      </c>
      <c r="C608" t="s">
        <v>351</v>
      </c>
      <c r="D608">
        <v>91332</v>
      </c>
      <c r="E608">
        <v>4</v>
      </c>
      <c r="P608" t="s">
        <v>5</v>
      </c>
      <c r="Q608" t="s">
        <v>68</v>
      </c>
      <c r="R608">
        <v>7</v>
      </c>
      <c r="AI608" t="s">
        <v>352</v>
      </c>
      <c r="AJ608">
        <v>62932</v>
      </c>
      <c r="AL608">
        <f>COUNTIF(AI:AI,AK608)</f>
        <v>0</v>
      </c>
      <c r="AM608">
        <f>SUMIF(AI:AI,AK608,AJ:AJ)</f>
        <v>0</v>
      </c>
      <c r="AP608" t="s">
        <v>23</v>
      </c>
      <c r="AQ608" t="s">
        <v>319</v>
      </c>
      <c r="BP608" t="s">
        <v>8</v>
      </c>
      <c r="BQ608" t="s">
        <v>219</v>
      </c>
      <c r="BR608">
        <f t="shared" si="97"/>
        <v>12</v>
      </c>
      <c r="BS608">
        <f t="shared" si="91"/>
        <v>2023</v>
      </c>
      <c r="BT608">
        <v>4</v>
      </c>
      <c r="BU608" t="str">
        <f t="shared" si="92"/>
        <v>2023-12</v>
      </c>
      <c r="BV608">
        <f t="shared" si="93"/>
        <v>0</v>
      </c>
      <c r="BX608" t="s">
        <v>10</v>
      </c>
      <c r="BY608" t="s">
        <v>351</v>
      </c>
      <c r="BZ608">
        <v>91332</v>
      </c>
      <c r="CA608">
        <f t="shared" si="94"/>
        <v>4</v>
      </c>
      <c r="CB608">
        <f t="shared" si="95"/>
        <v>2024</v>
      </c>
      <c r="CC608" t="str">
        <f t="shared" si="96"/>
        <v>2024-4</v>
      </c>
    </row>
    <row r="609" spans="1:81" x14ac:dyDescent="0.25">
      <c r="A609" t="s">
        <v>27</v>
      </c>
      <c r="B609" t="s">
        <v>352</v>
      </c>
      <c r="C609" t="s">
        <v>351</v>
      </c>
      <c r="D609">
        <v>62932</v>
      </c>
      <c r="E609">
        <v>9</v>
      </c>
      <c r="P609" t="s">
        <v>14</v>
      </c>
      <c r="Q609" t="s">
        <v>316</v>
      </c>
      <c r="R609">
        <v>8</v>
      </c>
      <c r="AI609" t="s">
        <v>55</v>
      </c>
      <c r="AJ609">
        <v>11451</v>
      </c>
      <c r="AL609">
        <f>COUNTIF(AI:AI,AK609)</f>
        <v>0</v>
      </c>
      <c r="AM609">
        <f>SUMIF(AI:AI,AK609,AJ:AJ)</f>
        <v>0</v>
      </c>
      <c r="AP609" t="s">
        <v>8</v>
      </c>
      <c r="AQ609" t="s">
        <v>104</v>
      </c>
      <c r="BP609" t="s">
        <v>8</v>
      </c>
      <c r="BQ609" t="s">
        <v>232</v>
      </c>
      <c r="BR609">
        <f t="shared" si="97"/>
        <v>12</v>
      </c>
      <c r="BS609">
        <f t="shared" si="91"/>
        <v>2023</v>
      </c>
      <c r="BT609">
        <v>9</v>
      </c>
      <c r="BU609" t="str">
        <f t="shared" si="92"/>
        <v>2023-12</v>
      </c>
      <c r="BV609">
        <f t="shared" si="93"/>
        <v>2</v>
      </c>
      <c r="BX609" t="s">
        <v>27</v>
      </c>
      <c r="BY609" t="s">
        <v>351</v>
      </c>
      <c r="BZ609">
        <v>62932</v>
      </c>
      <c r="CA609">
        <f t="shared" si="94"/>
        <v>4</v>
      </c>
      <c r="CB609">
        <f t="shared" si="95"/>
        <v>2024</v>
      </c>
      <c r="CC609" t="str">
        <f t="shared" si="96"/>
        <v>2024-4</v>
      </c>
    </row>
    <row r="610" spans="1:81" x14ac:dyDescent="0.25">
      <c r="A610" t="s">
        <v>10</v>
      </c>
      <c r="B610" t="s">
        <v>55</v>
      </c>
      <c r="C610" t="s">
        <v>351</v>
      </c>
      <c r="D610">
        <v>11451</v>
      </c>
      <c r="E610">
        <v>8</v>
      </c>
      <c r="P610" t="s">
        <v>12</v>
      </c>
      <c r="Q610" t="s">
        <v>169</v>
      </c>
      <c r="R610">
        <v>7</v>
      </c>
      <c r="AI610" t="s">
        <v>180</v>
      </c>
      <c r="AJ610">
        <v>91271</v>
      </c>
      <c r="AL610">
        <f>COUNTIF(AI:AI,AK610)</f>
        <v>0</v>
      </c>
      <c r="AM610">
        <f>SUMIF(AI:AI,AK610,AJ:AJ)</f>
        <v>0</v>
      </c>
      <c r="AP610" t="s">
        <v>36</v>
      </c>
      <c r="AQ610" t="s">
        <v>87</v>
      </c>
      <c r="BP610" t="s">
        <v>8</v>
      </c>
      <c r="BQ610" t="s">
        <v>240</v>
      </c>
      <c r="BR610">
        <f t="shared" si="97"/>
        <v>12</v>
      </c>
      <c r="BS610">
        <f t="shared" si="91"/>
        <v>2023</v>
      </c>
      <c r="BT610">
        <v>8</v>
      </c>
      <c r="BU610" t="str">
        <f t="shared" si="92"/>
        <v>2023-12</v>
      </c>
      <c r="BV610">
        <f t="shared" si="93"/>
        <v>1</v>
      </c>
      <c r="BX610" t="s">
        <v>10</v>
      </c>
      <c r="BY610" t="s">
        <v>351</v>
      </c>
      <c r="BZ610">
        <v>11451</v>
      </c>
      <c r="CA610">
        <f t="shared" si="94"/>
        <v>4</v>
      </c>
      <c r="CB610">
        <f t="shared" si="95"/>
        <v>2024</v>
      </c>
      <c r="CC610" t="str">
        <f t="shared" si="96"/>
        <v>2024-4</v>
      </c>
    </row>
    <row r="611" spans="1:81" x14ac:dyDescent="0.25">
      <c r="A611" t="s">
        <v>23</v>
      </c>
      <c r="B611" t="s">
        <v>180</v>
      </c>
      <c r="C611" t="s">
        <v>351</v>
      </c>
      <c r="D611">
        <v>91271</v>
      </c>
      <c r="E611">
        <v>2</v>
      </c>
      <c r="P611" t="s">
        <v>5</v>
      </c>
      <c r="Q611" t="s">
        <v>161</v>
      </c>
      <c r="R611">
        <v>9</v>
      </c>
      <c r="AI611" t="s">
        <v>46</v>
      </c>
      <c r="AJ611">
        <v>17134</v>
      </c>
      <c r="AL611">
        <f>COUNTIF(AI:AI,AK611)</f>
        <v>0</v>
      </c>
      <c r="AM611">
        <f>SUMIF(AI:AI,AK611,AJ:AJ)</f>
        <v>0</v>
      </c>
      <c r="AP611" t="s">
        <v>8</v>
      </c>
      <c r="AQ611" t="s">
        <v>46</v>
      </c>
      <c r="BP611" t="s">
        <v>8</v>
      </c>
      <c r="BQ611" t="s">
        <v>248</v>
      </c>
      <c r="BR611">
        <f t="shared" si="97"/>
        <v>12</v>
      </c>
      <c r="BS611">
        <f t="shared" si="91"/>
        <v>2023</v>
      </c>
      <c r="BT611">
        <v>2</v>
      </c>
      <c r="BU611" t="str">
        <f t="shared" si="92"/>
        <v>2023-12</v>
      </c>
      <c r="BV611">
        <f t="shared" si="93"/>
        <v>0</v>
      </c>
      <c r="BX611" t="s">
        <v>23</v>
      </c>
      <c r="BY611" t="s">
        <v>351</v>
      </c>
      <c r="BZ611">
        <v>91271</v>
      </c>
      <c r="CA611">
        <f t="shared" si="94"/>
        <v>4</v>
      </c>
      <c r="CB611">
        <f t="shared" si="95"/>
        <v>2024</v>
      </c>
      <c r="CC611" t="str">
        <f t="shared" si="96"/>
        <v>2024-4</v>
      </c>
    </row>
    <row r="612" spans="1:81" x14ac:dyDescent="0.25">
      <c r="A612" t="s">
        <v>36</v>
      </c>
      <c r="B612" t="s">
        <v>46</v>
      </c>
      <c r="C612" t="s">
        <v>351</v>
      </c>
      <c r="D612">
        <v>17134</v>
      </c>
      <c r="E612">
        <v>8</v>
      </c>
      <c r="P612" t="s">
        <v>33</v>
      </c>
      <c r="Q612" t="s">
        <v>195</v>
      </c>
      <c r="R612">
        <v>7</v>
      </c>
      <c r="AI612" t="s">
        <v>307</v>
      </c>
      <c r="AJ612">
        <v>32028</v>
      </c>
      <c r="AL612">
        <f>COUNTIF(AI:AI,AK612)</f>
        <v>0</v>
      </c>
      <c r="AM612">
        <f>SUMIF(AI:AI,AK612,AJ:AJ)</f>
        <v>0</v>
      </c>
      <c r="AP612" t="s">
        <v>27</v>
      </c>
      <c r="AQ612" t="s">
        <v>183</v>
      </c>
      <c r="BP612" t="s">
        <v>8</v>
      </c>
      <c r="BQ612" t="s">
        <v>258</v>
      </c>
      <c r="BR612">
        <f t="shared" si="97"/>
        <v>1</v>
      </c>
      <c r="BS612">
        <f t="shared" si="91"/>
        <v>2024</v>
      </c>
      <c r="BT612">
        <v>8</v>
      </c>
      <c r="BU612" t="str">
        <f t="shared" si="92"/>
        <v>2024-1</v>
      </c>
      <c r="BV612">
        <f t="shared" si="93"/>
        <v>1</v>
      </c>
      <c r="BX612" t="s">
        <v>36</v>
      </c>
      <c r="BY612" t="s">
        <v>351</v>
      </c>
      <c r="BZ612">
        <v>17134</v>
      </c>
      <c r="CA612">
        <f t="shared" si="94"/>
        <v>4</v>
      </c>
      <c r="CB612">
        <f t="shared" si="95"/>
        <v>2024</v>
      </c>
      <c r="CC612" t="str">
        <f t="shared" si="96"/>
        <v>2024-4</v>
      </c>
    </row>
    <row r="613" spans="1:81" x14ac:dyDescent="0.25">
      <c r="A613" t="s">
        <v>14</v>
      </c>
      <c r="B613" t="s">
        <v>307</v>
      </c>
      <c r="C613" t="s">
        <v>351</v>
      </c>
      <c r="D613">
        <v>32028</v>
      </c>
      <c r="E613">
        <v>3</v>
      </c>
      <c r="P613" t="s">
        <v>36</v>
      </c>
      <c r="Q613" t="s">
        <v>215</v>
      </c>
      <c r="R613">
        <v>5</v>
      </c>
      <c r="AI613" t="s">
        <v>274</v>
      </c>
      <c r="AJ613">
        <v>10897</v>
      </c>
      <c r="AL613">
        <f>COUNTIF(AI:AI,AK613)</f>
        <v>0</v>
      </c>
      <c r="AM613">
        <f>SUMIF(AI:AI,AK613,AJ:AJ)</f>
        <v>0</v>
      </c>
      <c r="AP613" t="s">
        <v>10</v>
      </c>
      <c r="AQ613" t="s">
        <v>190</v>
      </c>
      <c r="BP613" t="s">
        <v>8</v>
      </c>
      <c r="BQ613" t="s">
        <v>267</v>
      </c>
      <c r="BR613">
        <f t="shared" si="97"/>
        <v>1</v>
      </c>
      <c r="BS613">
        <f t="shared" si="91"/>
        <v>2024</v>
      </c>
      <c r="BT613">
        <v>3</v>
      </c>
      <c r="BU613" t="str">
        <f t="shared" si="92"/>
        <v>2024-1</v>
      </c>
      <c r="BV613">
        <f t="shared" si="93"/>
        <v>0</v>
      </c>
      <c r="BX613" t="s">
        <v>14</v>
      </c>
      <c r="BY613" t="s">
        <v>351</v>
      </c>
      <c r="BZ613">
        <v>32028</v>
      </c>
      <c r="CA613">
        <f t="shared" si="94"/>
        <v>4</v>
      </c>
      <c r="CB613">
        <f t="shared" si="95"/>
        <v>2024</v>
      </c>
      <c r="CC613" t="str">
        <f t="shared" si="96"/>
        <v>2024-4</v>
      </c>
    </row>
    <row r="614" spans="1:81" x14ac:dyDescent="0.25">
      <c r="A614" t="s">
        <v>14</v>
      </c>
      <c r="B614" t="s">
        <v>274</v>
      </c>
      <c r="C614" t="s">
        <v>351</v>
      </c>
      <c r="D614">
        <v>10897</v>
      </c>
      <c r="E614">
        <v>10</v>
      </c>
      <c r="P614" t="s">
        <v>36</v>
      </c>
      <c r="Q614" t="s">
        <v>255</v>
      </c>
      <c r="R614">
        <v>1</v>
      </c>
      <c r="AI614" t="s">
        <v>195</v>
      </c>
      <c r="AJ614">
        <v>58740</v>
      </c>
      <c r="AL614">
        <f>COUNTIF(AI:AI,AK614)</f>
        <v>0</v>
      </c>
      <c r="AM614">
        <f>SUMIF(AI:AI,AK614,AJ:AJ)</f>
        <v>0</v>
      </c>
      <c r="AP614" t="s">
        <v>20</v>
      </c>
      <c r="AQ614" t="s">
        <v>56</v>
      </c>
      <c r="BP614" t="s">
        <v>8</v>
      </c>
      <c r="BQ614" t="s">
        <v>268</v>
      </c>
      <c r="BR614">
        <f t="shared" si="97"/>
        <v>1</v>
      </c>
      <c r="BS614">
        <f t="shared" si="91"/>
        <v>2024</v>
      </c>
      <c r="BT614">
        <v>10</v>
      </c>
      <c r="BU614" t="str">
        <f t="shared" si="92"/>
        <v>2024-1</v>
      </c>
      <c r="BV614">
        <f t="shared" si="93"/>
        <v>2</v>
      </c>
      <c r="BX614" t="s">
        <v>14</v>
      </c>
      <c r="BY614" t="s">
        <v>351</v>
      </c>
      <c r="BZ614">
        <v>10897</v>
      </c>
      <c r="CA614">
        <f t="shared" si="94"/>
        <v>4</v>
      </c>
      <c r="CB614">
        <f t="shared" si="95"/>
        <v>2024</v>
      </c>
      <c r="CC614" t="str">
        <f t="shared" si="96"/>
        <v>2024-4</v>
      </c>
    </row>
    <row r="615" spans="1:81" x14ac:dyDescent="0.25">
      <c r="A615" t="s">
        <v>14</v>
      </c>
      <c r="B615" t="s">
        <v>195</v>
      </c>
      <c r="C615" t="s">
        <v>351</v>
      </c>
      <c r="D615">
        <v>58740</v>
      </c>
      <c r="E615">
        <v>10</v>
      </c>
      <c r="P615" t="s">
        <v>8</v>
      </c>
      <c r="Q615" t="s">
        <v>55</v>
      </c>
      <c r="R615">
        <v>8</v>
      </c>
      <c r="AI615" t="s">
        <v>173</v>
      </c>
      <c r="AJ615">
        <v>79448</v>
      </c>
      <c r="AL615">
        <f>COUNTIF(AI:AI,AK615)</f>
        <v>0</v>
      </c>
      <c r="AM615">
        <f>SUMIF(AI:AI,AK615,AJ:AJ)</f>
        <v>0</v>
      </c>
      <c r="AP615" t="s">
        <v>27</v>
      </c>
      <c r="AQ615" t="s">
        <v>90</v>
      </c>
      <c r="BP615" t="s">
        <v>8</v>
      </c>
      <c r="BQ615" t="s">
        <v>272</v>
      </c>
      <c r="BR615">
        <f t="shared" si="97"/>
        <v>1</v>
      </c>
      <c r="BS615">
        <f t="shared" si="91"/>
        <v>2024</v>
      </c>
      <c r="BT615">
        <v>10</v>
      </c>
      <c r="BU615" t="str">
        <f t="shared" si="92"/>
        <v>2024-1</v>
      </c>
      <c r="BV615">
        <f t="shared" si="93"/>
        <v>2</v>
      </c>
      <c r="BX615" t="s">
        <v>14</v>
      </c>
      <c r="BY615" t="s">
        <v>351</v>
      </c>
      <c r="BZ615">
        <v>58740</v>
      </c>
      <c r="CA615">
        <f t="shared" si="94"/>
        <v>4</v>
      </c>
      <c r="CB615">
        <f t="shared" si="95"/>
        <v>2024</v>
      </c>
      <c r="CC615" t="str">
        <f t="shared" si="96"/>
        <v>2024-4</v>
      </c>
    </row>
    <row r="616" spans="1:81" x14ac:dyDescent="0.25">
      <c r="A616" t="s">
        <v>10</v>
      </c>
      <c r="B616" t="s">
        <v>173</v>
      </c>
      <c r="C616" t="s">
        <v>351</v>
      </c>
      <c r="D616">
        <v>79448</v>
      </c>
      <c r="E616">
        <v>5</v>
      </c>
      <c r="P616" t="s">
        <v>14</v>
      </c>
      <c r="Q616" t="s">
        <v>98</v>
      </c>
      <c r="R616">
        <v>3</v>
      </c>
      <c r="AI616" t="s">
        <v>259</v>
      </c>
      <c r="AJ616">
        <v>12384</v>
      </c>
      <c r="AL616">
        <f>COUNTIF(AI:AI,AK616)</f>
        <v>0</v>
      </c>
      <c r="AM616">
        <f>SUMIF(AI:AI,AK616,AJ:AJ)</f>
        <v>0</v>
      </c>
      <c r="AP616" t="s">
        <v>27</v>
      </c>
      <c r="AQ616" t="s">
        <v>81</v>
      </c>
      <c r="BP616" t="s">
        <v>8</v>
      </c>
      <c r="BQ616" t="s">
        <v>277</v>
      </c>
      <c r="BR616">
        <f t="shared" si="97"/>
        <v>1</v>
      </c>
      <c r="BS616">
        <f t="shared" si="91"/>
        <v>2024</v>
      </c>
      <c r="BT616">
        <v>5</v>
      </c>
      <c r="BU616" t="str">
        <f t="shared" si="92"/>
        <v>2024-1</v>
      </c>
      <c r="BV616">
        <f t="shared" si="93"/>
        <v>0</v>
      </c>
      <c r="BX616" t="s">
        <v>10</v>
      </c>
      <c r="BY616" t="s">
        <v>351</v>
      </c>
      <c r="BZ616">
        <v>79448</v>
      </c>
      <c r="CA616">
        <f t="shared" si="94"/>
        <v>4</v>
      </c>
      <c r="CB616">
        <f t="shared" si="95"/>
        <v>2024</v>
      </c>
      <c r="CC616" t="str">
        <f t="shared" si="96"/>
        <v>2024-4</v>
      </c>
    </row>
    <row r="617" spans="1:81" x14ac:dyDescent="0.25">
      <c r="A617" t="s">
        <v>5</v>
      </c>
      <c r="B617" t="s">
        <v>259</v>
      </c>
      <c r="C617" t="s">
        <v>351</v>
      </c>
      <c r="D617">
        <v>12384</v>
      </c>
      <c r="E617">
        <v>6</v>
      </c>
      <c r="P617" t="s">
        <v>14</v>
      </c>
      <c r="Q617" t="s">
        <v>48</v>
      </c>
      <c r="R617">
        <v>9</v>
      </c>
      <c r="AI617" t="s">
        <v>44</v>
      </c>
      <c r="AJ617">
        <v>98190</v>
      </c>
      <c r="AL617">
        <f>COUNTIF(AI:AI,AK617)</f>
        <v>0</v>
      </c>
      <c r="AM617">
        <f>SUMIF(AI:AI,AK617,AJ:AJ)</f>
        <v>0</v>
      </c>
      <c r="AP617" t="s">
        <v>5</v>
      </c>
      <c r="AQ617" t="s">
        <v>269</v>
      </c>
      <c r="BP617" t="s">
        <v>8</v>
      </c>
      <c r="BQ617" t="s">
        <v>282</v>
      </c>
      <c r="BR617">
        <f t="shared" si="97"/>
        <v>1</v>
      </c>
      <c r="BS617">
        <f t="shared" si="91"/>
        <v>2024</v>
      </c>
      <c r="BT617">
        <v>6</v>
      </c>
      <c r="BU617" t="str">
        <f t="shared" si="92"/>
        <v>2024-1</v>
      </c>
      <c r="BV617">
        <f t="shared" si="93"/>
        <v>0</v>
      </c>
      <c r="BX617" t="s">
        <v>5</v>
      </c>
      <c r="BY617" t="s">
        <v>351</v>
      </c>
      <c r="BZ617">
        <v>12384</v>
      </c>
      <c r="CA617">
        <f t="shared" si="94"/>
        <v>4</v>
      </c>
      <c r="CB617">
        <f t="shared" si="95"/>
        <v>2024</v>
      </c>
      <c r="CC617" t="str">
        <f t="shared" si="96"/>
        <v>2024-4</v>
      </c>
    </row>
    <row r="618" spans="1:81" x14ac:dyDescent="0.25">
      <c r="A618" t="s">
        <v>12</v>
      </c>
      <c r="B618" t="s">
        <v>44</v>
      </c>
      <c r="C618" t="s">
        <v>351</v>
      </c>
      <c r="D618">
        <v>98190</v>
      </c>
      <c r="E618">
        <v>9</v>
      </c>
      <c r="P618" t="s">
        <v>10</v>
      </c>
      <c r="Q618" t="s">
        <v>158</v>
      </c>
      <c r="R618">
        <v>7</v>
      </c>
      <c r="AI618" t="s">
        <v>68</v>
      </c>
      <c r="AJ618">
        <v>39300</v>
      </c>
      <c r="AL618">
        <f>COUNTIF(AI:AI,AK618)</f>
        <v>0</v>
      </c>
      <c r="AM618">
        <f>SUMIF(AI:AI,AK618,AJ:AJ)</f>
        <v>0</v>
      </c>
      <c r="AP618" t="s">
        <v>10</v>
      </c>
      <c r="AQ618" t="s">
        <v>142</v>
      </c>
      <c r="BP618" t="s">
        <v>8</v>
      </c>
      <c r="BQ618" t="s">
        <v>284</v>
      </c>
      <c r="BR618">
        <f t="shared" si="97"/>
        <v>1</v>
      </c>
      <c r="BS618">
        <f t="shared" si="91"/>
        <v>2024</v>
      </c>
      <c r="BT618">
        <v>9</v>
      </c>
      <c r="BU618" t="str">
        <f t="shared" si="92"/>
        <v>2024-1</v>
      </c>
      <c r="BV618">
        <f t="shared" si="93"/>
        <v>2</v>
      </c>
      <c r="BX618" t="s">
        <v>12</v>
      </c>
      <c r="BY618" t="s">
        <v>351</v>
      </c>
      <c r="BZ618">
        <v>98190</v>
      </c>
      <c r="CA618">
        <f t="shared" si="94"/>
        <v>4</v>
      </c>
      <c r="CB618">
        <f t="shared" si="95"/>
        <v>2024</v>
      </c>
      <c r="CC618" t="str">
        <f t="shared" si="96"/>
        <v>2024-4</v>
      </c>
    </row>
    <row r="619" spans="1:81" x14ac:dyDescent="0.25">
      <c r="A619" t="s">
        <v>5</v>
      </c>
      <c r="B619" t="s">
        <v>68</v>
      </c>
      <c r="C619" t="s">
        <v>351</v>
      </c>
      <c r="D619">
        <v>39300</v>
      </c>
      <c r="E619">
        <v>7</v>
      </c>
      <c r="P619" t="s">
        <v>20</v>
      </c>
      <c r="Q619" t="s">
        <v>188</v>
      </c>
      <c r="R619">
        <v>9</v>
      </c>
      <c r="AI619" t="s">
        <v>316</v>
      </c>
      <c r="AJ619">
        <v>11097</v>
      </c>
      <c r="AL619">
        <f>COUNTIF(AI:AI,AK619)</f>
        <v>0</v>
      </c>
      <c r="AM619">
        <f>SUMIF(AI:AI,AK619,AJ:AJ)</f>
        <v>0</v>
      </c>
      <c r="AP619" t="s">
        <v>32</v>
      </c>
      <c r="AQ619" t="s">
        <v>279</v>
      </c>
      <c r="BP619" t="s">
        <v>8</v>
      </c>
      <c r="BQ619" t="s">
        <v>284</v>
      </c>
      <c r="BR619">
        <f t="shared" si="97"/>
        <v>1</v>
      </c>
      <c r="BS619">
        <f t="shared" si="91"/>
        <v>2024</v>
      </c>
      <c r="BT619">
        <v>7</v>
      </c>
      <c r="BU619" t="str">
        <f t="shared" si="92"/>
        <v>2024-1</v>
      </c>
      <c r="BV619">
        <f t="shared" si="93"/>
        <v>1</v>
      </c>
      <c r="BX619" t="s">
        <v>5</v>
      </c>
      <c r="BY619" t="s">
        <v>351</v>
      </c>
      <c r="BZ619">
        <v>39300</v>
      </c>
      <c r="CA619">
        <f t="shared" si="94"/>
        <v>4</v>
      </c>
      <c r="CB619">
        <f t="shared" si="95"/>
        <v>2024</v>
      </c>
      <c r="CC619" t="str">
        <f t="shared" si="96"/>
        <v>2024-4</v>
      </c>
    </row>
    <row r="620" spans="1:81" x14ac:dyDescent="0.25">
      <c r="A620" t="s">
        <v>14</v>
      </c>
      <c r="B620" t="s">
        <v>316</v>
      </c>
      <c r="C620" t="s">
        <v>351</v>
      </c>
      <c r="D620">
        <v>11097</v>
      </c>
      <c r="E620">
        <v>8</v>
      </c>
      <c r="P620" t="s">
        <v>27</v>
      </c>
      <c r="Q620" t="s">
        <v>116</v>
      </c>
      <c r="R620">
        <v>8</v>
      </c>
      <c r="AI620" t="s">
        <v>169</v>
      </c>
      <c r="AJ620">
        <v>53064</v>
      </c>
      <c r="AL620">
        <f>COUNTIF(AI:AI,AK620)</f>
        <v>0</v>
      </c>
      <c r="AM620">
        <f>SUMIF(AI:AI,AK620,AJ:AJ)</f>
        <v>0</v>
      </c>
      <c r="AP620" t="s">
        <v>10</v>
      </c>
      <c r="AQ620" t="s">
        <v>18</v>
      </c>
      <c r="BP620" t="s">
        <v>8</v>
      </c>
      <c r="BQ620" t="s">
        <v>288</v>
      </c>
      <c r="BR620">
        <f t="shared" si="97"/>
        <v>2</v>
      </c>
      <c r="BS620">
        <f t="shared" si="91"/>
        <v>2024</v>
      </c>
      <c r="BT620">
        <v>8</v>
      </c>
      <c r="BU620" t="str">
        <f t="shared" si="92"/>
        <v>2024-2</v>
      </c>
      <c r="BV620">
        <f t="shared" si="93"/>
        <v>1</v>
      </c>
      <c r="BX620" t="s">
        <v>14</v>
      </c>
      <c r="BY620" t="s">
        <v>351</v>
      </c>
      <c r="BZ620">
        <v>11097</v>
      </c>
      <c r="CA620">
        <f t="shared" si="94"/>
        <v>4</v>
      </c>
      <c r="CB620">
        <f t="shared" si="95"/>
        <v>2024</v>
      </c>
      <c r="CC620" t="str">
        <f t="shared" si="96"/>
        <v>2024-4</v>
      </c>
    </row>
    <row r="621" spans="1:81" x14ac:dyDescent="0.25">
      <c r="A621" t="s">
        <v>12</v>
      </c>
      <c r="B621" t="s">
        <v>169</v>
      </c>
      <c r="C621" t="s">
        <v>353</v>
      </c>
      <c r="D621">
        <v>53064</v>
      </c>
      <c r="E621">
        <v>7</v>
      </c>
      <c r="P621" t="s">
        <v>20</v>
      </c>
      <c r="Q621" t="s">
        <v>307</v>
      </c>
      <c r="R621">
        <v>7</v>
      </c>
      <c r="AI621" t="s">
        <v>161</v>
      </c>
      <c r="AJ621">
        <v>58843</v>
      </c>
      <c r="AL621">
        <f>COUNTIF(AI:AI,AK621)</f>
        <v>0</v>
      </c>
      <c r="AM621">
        <f>SUMIF(AI:AI,AK621,AJ:AJ)</f>
        <v>0</v>
      </c>
      <c r="AP621" t="s">
        <v>27</v>
      </c>
      <c r="AQ621" t="s">
        <v>157</v>
      </c>
      <c r="BP621" t="s">
        <v>8</v>
      </c>
      <c r="BQ621" t="s">
        <v>291</v>
      </c>
      <c r="BR621">
        <f t="shared" si="97"/>
        <v>2</v>
      </c>
      <c r="BS621">
        <f t="shared" si="91"/>
        <v>2024</v>
      </c>
      <c r="BT621">
        <v>7</v>
      </c>
      <c r="BU621" t="str">
        <f t="shared" si="92"/>
        <v>2024-2</v>
      </c>
      <c r="BV621">
        <f t="shared" si="93"/>
        <v>1</v>
      </c>
      <c r="BX621" t="s">
        <v>12</v>
      </c>
      <c r="BY621" t="s">
        <v>353</v>
      </c>
      <c r="BZ621">
        <v>53064</v>
      </c>
      <c r="CA621">
        <f t="shared" si="94"/>
        <v>4</v>
      </c>
      <c r="CB621">
        <f t="shared" si="95"/>
        <v>2024</v>
      </c>
      <c r="CC621" t="str">
        <f t="shared" si="96"/>
        <v>2024-4</v>
      </c>
    </row>
    <row r="622" spans="1:81" x14ac:dyDescent="0.25">
      <c r="A622" t="s">
        <v>5</v>
      </c>
      <c r="B622" t="s">
        <v>161</v>
      </c>
      <c r="C622" t="s">
        <v>354</v>
      </c>
      <c r="D622">
        <v>58843</v>
      </c>
      <c r="E622">
        <v>9</v>
      </c>
      <c r="P622" t="s">
        <v>23</v>
      </c>
      <c r="Q622" t="s">
        <v>52</v>
      </c>
      <c r="R622">
        <v>5</v>
      </c>
      <c r="AI622" t="s">
        <v>195</v>
      </c>
      <c r="AJ622">
        <v>63067</v>
      </c>
      <c r="AL622">
        <f>COUNTIF(AI:AI,AK622)</f>
        <v>0</v>
      </c>
      <c r="AM622">
        <f>SUMIF(AI:AI,AK622,AJ:AJ)</f>
        <v>0</v>
      </c>
      <c r="AP622" t="s">
        <v>36</v>
      </c>
      <c r="AQ622" t="s">
        <v>57</v>
      </c>
      <c r="BP622" t="s">
        <v>8</v>
      </c>
      <c r="BQ622" t="s">
        <v>306</v>
      </c>
      <c r="BR622">
        <f t="shared" si="97"/>
        <v>2</v>
      </c>
      <c r="BS622">
        <f t="shared" si="91"/>
        <v>2024</v>
      </c>
      <c r="BT622">
        <v>9</v>
      </c>
      <c r="BU622" t="str">
        <f t="shared" si="92"/>
        <v>2024-2</v>
      </c>
      <c r="BV622">
        <f t="shared" si="93"/>
        <v>2</v>
      </c>
      <c r="BX622" t="s">
        <v>5</v>
      </c>
      <c r="BY622" t="s">
        <v>354</v>
      </c>
      <c r="BZ622">
        <v>58843</v>
      </c>
      <c r="CA622">
        <f t="shared" si="94"/>
        <v>4</v>
      </c>
      <c r="CB622">
        <f t="shared" si="95"/>
        <v>2024</v>
      </c>
      <c r="CC622" t="str">
        <f t="shared" si="96"/>
        <v>2024-4</v>
      </c>
    </row>
    <row r="623" spans="1:81" x14ac:dyDescent="0.25">
      <c r="A623" t="s">
        <v>33</v>
      </c>
      <c r="B623" t="s">
        <v>195</v>
      </c>
      <c r="C623" t="s">
        <v>354</v>
      </c>
      <c r="D623">
        <v>63067</v>
      </c>
      <c r="E623">
        <v>7</v>
      </c>
      <c r="P623" t="s">
        <v>27</v>
      </c>
      <c r="Q623" t="s">
        <v>119</v>
      </c>
      <c r="R623">
        <v>9</v>
      </c>
      <c r="AI623" t="s">
        <v>85</v>
      </c>
      <c r="AJ623">
        <v>27512</v>
      </c>
      <c r="AL623">
        <f>COUNTIF(AI:AI,AK623)</f>
        <v>0</v>
      </c>
      <c r="AM623">
        <f>SUMIF(AI:AI,AK623,AJ:AJ)</f>
        <v>0</v>
      </c>
      <c r="AP623" t="s">
        <v>27</v>
      </c>
      <c r="AQ623" t="s">
        <v>53</v>
      </c>
      <c r="BP623" t="s">
        <v>8</v>
      </c>
      <c r="BQ623" t="s">
        <v>310</v>
      </c>
      <c r="BR623">
        <f t="shared" si="97"/>
        <v>2</v>
      </c>
      <c r="BS623">
        <f t="shared" si="91"/>
        <v>2024</v>
      </c>
      <c r="BT623">
        <v>7</v>
      </c>
      <c r="BU623" t="str">
        <f t="shared" si="92"/>
        <v>2024-2</v>
      </c>
      <c r="BV623">
        <f t="shared" si="93"/>
        <v>1</v>
      </c>
      <c r="BX623" t="s">
        <v>33</v>
      </c>
      <c r="BY623" t="s">
        <v>354</v>
      </c>
      <c r="BZ623">
        <v>63067</v>
      </c>
      <c r="CA623">
        <f t="shared" si="94"/>
        <v>4</v>
      </c>
      <c r="CB623">
        <f t="shared" si="95"/>
        <v>2024</v>
      </c>
      <c r="CC623" t="str">
        <f t="shared" si="96"/>
        <v>2024-4</v>
      </c>
    </row>
    <row r="624" spans="1:81" x14ac:dyDescent="0.25">
      <c r="A624" t="s">
        <v>32</v>
      </c>
      <c r="B624" t="s">
        <v>85</v>
      </c>
      <c r="C624" t="s">
        <v>355</v>
      </c>
      <c r="D624">
        <v>27512</v>
      </c>
      <c r="E624">
        <v>7</v>
      </c>
      <c r="P624" t="s">
        <v>23</v>
      </c>
      <c r="Q624" t="s">
        <v>161</v>
      </c>
      <c r="R624">
        <v>6</v>
      </c>
      <c r="AI624" t="s">
        <v>215</v>
      </c>
      <c r="AJ624">
        <v>91977</v>
      </c>
      <c r="AL624">
        <f>COUNTIF(AI:AI,AK624)</f>
        <v>0</v>
      </c>
      <c r="AM624">
        <f>SUMIF(AI:AI,AK624,AJ:AJ)</f>
        <v>0</v>
      </c>
      <c r="AP624" t="s">
        <v>8</v>
      </c>
      <c r="AQ624" t="s">
        <v>173</v>
      </c>
      <c r="BP624" t="s">
        <v>8</v>
      </c>
      <c r="BQ624" t="s">
        <v>315</v>
      </c>
      <c r="BR624">
        <f t="shared" si="97"/>
        <v>3</v>
      </c>
      <c r="BS624">
        <f t="shared" si="91"/>
        <v>2024</v>
      </c>
      <c r="BT624">
        <v>7</v>
      </c>
      <c r="BU624" t="str">
        <f t="shared" si="92"/>
        <v>2024-3</v>
      </c>
      <c r="BV624">
        <f t="shared" si="93"/>
        <v>1</v>
      </c>
      <c r="BX624" t="s">
        <v>32</v>
      </c>
      <c r="BY624" t="s">
        <v>355</v>
      </c>
      <c r="BZ624">
        <v>27512</v>
      </c>
      <c r="CA624">
        <f t="shared" si="94"/>
        <v>4</v>
      </c>
      <c r="CB624">
        <f t="shared" si="95"/>
        <v>2024</v>
      </c>
      <c r="CC624" t="str">
        <f t="shared" si="96"/>
        <v>2024-4</v>
      </c>
    </row>
    <row r="625" spans="1:81" x14ac:dyDescent="0.25">
      <c r="A625" t="s">
        <v>36</v>
      </c>
      <c r="B625" t="s">
        <v>215</v>
      </c>
      <c r="C625" t="s">
        <v>355</v>
      </c>
      <c r="D625">
        <v>91977</v>
      </c>
      <c r="E625">
        <v>5</v>
      </c>
      <c r="P625" t="s">
        <v>10</v>
      </c>
      <c r="Q625" t="s">
        <v>247</v>
      </c>
      <c r="R625">
        <v>6</v>
      </c>
      <c r="AI625" t="s">
        <v>255</v>
      </c>
      <c r="AJ625">
        <v>38600</v>
      </c>
      <c r="AL625">
        <f>COUNTIF(AI:AI,AK625)</f>
        <v>0</v>
      </c>
      <c r="AM625">
        <f>SUMIF(AI:AI,AK625,AJ:AJ)</f>
        <v>0</v>
      </c>
      <c r="AP625" t="s">
        <v>10</v>
      </c>
      <c r="AQ625" t="s">
        <v>241</v>
      </c>
      <c r="BP625" t="s">
        <v>8</v>
      </c>
      <c r="BQ625" t="s">
        <v>321</v>
      </c>
      <c r="BR625">
        <f t="shared" si="97"/>
        <v>3</v>
      </c>
      <c r="BS625">
        <f t="shared" si="91"/>
        <v>2024</v>
      </c>
      <c r="BT625">
        <v>5</v>
      </c>
      <c r="BU625" t="str">
        <f t="shared" si="92"/>
        <v>2024-3</v>
      </c>
      <c r="BV625">
        <f t="shared" si="93"/>
        <v>0</v>
      </c>
      <c r="BX625" t="s">
        <v>36</v>
      </c>
      <c r="BY625" t="s">
        <v>355</v>
      </c>
      <c r="BZ625">
        <v>91977</v>
      </c>
      <c r="CA625">
        <f t="shared" si="94"/>
        <v>4</v>
      </c>
      <c r="CB625">
        <f t="shared" si="95"/>
        <v>2024</v>
      </c>
      <c r="CC625" t="str">
        <f t="shared" si="96"/>
        <v>2024-4</v>
      </c>
    </row>
    <row r="626" spans="1:81" x14ac:dyDescent="0.25">
      <c r="A626" t="s">
        <v>36</v>
      </c>
      <c r="B626" t="s">
        <v>255</v>
      </c>
      <c r="C626" t="s">
        <v>356</v>
      </c>
      <c r="D626">
        <v>38600</v>
      </c>
      <c r="E626">
        <v>1</v>
      </c>
      <c r="P626" t="s">
        <v>27</v>
      </c>
      <c r="Q626" t="s">
        <v>177</v>
      </c>
      <c r="R626">
        <v>9</v>
      </c>
      <c r="AI626" t="s">
        <v>55</v>
      </c>
      <c r="AJ626">
        <v>78262</v>
      </c>
      <c r="AL626">
        <f>COUNTIF(AI:AI,AK626)</f>
        <v>0</v>
      </c>
      <c r="AM626">
        <f>SUMIF(AI:AI,AK626,AJ:AJ)</f>
        <v>0</v>
      </c>
      <c r="AP626" t="s">
        <v>14</v>
      </c>
      <c r="AQ626" t="s">
        <v>384</v>
      </c>
      <c r="BP626" t="s">
        <v>8</v>
      </c>
      <c r="BQ626" t="s">
        <v>324</v>
      </c>
      <c r="BR626">
        <f t="shared" si="97"/>
        <v>3</v>
      </c>
      <c r="BS626">
        <f t="shared" si="91"/>
        <v>2024</v>
      </c>
      <c r="BT626">
        <v>1</v>
      </c>
      <c r="BU626" t="str">
        <f t="shared" si="92"/>
        <v>2024-3</v>
      </c>
      <c r="BV626">
        <f t="shared" si="93"/>
        <v>0</v>
      </c>
      <c r="BX626" t="s">
        <v>36</v>
      </c>
      <c r="BY626" t="s">
        <v>356</v>
      </c>
      <c r="BZ626">
        <v>38600</v>
      </c>
      <c r="CA626">
        <f t="shared" si="94"/>
        <v>4</v>
      </c>
      <c r="CB626">
        <f t="shared" si="95"/>
        <v>2024</v>
      </c>
      <c r="CC626" t="str">
        <f t="shared" si="96"/>
        <v>2024-4</v>
      </c>
    </row>
    <row r="627" spans="1:81" x14ac:dyDescent="0.25">
      <c r="A627" t="s">
        <v>8</v>
      </c>
      <c r="B627" t="s">
        <v>55</v>
      </c>
      <c r="C627" t="s">
        <v>357</v>
      </c>
      <c r="D627">
        <v>78262</v>
      </c>
      <c r="E627">
        <v>8</v>
      </c>
      <c r="P627" t="s">
        <v>17</v>
      </c>
      <c r="Q627" t="s">
        <v>90</v>
      </c>
      <c r="R627">
        <v>6</v>
      </c>
      <c r="AI627" t="s">
        <v>98</v>
      </c>
      <c r="AJ627">
        <v>60421</v>
      </c>
      <c r="AL627">
        <f>COUNTIF(AI:AI,AK627)</f>
        <v>0</v>
      </c>
      <c r="AM627">
        <f>SUMIF(AI:AI,AK627,AJ:AJ)</f>
        <v>0</v>
      </c>
      <c r="AP627" t="s">
        <v>20</v>
      </c>
      <c r="AQ627" t="s">
        <v>11</v>
      </c>
      <c r="BP627" t="s">
        <v>8</v>
      </c>
      <c r="BQ627" t="s">
        <v>328</v>
      </c>
      <c r="BR627">
        <f t="shared" si="97"/>
        <v>3</v>
      </c>
      <c r="BS627">
        <f t="shared" si="91"/>
        <v>2024</v>
      </c>
      <c r="BT627">
        <v>8</v>
      </c>
      <c r="BU627" t="str">
        <f t="shared" si="92"/>
        <v>2024-3</v>
      </c>
      <c r="BV627">
        <f t="shared" si="93"/>
        <v>1</v>
      </c>
      <c r="BX627" t="s">
        <v>8</v>
      </c>
      <c r="BY627" t="s">
        <v>357</v>
      </c>
      <c r="BZ627">
        <v>78262</v>
      </c>
      <c r="CA627">
        <f t="shared" si="94"/>
        <v>4</v>
      </c>
      <c r="CB627">
        <f t="shared" si="95"/>
        <v>2024</v>
      </c>
      <c r="CC627" t="str">
        <f t="shared" si="96"/>
        <v>2024-4</v>
      </c>
    </row>
    <row r="628" spans="1:81" x14ac:dyDescent="0.25">
      <c r="A628" t="s">
        <v>14</v>
      </c>
      <c r="B628" t="s">
        <v>98</v>
      </c>
      <c r="C628" t="s">
        <v>357</v>
      </c>
      <c r="D628">
        <v>60421</v>
      </c>
      <c r="E628">
        <v>3</v>
      </c>
      <c r="P628" t="s">
        <v>12</v>
      </c>
      <c r="Q628" t="s">
        <v>61</v>
      </c>
      <c r="R628">
        <v>5</v>
      </c>
      <c r="AI628" t="s">
        <v>76</v>
      </c>
      <c r="AJ628">
        <v>30781</v>
      </c>
      <c r="AL628">
        <f>COUNTIF(AI:AI,AK628)</f>
        <v>0</v>
      </c>
      <c r="AM628">
        <f>SUMIF(AI:AI,AK628,AJ:AJ)</f>
        <v>0</v>
      </c>
      <c r="AP628" t="s">
        <v>33</v>
      </c>
      <c r="AQ628" t="s">
        <v>133</v>
      </c>
      <c r="BP628" t="s">
        <v>8</v>
      </c>
      <c r="BQ628" t="s">
        <v>330</v>
      </c>
      <c r="BR628">
        <f t="shared" si="97"/>
        <v>3</v>
      </c>
      <c r="BS628">
        <f t="shared" si="91"/>
        <v>2024</v>
      </c>
      <c r="BT628">
        <v>3</v>
      </c>
      <c r="BU628" t="str">
        <f t="shared" si="92"/>
        <v>2024-3</v>
      </c>
      <c r="BV628">
        <f t="shared" si="93"/>
        <v>0</v>
      </c>
      <c r="BX628" t="s">
        <v>14</v>
      </c>
      <c r="BY628" t="s">
        <v>357</v>
      </c>
      <c r="BZ628">
        <v>60421</v>
      </c>
      <c r="CA628">
        <f t="shared" si="94"/>
        <v>4</v>
      </c>
      <c r="CB628">
        <f t="shared" si="95"/>
        <v>2024</v>
      </c>
      <c r="CC628" t="str">
        <f t="shared" si="96"/>
        <v>2024-4</v>
      </c>
    </row>
    <row r="629" spans="1:81" x14ac:dyDescent="0.25">
      <c r="A629" t="s">
        <v>32</v>
      </c>
      <c r="B629" t="s">
        <v>76</v>
      </c>
      <c r="C629" t="s">
        <v>357</v>
      </c>
      <c r="D629">
        <v>30781</v>
      </c>
      <c r="E629">
        <v>8</v>
      </c>
      <c r="P629" t="s">
        <v>27</v>
      </c>
      <c r="Q629" t="s">
        <v>19</v>
      </c>
      <c r="R629">
        <v>0</v>
      </c>
      <c r="AI629" t="s">
        <v>48</v>
      </c>
      <c r="AJ629">
        <v>29022</v>
      </c>
      <c r="AL629">
        <f>COUNTIF(AI:AI,AK629)</f>
        <v>0</v>
      </c>
      <c r="AM629">
        <f>SUMIF(AI:AI,AK629,AJ:AJ)</f>
        <v>0</v>
      </c>
      <c r="AP629" t="s">
        <v>23</v>
      </c>
      <c r="AQ629" t="s">
        <v>42</v>
      </c>
      <c r="BP629" t="s">
        <v>8</v>
      </c>
      <c r="BQ629" t="s">
        <v>342</v>
      </c>
      <c r="BR629">
        <f t="shared" si="97"/>
        <v>4</v>
      </c>
      <c r="BS629">
        <f t="shared" si="91"/>
        <v>2024</v>
      </c>
      <c r="BT629">
        <v>8</v>
      </c>
      <c r="BU629" t="str">
        <f t="shared" si="92"/>
        <v>2024-4</v>
      </c>
      <c r="BV629">
        <f t="shared" si="93"/>
        <v>1</v>
      </c>
      <c r="BX629" t="s">
        <v>32</v>
      </c>
      <c r="BY629" t="s">
        <v>357</v>
      </c>
      <c r="BZ629">
        <v>30781</v>
      </c>
      <c r="CA629">
        <f t="shared" si="94"/>
        <v>4</v>
      </c>
      <c r="CB629">
        <f t="shared" si="95"/>
        <v>2024</v>
      </c>
      <c r="CC629" t="str">
        <f t="shared" si="96"/>
        <v>2024-4</v>
      </c>
    </row>
    <row r="630" spans="1:81" x14ac:dyDescent="0.25">
      <c r="A630" t="s">
        <v>14</v>
      </c>
      <c r="B630" t="s">
        <v>48</v>
      </c>
      <c r="C630" t="s">
        <v>357</v>
      </c>
      <c r="D630">
        <v>29022</v>
      </c>
      <c r="E630">
        <v>9</v>
      </c>
      <c r="P630" t="s">
        <v>5</v>
      </c>
      <c r="Q630" t="s">
        <v>341</v>
      </c>
      <c r="R630">
        <v>8</v>
      </c>
      <c r="AI630" t="s">
        <v>158</v>
      </c>
      <c r="AJ630">
        <v>16267</v>
      </c>
      <c r="AL630">
        <f>COUNTIF(AI:AI,AK630)</f>
        <v>0</v>
      </c>
      <c r="AM630">
        <f>SUMIF(AI:AI,AK630,AJ:AJ)</f>
        <v>0</v>
      </c>
      <c r="AP630" t="s">
        <v>17</v>
      </c>
      <c r="AQ630" t="s">
        <v>112</v>
      </c>
      <c r="BP630" t="s">
        <v>8</v>
      </c>
      <c r="BQ630" t="s">
        <v>357</v>
      </c>
      <c r="BR630">
        <f t="shared" si="97"/>
        <v>4</v>
      </c>
      <c r="BS630">
        <f t="shared" si="91"/>
        <v>2024</v>
      </c>
      <c r="BT630">
        <v>9</v>
      </c>
      <c r="BU630" t="str">
        <f t="shared" si="92"/>
        <v>2024-4</v>
      </c>
      <c r="BV630">
        <f t="shared" si="93"/>
        <v>2</v>
      </c>
      <c r="BX630" t="s">
        <v>14</v>
      </c>
      <c r="BY630" t="s">
        <v>357</v>
      </c>
      <c r="BZ630">
        <v>29022</v>
      </c>
      <c r="CA630">
        <f t="shared" si="94"/>
        <v>4</v>
      </c>
      <c r="CB630">
        <f t="shared" si="95"/>
        <v>2024</v>
      </c>
      <c r="CC630" t="str">
        <f t="shared" si="96"/>
        <v>2024-4</v>
      </c>
    </row>
    <row r="631" spans="1:81" x14ac:dyDescent="0.25">
      <c r="A631" t="s">
        <v>10</v>
      </c>
      <c r="B631" t="s">
        <v>158</v>
      </c>
      <c r="C631" t="s">
        <v>357</v>
      </c>
      <c r="D631">
        <v>16267</v>
      </c>
      <c r="E631">
        <v>7</v>
      </c>
      <c r="P631" t="s">
        <v>17</v>
      </c>
      <c r="Q631" t="s">
        <v>132</v>
      </c>
      <c r="R631">
        <v>7</v>
      </c>
      <c r="AI631" t="s">
        <v>188</v>
      </c>
      <c r="AJ631">
        <v>86335</v>
      </c>
      <c r="AL631">
        <f>COUNTIF(AI:AI,AK631)</f>
        <v>0</v>
      </c>
      <c r="AM631">
        <f>SUMIF(AI:AI,AK631,AJ:AJ)</f>
        <v>0</v>
      </c>
      <c r="AP631" t="s">
        <v>32</v>
      </c>
      <c r="AQ631" t="s">
        <v>13</v>
      </c>
      <c r="BP631" t="s">
        <v>8</v>
      </c>
      <c r="BQ631" t="s">
        <v>367</v>
      </c>
      <c r="BR631">
        <f t="shared" si="97"/>
        <v>5</v>
      </c>
      <c r="BS631">
        <f t="shared" si="91"/>
        <v>2024</v>
      </c>
      <c r="BT631">
        <v>7</v>
      </c>
      <c r="BU631" t="str">
        <f t="shared" si="92"/>
        <v>2024-5</v>
      </c>
      <c r="BV631">
        <f t="shared" si="93"/>
        <v>1</v>
      </c>
      <c r="BX631" t="s">
        <v>10</v>
      </c>
      <c r="BY631" t="s">
        <v>357</v>
      </c>
      <c r="BZ631">
        <v>16267</v>
      </c>
      <c r="CA631">
        <f t="shared" si="94"/>
        <v>4</v>
      </c>
      <c r="CB631">
        <f t="shared" si="95"/>
        <v>2024</v>
      </c>
      <c r="CC631" t="str">
        <f t="shared" si="96"/>
        <v>2024-4</v>
      </c>
    </row>
    <row r="632" spans="1:81" x14ac:dyDescent="0.25">
      <c r="A632" t="s">
        <v>20</v>
      </c>
      <c r="B632" t="s">
        <v>188</v>
      </c>
      <c r="C632" t="s">
        <v>357</v>
      </c>
      <c r="D632">
        <v>86335</v>
      </c>
      <c r="E632">
        <v>9</v>
      </c>
      <c r="P632" t="s">
        <v>10</v>
      </c>
      <c r="Q632" t="s">
        <v>58</v>
      </c>
      <c r="R632">
        <v>4</v>
      </c>
      <c r="AI632" t="s">
        <v>116</v>
      </c>
      <c r="AJ632">
        <v>85187</v>
      </c>
      <c r="AL632">
        <f>COUNTIF(AI:AI,AK632)</f>
        <v>0</v>
      </c>
      <c r="AM632">
        <f>SUMIF(AI:AI,AK632,AJ:AJ)</f>
        <v>0</v>
      </c>
      <c r="AP632" t="s">
        <v>14</v>
      </c>
      <c r="AQ632" t="s">
        <v>114</v>
      </c>
      <c r="BP632" t="s">
        <v>8</v>
      </c>
      <c r="BQ632" t="s">
        <v>367</v>
      </c>
      <c r="BR632">
        <f t="shared" si="97"/>
        <v>5</v>
      </c>
      <c r="BS632">
        <f t="shared" si="91"/>
        <v>2024</v>
      </c>
      <c r="BT632">
        <v>9</v>
      </c>
      <c r="BU632" t="str">
        <f t="shared" si="92"/>
        <v>2024-5</v>
      </c>
      <c r="BV632">
        <f t="shared" si="93"/>
        <v>2</v>
      </c>
      <c r="BX632" t="s">
        <v>20</v>
      </c>
      <c r="BY632" t="s">
        <v>357</v>
      </c>
      <c r="BZ632">
        <v>86335</v>
      </c>
      <c r="CA632">
        <f t="shared" si="94"/>
        <v>4</v>
      </c>
      <c r="CB632">
        <f t="shared" si="95"/>
        <v>2024</v>
      </c>
      <c r="CC632" t="str">
        <f t="shared" si="96"/>
        <v>2024-4</v>
      </c>
    </row>
    <row r="633" spans="1:81" x14ac:dyDescent="0.25">
      <c r="A633" t="s">
        <v>27</v>
      </c>
      <c r="B633" t="s">
        <v>116</v>
      </c>
      <c r="C633" t="s">
        <v>358</v>
      </c>
      <c r="D633">
        <v>85187</v>
      </c>
      <c r="E633">
        <v>8</v>
      </c>
      <c r="P633" t="s">
        <v>20</v>
      </c>
      <c r="Q633" t="s">
        <v>186</v>
      </c>
      <c r="R633">
        <v>6</v>
      </c>
      <c r="AI633" t="s">
        <v>307</v>
      </c>
      <c r="AJ633">
        <v>21702</v>
      </c>
      <c r="AL633">
        <f>COUNTIF(AI:AI,AK633)</f>
        <v>0</v>
      </c>
      <c r="AM633">
        <f>SUMIF(AI:AI,AK633,AJ:AJ)</f>
        <v>0</v>
      </c>
      <c r="AP633" t="s">
        <v>17</v>
      </c>
      <c r="AQ633" t="s">
        <v>116</v>
      </c>
      <c r="BP633" t="s">
        <v>8</v>
      </c>
      <c r="BQ633" t="s">
        <v>370</v>
      </c>
      <c r="BR633">
        <f t="shared" si="97"/>
        <v>5</v>
      </c>
      <c r="BS633">
        <f t="shared" si="91"/>
        <v>2024</v>
      </c>
      <c r="BT633">
        <v>8</v>
      </c>
      <c r="BU633" t="str">
        <f t="shared" si="92"/>
        <v>2024-5</v>
      </c>
      <c r="BV633">
        <f t="shared" si="93"/>
        <v>1</v>
      </c>
      <c r="BX633" t="s">
        <v>27</v>
      </c>
      <c r="BY633" t="s">
        <v>358</v>
      </c>
      <c r="BZ633">
        <v>85187</v>
      </c>
      <c r="CA633">
        <f t="shared" si="94"/>
        <v>4</v>
      </c>
      <c r="CB633">
        <f t="shared" si="95"/>
        <v>2024</v>
      </c>
      <c r="CC633" t="str">
        <f t="shared" si="96"/>
        <v>2024-4</v>
      </c>
    </row>
    <row r="634" spans="1:81" x14ac:dyDescent="0.25">
      <c r="A634" t="s">
        <v>20</v>
      </c>
      <c r="B634" t="s">
        <v>307</v>
      </c>
      <c r="C634" t="s">
        <v>358</v>
      </c>
      <c r="D634">
        <v>21702</v>
      </c>
      <c r="E634">
        <v>7</v>
      </c>
      <c r="P634" t="s">
        <v>12</v>
      </c>
      <c r="Q634" t="s">
        <v>274</v>
      </c>
      <c r="R634">
        <v>4</v>
      </c>
      <c r="AI634" t="s">
        <v>52</v>
      </c>
      <c r="AJ634">
        <v>66415</v>
      </c>
      <c r="AL634">
        <f>COUNTIF(AI:AI,AK634)</f>
        <v>0</v>
      </c>
      <c r="AM634">
        <f>SUMIF(AI:AI,AK634,AJ:AJ)</f>
        <v>0</v>
      </c>
      <c r="AP634" t="s">
        <v>5</v>
      </c>
      <c r="AQ634" t="s">
        <v>136</v>
      </c>
      <c r="BP634" t="s">
        <v>8</v>
      </c>
      <c r="BQ634" t="s">
        <v>375</v>
      </c>
      <c r="BR634">
        <f t="shared" si="97"/>
        <v>5</v>
      </c>
      <c r="BS634">
        <f t="shared" si="91"/>
        <v>2024</v>
      </c>
      <c r="BT634">
        <v>7</v>
      </c>
      <c r="BU634" t="str">
        <f t="shared" si="92"/>
        <v>2024-5</v>
      </c>
      <c r="BV634">
        <f t="shared" si="93"/>
        <v>1</v>
      </c>
      <c r="BX634" t="s">
        <v>20</v>
      </c>
      <c r="BY634" t="s">
        <v>358</v>
      </c>
      <c r="BZ634">
        <v>21702</v>
      </c>
      <c r="CA634">
        <f t="shared" si="94"/>
        <v>4</v>
      </c>
      <c r="CB634">
        <f t="shared" si="95"/>
        <v>2024</v>
      </c>
      <c r="CC634" t="str">
        <f t="shared" si="96"/>
        <v>2024-4</v>
      </c>
    </row>
    <row r="635" spans="1:81" x14ac:dyDescent="0.25">
      <c r="A635" t="s">
        <v>23</v>
      </c>
      <c r="B635" t="s">
        <v>52</v>
      </c>
      <c r="C635" t="s">
        <v>358</v>
      </c>
      <c r="D635">
        <v>66415</v>
      </c>
      <c r="E635">
        <v>5</v>
      </c>
      <c r="P635" t="s">
        <v>36</v>
      </c>
      <c r="Q635" t="s">
        <v>157</v>
      </c>
      <c r="R635">
        <v>3</v>
      </c>
      <c r="AI635" t="s">
        <v>119</v>
      </c>
      <c r="AJ635">
        <v>55740</v>
      </c>
      <c r="AL635">
        <f>COUNTIF(AI:AI,AK635)</f>
        <v>0</v>
      </c>
      <c r="AM635">
        <f>SUMIF(AI:AI,AK635,AJ:AJ)</f>
        <v>0</v>
      </c>
      <c r="AP635" t="s">
        <v>14</v>
      </c>
      <c r="AQ635" t="s">
        <v>256</v>
      </c>
      <c r="BP635" t="s">
        <v>8</v>
      </c>
      <c r="BQ635" t="s">
        <v>376</v>
      </c>
      <c r="BR635">
        <f t="shared" si="97"/>
        <v>5</v>
      </c>
      <c r="BS635">
        <f t="shared" si="91"/>
        <v>2024</v>
      </c>
      <c r="BT635">
        <v>5</v>
      </c>
      <c r="BU635" t="str">
        <f t="shared" si="92"/>
        <v>2024-5</v>
      </c>
      <c r="BV635">
        <f t="shared" si="93"/>
        <v>0</v>
      </c>
      <c r="BX635" t="s">
        <v>23</v>
      </c>
      <c r="BY635" t="s">
        <v>358</v>
      </c>
      <c r="BZ635">
        <v>66415</v>
      </c>
      <c r="CA635">
        <f t="shared" si="94"/>
        <v>4</v>
      </c>
      <c r="CB635">
        <f t="shared" si="95"/>
        <v>2024</v>
      </c>
      <c r="CC635" t="str">
        <f t="shared" si="96"/>
        <v>2024-4</v>
      </c>
    </row>
    <row r="636" spans="1:81" x14ac:dyDescent="0.25">
      <c r="A636" t="s">
        <v>27</v>
      </c>
      <c r="B636" t="s">
        <v>119</v>
      </c>
      <c r="C636" t="s">
        <v>358</v>
      </c>
      <c r="D636">
        <v>55740</v>
      </c>
      <c r="E636">
        <v>9</v>
      </c>
      <c r="P636" t="s">
        <v>27</v>
      </c>
      <c r="Q636" t="s">
        <v>361</v>
      </c>
      <c r="R636">
        <v>6</v>
      </c>
      <c r="AI636" t="s">
        <v>161</v>
      </c>
      <c r="AJ636">
        <v>67475</v>
      </c>
      <c r="AL636">
        <f>COUNTIF(AI:AI,AK636)</f>
        <v>0</v>
      </c>
      <c r="AM636">
        <f>SUMIF(AI:AI,AK636,AJ:AJ)</f>
        <v>0</v>
      </c>
      <c r="AP636" t="s">
        <v>10</v>
      </c>
      <c r="AQ636" t="s">
        <v>125</v>
      </c>
      <c r="BP636" t="s">
        <v>8</v>
      </c>
      <c r="BQ636" t="s">
        <v>377</v>
      </c>
      <c r="BR636">
        <f t="shared" si="97"/>
        <v>5</v>
      </c>
      <c r="BS636">
        <f t="shared" si="91"/>
        <v>2024</v>
      </c>
      <c r="BT636">
        <v>9</v>
      </c>
      <c r="BU636" t="str">
        <f t="shared" si="92"/>
        <v>2024-5</v>
      </c>
      <c r="BV636">
        <f t="shared" si="93"/>
        <v>2</v>
      </c>
      <c r="BX636" t="s">
        <v>27</v>
      </c>
      <c r="BY636" t="s">
        <v>358</v>
      </c>
      <c r="BZ636">
        <v>55740</v>
      </c>
      <c r="CA636">
        <f t="shared" si="94"/>
        <v>4</v>
      </c>
      <c r="CB636">
        <f t="shared" si="95"/>
        <v>2024</v>
      </c>
      <c r="CC636" t="str">
        <f t="shared" si="96"/>
        <v>2024-4</v>
      </c>
    </row>
    <row r="637" spans="1:81" x14ac:dyDescent="0.25">
      <c r="A637" t="s">
        <v>23</v>
      </c>
      <c r="B637" t="s">
        <v>161</v>
      </c>
      <c r="C637" t="s">
        <v>359</v>
      </c>
      <c r="D637">
        <v>67475</v>
      </c>
      <c r="E637">
        <v>6</v>
      </c>
      <c r="P637" t="s">
        <v>36</v>
      </c>
      <c r="Q637" t="s">
        <v>183</v>
      </c>
      <c r="R637">
        <v>9</v>
      </c>
      <c r="AI637" t="s">
        <v>247</v>
      </c>
      <c r="AJ637">
        <v>45445</v>
      </c>
      <c r="AL637">
        <f>COUNTIF(AI:AI,AK637)</f>
        <v>0</v>
      </c>
      <c r="AM637">
        <f>SUMIF(AI:AI,AK637,AJ:AJ)</f>
        <v>0</v>
      </c>
      <c r="AP637" t="s">
        <v>17</v>
      </c>
      <c r="AQ637" t="s">
        <v>296</v>
      </c>
      <c r="BP637" t="s">
        <v>8</v>
      </c>
      <c r="BQ637" t="s">
        <v>378</v>
      </c>
      <c r="BR637">
        <f t="shared" si="97"/>
        <v>5</v>
      </c>
      <c r="BS637">
        <f t="shared" si="91"/>
        <v>2024</v>
      </c>
      <c r="BT637">
        <v>6</v>
      </c>
      <c r="BU637" t="str">
        <f t="shared" si="92"/>
        <v>2024-5</v>
      </c>
      <c r="BV637">
        <f t="shared" si="93"/>
        <v>0</v>
      </c>
      <c r="BX637" t="s">
        <v>23</v>
      </c>
      <c r="BY637" t="s">
        <v>359</v>
      </c>
      <c r="BZ637">
        <v>67475</v>
      </c>
      <c r="CA637">
        <f t="shared" si="94"/>
        <v>4</v>
      </c>
      <c r="CB637">
        <f t="shared" si="95"/>
        <v>2024</v>
      </c>
      <c r="CC637" t="str">
        <f t="shared" si="96"/>
        <v>2024-4</v>
      </c>
    </row>
    <row r="638" spans="1:81" x14ac:dyDescent="0.25">
      <c r="A638" t="s">
        <v>10</v>
      </c>
      <c r="B638" t="s">
        <v>247</v>
      </c>
      <c r="C638" t="s">
        <v>359</v>
      </c>
      <c r="D638">
        <v>45445</v>
      </c>
      <c r="E638">
        <v>6</v>
      </c>
      <c r="P638" t="s">
        <v>23</v>
      </c>
      <c r="Q638" t="s">
        <v>50</v>
      </c>
      <c r="R638">
        <v>7</v>
      </c>
      <c r="AI638" t="s">
        <v>177</v>
      </c>
      <c r="AJ638">
        <v>94037</v>
      </c>
      <c r="AL638">
        <f>COUNTIF(AI:AI,AK638)</f>
        <v>0</v>
      </c>
      <c r="AM638">
        <f>SUMIF(AI:AI,AK638,AJ:AJ)</f>
        <v>0</v>
      </c>
      <c r="AP638" t="s">
        <v>12</v>
      </c>
      <c r="AQ638" t="s">
        <v>9</v>
      </c>
      <c r="BP638" t="s">
        <v>8</v>
      </c>
      <c r="BQ638" t="s">
        <v>378</v>
      </c>
      <c r="BR638">
        <f t="shared" si="97"/>
        <v>5</v>
      </c>
      <c r="BS638">
        <f t="shared" si="91"/>
        <v>2024</v>
      </c>
      <c r="BT638">
        <v>6</v>
      </c>
      <c r="BU638" t="str">
        <f t="shared" si="92"/>
        <v>2024-5</v>
      </c>
      <c r="BV638">
        <f t="shared" si="93"/>
        <v>0</v>
      </c>
      <c r="BX638" t="s">
        <v>10</v>
      </c>
      <c r="BY638" t="s">
        <v>359</v>
      </c>
      <c r="BZ638">
        <v>45445</v>
      </c>
      <c r="CA638">
        <f t="shared" si="94"/>
        <v>4</v>
      </c>
      <c r="CB638">
        <f t="shared" si="95"/>
        <v>2024</v>
      </c>
      <c r="CC638" t="str">
        <f t="shared" si="96"/>
        <v>2024-4</v>
      </c>
    </row>
    <row r="639" spans="1:81" x14ac:dyDescent="0.25">
      <c r="A639" t="s">
        <v>27</v>
      </c>
      <c r="B639" t="s">
        <v>177</v>
      </c>
      <c r="C639" t="s">
        <v>359</v>
      </c>
      <c r="D639">
        <v>94037</v>
      </c>
      <c r="E639">
        <v>9</v>
      </c>
      <c r="P639" t="s">
        <v>27</v>
      </c>
      <c r="Q639" t="s">
        <v>249</v>
      </c>
      <c r="R639">
        <v>8</v>
      </c>
      <c r="AI639" t="s">
        <v>90</v>
      </c>
      <c r="AJ639">
        <v>84086</v>
      </c>
      <c r="AL639">
        <f>COUNTIF(AI:AI,AK639)</f>
        <v>0</v>
      </c>
      <c r="AM639">
        <f>SUMIF(AI:AI,AK639,AJ:AJ)</f>
        <v>0</v>
      </c>
      <c r="AP639" t="s">
        <v>33</v>
      </c>
      <c r="AQ639" t="s">
        <v>11</v>
      </c>
      <c r="BP639" t="s">
        <v>8</v>
      </c>
      <c r="BQ639" t="s">
        <v>378</v>
      </c>
      <c r="BR639">
        <f t="shared" si="97"/>
        <v>5</v>
      </c>
      <c r="BS639">
        <f t="shared" si="91"/>
        <v>2024</v>
      </c>
      <c r="BT639">
        <v>9</v>
      </c>
      <c r="BU639" t="str">
        <f t="shared" si="92"/>
        <v>2024-5</v>
      </c>
      <c r="BV639">
        <f t="shared" si="93"/>
        <v>2</v>
      </c>
      <c r="BX639" t="s">
        <v>27</v>
      </c>
      <c r="BY639" t="s">
        <v>359</v>
      </c>
      <c r="BZ639">
        <v>94037</v>
      </c>
      <c r="CA639">
        <f t="shared" si="94"/>
        <v>4</v>
      </c>
      <c r="CB639">
        <f t="shared" si="95"/>
        <v>2024</v>
      </c>
      <c r="CC639" t="str">
        <f t="shared" si="96"/>
        <v>2024-4</v>
      </c>
    </row>
    <row r="640" spans="1:81" x14ac:dyDescent="0.25">
      <c r="A640" t="s">
        <v>17</v>
      </c>
      <c r="B640" t="s">
        <v>90</v>
      </c>
      <c r="C640" t="s">
        <v>360</v>
      </c>
      <c r="D640">
        <v>84086</v>
      </c>
      <c r="E640">
        <v>6</v>
      </c>
      <c r="P640" t="s">
        <v>23</v>
      </c>
      <c r="Q640" t="s">
        <v>364</v>
      </c>
      <c r="R640">
        <v>4</v>
      </c>
      <c r="AI640" t="s">
        <v>61</v>
      </c>
      <c r="AJ640">
        <v>59806</v>
      </c>
      <c r="AL640">
        <f>COUNTIF(AI:AI,AK640)</f>
        <v>0</v>
      </c>
      <c r="AM640">
        <f>SUMIF(AI:AI,AK640,AJ:AJ)</f>
        <v>0</v>
      </c>
      <c r="AP640" t="s">
        <v>14</v>
      </c>
      <c r="AQ640" t="s">
        <v>81</v>
      </c>
      <c r="BP640" t="s">
        <v>8</v>
      </c>
      <c r="BQ640" t="s">
        <v>382</v>
      </c>
      <c r="BR640">
        <f t="shared" si="97"/>
        <v>5</v>
      </c>
      <c r="BS640">
        <f t="shared" si="91"/>
        <v>2024</v>
      </c>
      <c r="BT640">
        <v>6</v>
      </c>
      <c r="BU640" t="str">
        <f t="shared" si="92"/>
        <v>2024-5</v>
      </c>
      <c r="BV640">
        <f t="shared" si="93"/>
        <v>0</v>
      </c>
      <c r="BX640" t="s">
        <v>17</v>
      </c>
      <c r="BY640" t="s">
        <v>360</v>
      </c>
      <c r="BZ640">
        <v>84086</v>
      </c>
      <c r="CA640">
        <f t="shared" si="94"/>
        <v>4</v>
      </c>
      <c r="CB640">
        <f t="shared" si="95"/>
        <v>2024</v>
      </c>
      <c r="CC640" t="str">
        <f t="shared" si="96"/>
        <v>2024-4</v>
      </c>
    </row>
    <row r="641" spans="1:81" x14ac:dyDescent="0.25">
      <c r="A641" t="s">
        <v>12</v>
      </c>
      <c r="B641" t="s">
        <v>61</v>
      </c>
      <c r="C641" t="s">
        <v>360</v>
      </c>
      <c r="D641">
        <v>59806</v>
      </c>
      <c r="E641">
        <v>5</v>
      </c>
      <c r="P641" t="s">
        <v>27</v>
      </c>
      <c r="Q641" t="s">
        <v>121</v>
      </c>
      <c r="R641">
        <v>3</v>
      </c>
      <c r="AI641" t="s">
        <v>19</v>
      </c>
      <c r="AJ641">
        <v>34246</v>
      </c>
      <c r="AL641">
        <f>COUNTIF(AI:AI,AK641)</f>
        <v>0</v>
      </c>
      <c r="AM641">
        <f>SUMIF(AI:AI,AK641,AJ:AJ)</f>
        <v>0</v>
      </c>
      <c r="AP641" t="s">
        <v>8</v>
      </c>
      <c r="AQ641" t="s">
        <v>72</v>
      </c>
      <c r="BP641" t="s">
        <v>8</v>
      </c>
      <c r="BQ641" t="s">
        <v>383</v>
      </c>
      <c r="BR641">
        <f t="shared" si="97"/>
        <v>5</v>
      </c>
      <c r="BS641">
        <f t="shared" si="91"/>
        <v>2024</v>
      </c>
      <c r="BT641">
        <v>5</v>
      </c>
      <c r="BU641" t="str">
        <f t="shared" si="92"/>
        <v>2024-5</v>
      </c>
      <c r="BV641">
        <f t="shared" si="93"/>
        <v>0</v>
      </c>
      <c r="BX641" t="s">
        <v>12</v>
      </c>
      <c r="BY641" t="s">
        <v>360</v>
      </c>
      <c r="BZ641">
        <v>59806</v>
      </c>
      <c r="CA641">
        <f t="shared" si="94"/>
        <v>4</v>
      </c>
      <c r="CB641">
        <f t="shared" si="95"/>
        <v>2024</v>
      </c>
      <c r="CC641" t="str">
        <f t="shared" si="96"/>
        <v>2024-4</v>
      </c>
    </row>
    <row r="642" spans="1:81" x14ac:dyDescent="0.25">
      <c r="A642" t="s">
        <v>27</v>
      </c>
      <c r="B642" t="s">
        <v>19</v>
      </c>
      <c r="C642" t="s">
        <v>360</v>
      </c>
      <c r="D642">
        <v>34246</v>
      </c>
      <c r="E642">
        <v>0</v>
      </c>
      <c r="P642" t="s">
        <v>5</v>
      </c>
      <c r="Q642" t="s">
        <v>55</v>
      </c>
      <c r="R642">
        <v>10</v>
      </c>
      <c r="AI642" t="s">
        <v>341</v>
      </c>
      <c r="AJ642">
        <v>16612</v>
      </c>
      <c r="AL642">
        <f>COUNTIF(AI:AI,AK642)</f>
        <v>0</v>
      </c>
      <c r="AM642">
        <f>SUMIF(AI:AI,AK642,AJ:AJ)</f>
        <v>0</v>
      </c>
      <c r="AP642" t="s">
        <v>20</v>
      </c>
      <c r="AQ642" t="s">
        <v>319</v>
      </c>
      <c r="BP642" t="s">
        <v>8</v>
      </c>
      <c r="BQ642" t="s">
        <v>389</v>
      </c>
      <c r="BR642">
        <f t="shared" si="97"/>
        <v>6</v>
      </c>
      <c r="BS642">
        <f t="shared" si="91"/>
        <v>2024</v>
      </c>
      <c r="BT642">
        <v>0</v>
      </c>
      <c r="BU642" t="str">
        <f t="shared" si="92"/>
        <v>2024-6</v>
      </c>
      <c r="BV642">
        <f t="shared" si="93"/>
        <v>0</v>
      </c>
      <c r="BX642" t="s">
        <v>27</v>
      </c>
      <c r="BY642" t="s">
        <v>360</v>
      </c>
      <c r="BZ642">
        <v>34246</v>
      </c>
      <c r="CA642">
        <f t="shared" si="94"/>
        <v>4</v>
      </c>
      <c r="CB642">
        <f t="shared" si="95"/>
        <v>2024</v>
      </c>
      <c r="CC642" t="str">
        <f t="shared" si="96"/>
        <v>2024-4</v>
      </c>
    </row>
    <row r="643" spans="1:81" x14ac:dyDescent="0.25">
      <c r="A643" t="s">
        <v>5</v>
      </c>
      <c r="B643" t="s">
        <v>341</v>
      </c>
      <c r="C643" t="s">
        <v>360</v>
      </c>
      <c r="D643">
        <v>16612</v>
      </c>
      <c r="E643">
        <v>8</v>
      </c>
      <c r="P643" t="s">
        <v>33</v>
      </c>
      <c r="Q643" t="s">
        <v>72</v>
      </c>
      <c r="R643">
        <v>6</v>
      </c>
      <c r="AI643" t="s">
        <v>132</v>
      </c>
      <c r="AJ643">
        <v>59753</v>
      </c>
      <c r="AL643">
        <f>COUNTIF(AI:AI,AK643)</f>
        <v>0</v>
      </c>
      <c r="AM643">
        <f>SUMIF(AI:AI,AK643,AJ:AJ)</f>
        <v>0</v>
      </c>
      <c r="AP643" t="s">
        <v>33</v>
      </c>
      <c r="AQ643" t="s">
        <v>174</v>
      </c>
      <c r="BP643" t="s">
        <v>8</v>
      </c>
      <c r="BQ643" t="s">
        <v>389</v>
      </c>
      <c r="BR643">
        <f t="shared" si="97"/>
        <v>6</v>
      </c>
      <c r="BS643">
        <f t="shared" ref="BS643:BS706" si="98">YEAR(BQ643)</f>
        <v>2024</v>
      </c>
      <c r="BT643">
        <v>8</v>
      </c>
      <c r="BU643" t="str">
        <f t="shared" ref="BU643:BU706" si="99">BS643&amp;"-"&amp;BR643</f>
        <v>2024-6</v>
      </c>
      <c r="BV643">
        <f t="shared" ref="BV643:BV706" si="100">IF(BT643&lt;7,0,IF(BT643&lt;9,1,2))</f>
        <v>1</v>
      </c>
      <c r="BX643" t="s">
        <v>5</v>
      </c>
      <c r="BY643" t="s">
        <v>360</v>
      </c>
      <c r="BZ643">
        <v>16612</v>
      </c>
      <c r="CA643">
        <f t="shared" ref="CA643:CA706" si="101">MONTH(BY643)</f>
        <v>4</v>
      </c>
      <c r="CB643">
        <f t="shared" ref="CB643:CB706" si="102">YEAR(BY643)</f>
        <v>2024</v>
      </c>
      <c r="CC643" t="str">
        <f t="shared" ref="CC643:CC706" si="103">CB643&amp;"-"&amp;CA643</f>
        <v>2024-4</v>
      </c>
    </row>
    <row r="644" spans="1:81" x14ac:dyDescent="0.25">
      <c r="A644" t="s">
        <v>17</v>
      </c>
      <c r="B644" t="s">
        <v>132</v>
      </c>
      <c r="C644" t="s">
        <v>360</v>
      </c>
      <c r="D644">
        <v>59753</v>
      </c>
      <c r="E644">
        <v>7</v>
      </c>
      <c r="P644" t="s">
        <v>12</v>
      </c>
      <c r="Q644" t="s">
        <v>276</v>
      </c>
      <c r="R644">
        <v>3</v>
      </c>
      <c r="AI644" t="s">
        <v>58</v>
      </c>
      <c r="AJ644">
        <v>81789</v>
      </c>
      <c r="AL644">
        <f>COUNTIF(AI:AI,AK644)</f>
        <v>0</v>
      </c>
      <c r="AM644">
        <f>SUMIF(AI:AI,AK644,AJ:AJ)</f>
        <v>0</v>
      </c>
      <c r="AP644" t="s">
        <v>12</v>
      </c>
      <c r="AQ644" t="s">
        <v>41</v>
      </c>
      <c r="BP644" t="s">
        <v>8</v>
      </c>
      <c r="BQ644" t="s">
        <v>390</v>
      </c>
      <c r="BR644">
        <f t="shared" si="97"/>
        <v>6</v>
      </c>
      <c r="BS644">
        <f t="shared" si="98"/>
        <v>2024</v>
      </c>
      <c r="BT644">
        <v>7</v>
      </c>
      <c r="BU644" t="str">
        <f t="shared" si="99"/>
        <v>2024-6</v>
      </c>
      <c r="BV644">
        <f t="shared" si="100"/>
        <v>1</v>
      </c>
      <c r="BX644" t="s">
        <v>17</v>
      </c>
      <c r="BY644" t="s">
        <v>360</v>
      </c>
      <c r="BZ644">
        <v>59753</v>
      </c>
      <c r="CA644">
        <f t="shared" si="101"/>
        <v>4</v>
      </c>
      <c r="CB644">
        <f t="shared" si="102"/>
        <v>2024</v>
      </c>
      <c r="CC644" t="str">
        <f t="shared" si="103"/>
        <v>2024-4</v>
      </c>
    </row>
    <row r="645" spans="1:81" x14ac:dyDescent="0.25">
      <c r="A645" t="s">
        <v>10</v>
      </c>
      <c r="B645" t="s">
        <v>58</v>
      </c>
      <c r="C645" t="s">
        <v>360</v>
      </c>
      <c r="D645">
        <v>81789</v>
      </c>
      <c r="E645">
        <v>4</v>
      </c>
      <c r="P645" t="s">
        <v>17</v>
      </c>
      <c r="Q645" t="s">
        <v>101</v>
      </c>
      <c r="R645">
        <v>6</v>
      </c>
      <c r="AI645" t="s">
        <v>186</v>
      </c>
      <c r="AJ645">
        <v>90177</v>
      </c>
      <c r="AL645">
        <f>COUNTIF(AI:AI,AK645)</f>
        <v>0</v>
      </c>
      <c r="AM645">
        <f>SUMIF(AI:AI,AK645,AJ:AJ)</f>
        <v>0</v>
      </c>
      <c r="AP645" t="s">
        <v>10</v>
      </c>
      <c r="AQ645" t="s">
        <v>215</v>
      </c>
      <c r="BP645" t="s">
        <v>8</v>
      </c>
      <c r="BQ645" t="s">
        <v>391</v>
      </c>
      <c r="BR645">
        <f t="shared" si="97"/>
        <v>6</v>
      </c>
      <c r="BS645">
        <f t="shared" si="98"/>
        <v>2024</v>
      </c>
      <c r="BT645">
        <v>4</v>
      </c>
      <c r="BU645" t="str">
        <f t="shared" si="99"/>
        <v>2024-6</v>
      </c>
      <c r="BV645">
        <f t="shared" si="100"/>
        <v>0</v>
      </c>
      <c r="BX645" t="s">
        <v>10</v>
      </c>
      <c r="BY645" t="s">
        <v>360</v>
      </c>
      <c r="BZ645">
        <v>81789</v>
      </c>
      <c r="CA645">
        <f t="shared" si="101"/>
        <v>4</v>
      </c>
      <c r="CB645">
        <f t="shared" si="102"/>
        <v>2024</v>
      </c>
      <c r="CC645" t="str">
        <f t="shared" si="103"/>
        <v>2024-4</v>
      </c>
    </row>
    <row r="646" spans="1:81" x14ac:dyDescent="0.25">
      <c r="A646" t="s">
        <v>20</v>
      </c>
      <c r="B646" t="s">
        <v>186</v>
      </c>
      <c r="C646" t="s">
        <v>360</v>
      </c>
      <c r="D646">
        <v>90177</v>
      </c>
      <c r="E646">
        <v>6</v>
      </c>
      <c r="P646" t="s">
        <v>14</v>
      </c>
      <c r="Q646" t="s">
        <v>143</v>
      </c>
      <c r="R646">
        <v>5</v>
      </c>
      <c r="AI646" t="s">
        <v>274</v>
      </c>
      <c r="AJ646">
        <v>45552</v>
      </c>
      <c r="AL646">
        <f>COUNTIF(AI:AI,AK646)</f>
        <v>0</v>
      </c>
      <c r="AM646">
        <f>SUMIF(AI:AI,AK646,AJ:AJ)</f>
        <v>0</v>
      </c>
      <c r="AP646" t="s">
        <v>8</v>
      </c>
      <c r="AQ646" t="s">
        <v>143</v>
      </c>
      <c r="BP646" t="s">
        <v>8</v>
      </c>
      <c r="BQ646" t="s">
        <v>400</v>
      </c>
      <c r="BR646">
        <f t="shared" si="97"/>
        <v>6</v>
      </c>
      <c r="BS646">
        <f t="shared" si="98"/>
        <v>2024</v>
      </c>
      <c r="BT646">
        <v>6</v>
      </c>
      <c r="BU646" t="str">
        <f t="shared" si="99"/>
        <v>2024-6</v>
      </c>
      <c r="BV646">
        <f t="shared" si="100"/>
        <v>0</v>
      </c>
      <c r="BX646" t="s">
        <v>20</v>
      </c>
      <c r="BY646" t="s">
        <v>360</v>
      </c>
      <c r="BZ646">
        <v>90177</v>
      </c>
      <c r="CA646">
        <f t="shared" si="101"/>
        <v>4</v>
      </c>
      <c r="CB646">
        <f t="shared" si="102"/>
        <v>2024</v>
      </c>
      <c r="CC646" t="str">
        <f t="shared" si="103"/>
        <v>2024-4</v>
      </c>
    </row>
    <row r="647" spans="1:81" x14ac:dyDescent="0.25">
      <c r="A647" t="s">
        <v>12</v>
      </c>
      <c r="B647" t="s">
        <v>274</v>
      </c>
      <c r="C647" t="s">
        <v>360</v>
      </c>
      <c r="D647">
        <v>45552</v>
      </c>
      <c r="E647">
        <v>4</v>
      </c>
      <c r="P647" t="s">
        <v>27</v>
      </c>
      <c r="Q647" t="s">
        <v>213</v>
      </c>
      <c r="R647">
        <v>8</v>
      </c>
      <c r="AI647" t="s">
        <v>157</v>
      </c>
      <c r="AJ647">
        <v>33078</v>
      </c>
      <c r="AL647">
        <f>COUNTIF(AI:AI,AK647)</f>
        <v>0</v>
      </c>
      <c r="AM647">
        <f>SUMIF(AI:AI,AK647,AJ:AJ)</f>
        <v>0</v>
      </c>
      <c r="AP647" t="s">
        <v>33</v>
      </c>
      <c r="AQ647" t="s">
        <v>21</v>
      </c>
      <c r="BP647" t="s">
        <v>8</v>
      </c>
      <c r="BQ647" t="s">
        <v>400</v>
      </c>
      <c r="BR647">
        <f t="shared" si="97"/>
        <v>6</v>
      </c>
      <c r="BS647">
        <f t="shared" si="98"/>
        <v>2024</v>
      </c>
      <c r="BT647">
        <v>4</v>
      </c>
      <c r="BU647" t="str">
        <f t="shared" si="99"/>
        <v>2024-6</v>
      </c>
      <c r="BV647">
        <f t="shared" si="100"/>
        <v>0</v>
      </c>
      <c r="BX647" t="s">
        <v>12</v>
      </c>
      <c r="BY647" t="s">
        <v>360</v>
      </c>
      <c r="BZ647">
        <v>45552</v>
      </c>
      <c r="CA647">
        <f t="shared" si="101"/>
        <v>4</v>
      </c>
      <c r="CB647">
        <f t="shared" si="102"/>
        <v>2024</v>
      </c>
      <c r="CC647" t="str">
        <f t="shared" si="103"/>
        <v>2024-4</v>
      </c>
    </row>
    <row r="648" spans="1:81" x14ac:dyDescent="0.25">
      <c r="A648" t="s">
        <v>36</v>
      </c>
      <c r="B648" t="s">
        <v>157</v>
      </c>
      <c r="C648" t="s">
        <v>360</v>
      </c>
      <c r="D648">
        <v>33078</v>
      </c>
      <c r="E648">
        <v>3</v>
      </c>
      <c r="P648" t="s">
        <v>17</v>
      </c>
      <c r="Q648" t="s">
        <v>199</v>
      </c>
      <c r="R648">
        <v>4</v>
      </c>
      <c r="AI648" t="s">
        <v>361</v>
      </c>
      <c r="AJ648">
        <v>51719</v>
      </c>
      <c r="AL648">
        <f>COUNTIF(AI:AI,AK648)</f>
        <v>0</v>
      </c>
      <c r="AM648">
        <f>SUMIF(AI:AI,AK648,AJ:AJ)</f>
        <v>0</v>
      </c>
      <c r="AP648" t="s">
        <v>5</v>
      </c>
      <c r="AQ648" t="s">
        <v>158</v>
      </c>
      <c r="BP648" t="s">
        <v>8</v>
      </c>
      <c r="BQ648" t="s">
        <v>400</v>
      </c>
      <c r="BR648">
        <f t="shared" si="97"/>
        <v>6</v>
      </c>
      <c r="BS648">
        <f t="shared" si="98"/>
        <v>2024</v>
      </c>
      <c r="BT648">
        <v>3</v>
      </c>
      <c r="BU648" t="str">
        <f t="shared" si="99"/>
        <v>2024-6</v>
      </c>
      <c r="BV648">
        <f t="shared" si="100"/>
        <v>0</v>
      </c>
      <c r="BX648" t="s">
        <v>36</v>
      </c>
      <c r="BY648" t="s">
        <v>360</v>
      </c>
      <c r="BZ648">
        <v>33078</v>
      </c>
      <c r="CA648">
        <f t="shared" si="101"/>
        <v>4</v>
      </c>
      <c r="CB648">
        <f t="shared" si="102"/>
        <v>2024</v>
      </c>
      <c r="CC648" t="str">
        <f t="shared" si="103"/>
        <v>2024-4</v>
      </c>
    </row>
    <row r="649" spans="1:81" x14ac:dyDescent="0.25">
      <c r="A649" t="s">
        <v>27</v>
      </c>
      <c r="B649" t="s">
        <v>361</v>
      </c>
      <c r="C649" t="s">
        <v>360</v>
      </c>
      <c r="D649">
        <v>51719</v>
      </c>
      <c r="E649">
        <v>6</v>
      </c>
      <c r="P649" t="s">
        <v>32</v>
      </c>
      <c r="Q649" t="s">
        <v>35</v>
      </c>
      <c r="R649">
        <v>8</v>
      </c>
      <c r="AI649" t="s">
        <v>183</v>
      </c>
      <c r="AJ649">
        <v>19024</v>
      </c>
      <c r="AL649">
        <f>COUNTIF(AI:AI,AK649)</f>
        <v>0</v>
      </c>
      <c r="AM649">
        <f>SUMIF(AI:AI,AK649,AJ:AJ)</f>
        <v>0</v>
      </c>
      <c r="AP649" t="s">
        <v>8</v>
      </c>
      <c r="AQ649" t="s">
        <v>29</v>
      </c>
      <c r="BP649" t="s">
        <v>8</v>
      </c>
      <c r="BQ649" t="s">
        <v>402</v>
      </c>
      <c r="BR649">
        <f t="shared" si="97"/>
        <v>6</v>
      </c>
      <c r="BS649">
        <f t="shared" si="98"/>
        <v>2024</v>
      </c>
      <c r="BT649">
        <v>6</v>
      </c>
      <c r="BU649" t="str">
        <f t="shared" si="99"/>
        <v>2024-6</v>
      </c>
      <c r="BV649">
        <f t="shared" si="100"/>
        <v>0</v>
      </c>
      <c r="BX649" t="s">
        <v>27</v>
      </c>
      <c r="BY649" t="s">
        <v>360</v>
      </c>
      <c r="BZ649">
        <v>51719</v>
      </c>
      <c r="CA649">
        <f t="shared" si="101"/>
        <v>4</v>
      </c>
      <c r="CB649">
        <f t="shared" si="102"/>
        <v>2024</v>
      </c>
      <c r="CC649" t="str">
        <f t="shared" si="103"/>
        <v>2024-4</v>
      </c>
    </row>
    <row r="650" spans="1:81" x14ac:dyDescent="0.25">
      <c r="A650" t="s">
        <v>36</v>
      </c>
      <c r="B650" t="s">
        <v>183</v>
      </c>
      <c r="C650" t="s">
        <v>362</v>
      </c>
      <c r="D650">
        <v>19024</v>
      </c>
      <c r="E650">
        <v>9</v>
      </c>
      <c r="P650" t="s">
        <v>27</v>
      </c>
      <c r="Q650" t="s">
        <v>93</v>
      </c>
      <c r="R650">
        <v>5</v>
      </c>
      <c r="AI650" t="s">
        <v>50</v>
      </c>
      <c r="AJ650">
        <v>46438</v>
      </c>
      <c r="AL650">
        <f>COUNTIF(AI:AI,AK650)</f>
        <v>0</v>
      </c>
      <c r="AM650">
        <f>SUMIF(AI:AI,AK650,AJ:AJ)</f>
        <v>0</v>
      </c>
      <c r="AP650" t="s">
        <v>36</v>
      </c>
      <c r="AQ650" t="s">
        <v>392</v>
      </c>
      <c r="BP650" t="s">
        <v>8</v>
      </c>
      <c r="BQ650" t="s">
        <v>404</v>
      </c>
      <c r="BR650">
        <f t="shared" si="97"/>
        <v>6</v>
      </c>
      <c r="BS650">
        <f t="shared" si="98"/>
        <v>2024</v>
      </c>
      <c r="BT650">
        <v>9</v>
      </c>
      <c r="BU650" t="str">
        <f t="shared" si="99"/>
        <v>2024-6</v>
      </c>
      <c r="BV650">
        <f t="shared" si="100"/>
        <v>2</v>
      </c>
      <c r="BX650" t="s">
        <v>36</v>
      </c>
      <c r="BY650" t="s">
        <v>362</v>
      </c>
      <c r="BZ650">
        <v>19024</v>
      </c>
      <c r="CA650">
        <f t="shared" si="101"/>
        <v>4</v>
      </c>
      <c r="CB650">
        <f t="shared" si="102"/>
        <v>2024</v>
      </c>
      <c r="CC650" t="str">
        <f t="shared" si="103"/>
        <v>2024-4</v>
      </c>
    </row>
    <row r="651" spans="1:81" x14ac:dyDescent="0.25">
      <c r="A651" t="s">
        <v>23</v>
      </c>
      <c r="B651" t="s">
        <v>50</v>
      </c>
      <c r="C651" t="s">
        <v>363</v>
      </c>
      <c r="D651">
        <v>46438</v>
      </c>
      <c r="E651">
        <v>7</v>
      </c>
      <c r="P651" t="s">
        <v>33</v>
      </c>
      <c r="Q651" t="s">
        <v>203</v>
      </c>
      <c r="R651">
        <v>4</v>
      </c>
      <c r="AI651" t="s">
        <v>249</v>
      </c>
      <c r="AJ651">
        <v>57900</v>
      </c>
      <c r="AL651">
        <f>COUNTIF(AI:AI,AK651)</f>
        <v>0</v>
      </c>
      <c r="AM651">
        <f>SUMIF(AI:AI,AK651,AJ:AJ)</f>
        <v>0</v>
      </c>
      <c r="AP651" t="s">
        <v>20</v>
      </c>
      <c r="AQ651" t="s">
        <v>393</v>
      </c>
      <c r="BP651" t="s">
        <v>8</v>
      </c>
      <c r="BQ651" t="s">
        <v>404</v>
      </c>
      <c r="BR651">
        <f t="shared" si="97"/>
        <v>6</v>
      </c>
      <c r="BS651">
        <f t="shared" si="98"/>
        <v>2024</v>
      </c>
      <c r="BT651">
        <v>7</v>
      </c>
      <c r="BU651" t="str">
        <f t="shared" si="99"/>
        <v>2024-6</v>
      </c>
      <c r="BV651">
        <f t="shared" si="100"/>
        <v>1</v>
      </c>
      <c r="BX651" t="s">
        <v>23</v>
      </c>
      <c r="BY651" t="s">
        <v>363</v>
      </c>
      <c r="BZ651">
        <v>46438</v>
      </c>
      <c r="CA651">
        <f t="shared" si="101"/>
        <v>5</v>
      </c>
      <c r="CB651">
        <f t="shared" si="102"/>
        <v>2024</v>
      </c>
      <c r="CC651" t="str">
        <f t="shared" si="103"/>
        <v>2024-5</v>
      </c>
    </row>
    <row r="652" spans="1:81" x14ac:dyDescent="0.25">
      <c r="A652" t="s">
        <v>27</v>
      </c>
      <c r="B652" t="s">
        <v>249</v>
      </c>
      <c r="C652" t="s">
        <v>363</v>
      </c>
      <c r="D652">
        <v>57900</v>
      </c>
      <c r="E652">
        <v>8</v>
      </c>
      <c r="P652" t="s">
        <v>14</v>
      </c>
      <c r="Q652" t="s">
        <v>352</v>
      </c>
      <c r="R652">
        <v>3</v>
      </c>
      <c r="AI652" t="s">
        <v>364</v>
      </c>
      <c r="AJ652">
        <v>54141</v>
      </c>
      <c r="AL652">
        <f>COUNTIF(AI:AI,AK652)</f>
        <v>0</v>
      </c>
      <c r="AM652">
        <f>SUMIF(AI:AI,AK652,AJ:AJ)</f>
        <v>0</v>
      </c>
      <c r="AP652" t="s">
        <v>17</v>
      </c>
      <c r="AQ652" t="s">
        <v>287</v>
      </c>
      <c r="BP652" t="s">
        <v>8</v>
      </c>
      <c r="BQ652" t="s">
        <v>408</v>
      </c>
      <c r="BR652">
        <f t="shared" si="97"/>
        <v>6</v>
      </c>
      <c r="BS652">
        <f t="shared" si="98"/>
        <v>2024</v>
      </c>
      <c r="BT652">
        <v>8</v>
      </c>
      <c r="BU652" t="str">
        <f t="shared" si="99"/>
        <v>2024-6</v>
      </c>
      <c r="BV652">
        <f t="shared" si="100"/>
        <v>1</v>
      </c>
      <c r="BX652" t="s">
        <v>27</v>
      </c>
      <c r="BY652" t="s">
        <v>363</v>
      </c>
      <c r="BZ652">
        <v>57900</v>
      </c>
      <c r="CA652">
        <f t="shared" si="101"/>
        <v>5</v>
      </c>
      <c r="CB652">
        <f t="shared" si="102"/>
        <v>2024</v>
      </c>
      <c r="CC652" t="str">
        <f t="shared" si="103"/>
        <v>2024-5</v>
      </c>
    </row>
    <row r="653" spans="1:81" x14ac:dyDescent="0.25">
      <c r="A653" t="s">
        <v>23</v>
      </c>
      <c r="B653" t="s">
        <v>364</v>
      </c>
      <c r="C653" t="s">
        <v>363</v>
      </c>
      <c r="D653">
        <v>54141</v>
      </c>
      <c r="E653">
        <v>4</v>
      </c>
      <c r="P653" t="s">
        <v>33</v>
      </c>
      <c r="Q653" t="s">
        <v>56</v>
      </c>
      <c r="R653">
        <v>10</v>
      </c>
      <c r="AI653" t="s">
        <v>121</v>
      </c>
      <c r="AJ653">
        <v>93683</v>
      </c>
      <c r="AL653">
        <f>COUNTIF(AI:AI,AK653)</f>
        <v>0</v>
      </c>
      <c r="AM653">
        <f>SUMIF(AI:AI,AK653,AJ:AJ)</f>
        <v>0</v>
      </c>
      <c r="AP653" t="s">
        <v>8</v>
      </c>
      <c r="AQ653" t="s">
        <v>220</v>
      </c>
      <c r="BP653" t="s">
        <v>8</v>
      </c>
      <c r="BQ653" t="s">
        <v>414</v>
      </c>
      <c r="BR653">
        <f t="shared" si="97"/>
        <v>7</v>
      </c>
      <c r="BS653">
        <f t="shared" si="98"/>
        <v>2024</v>
      </c>
      <c r="BT653">
        <v>4</v>
      </c>
      <c r="BU653" t="str">
        <f t="shared" si="99"/>
        <v>2024-7</v>
      </c>
      <c r="BV653">
        <f t="shared" si="100"/>
        <v>0</v>
      </c>
      <c r="BX653" t="s">
        <v>23</v>
      </c>
      <c r="BY653" t="s">
        <v>363</v>
      </c>
      <c r="BZ653">
        <v>54141</v>
      </c>
      <c r="CA653">
        <f t="shared" si="101"/>
        <v>5</v>
      </c>
      <c r="CB653">
        <f t="shared" si="102"/>
        <v>2024</v>
      </c>
      <c r="CC653" t="str">
        <f t="shared" si="103"/>
        <v>2024-5</v>
      </c>
    </row>
    <row r="654" spans="1:81" x14ac:dyDescent="0.25">
      <c r="A654" t="s">
        <v>27</v>
      </c>
      <c r="B654" t="s">
        <v>121</v>
      </c>
      <c r="C654" t="s">
        <v>363</v>
      </c>
      <c r="D654">
        <v>93683</v>
      </c>
      <c r="E654">
        <v>3</v>
      </c>
      <c r="P654" t="s">
        <v>8</v>
      </c>
      <c r="Q654" t="s">
        <v>231</v>
      </c>
      <c r="R654">
        <v>8</v>
      </c>
      <c r="AI654" t="s">
        <v>55</v>
      </c>
      <c r="AJ654">
        <v>31252</v>
      </c>
      <c r="AL654">
        <f>COUNTIF(AI:AI,AK654)</f>
        <v>0</v>
      </c>
      <c r="AM654">
        <f>SUMIF(AI:AI,AK654,AJ:AJ)</f>
        <v>0</v>
      </c>
      <c r="AP654" t="s">
        <v>5</v>
      </c>
      <c r="AQ654" t="s">
        <v>89</v>
      </c>
      <c r="BP654" t="s">
        <v>8</v>
      </c>
      <c r="BQ654" t="s">
        <v>415</v>
      </c>
      <c r="BR654">
        <f t="shared" si="97"/>
        <v>7</v>
      </c>
      <c r="BS654">
        <f t="shared" si="98"/>
        <v>2024</v>
      </c>
      <c r="BT654">
        <v>3</v>
      </c>
      <c r="BU654" t="str">
        <f t="shared" si="99"/>
        <v>2024-7</v>
      </c>
      <c r="BV654">
        <f t="shared" si="100"/>
        <v>0</v>
      </c>
      <c r="BX654" t="s">
        <v>27</v>
      </c>
      <c r="BY654" t="s">
        <v>363</v>
      </c>
      <c r="BZ654">
        <v>93683</v>
      </c>
      <c r="CA654">
        <f t="shared" si="101"/>
        <v>5</v>
      </c>
      <c r="CB654">
        <f t="shared" si="102"/>
        <v>2024</v>
      </c>
      <c r="CC654" t="str">
        <f t="shared" si="103"/>
        <v>2024-5</v>
      </c>
    </row>
    <row r="655" spans="1:81" x14ac:dyDescent="0.25">
      <c r="A655" t="s">
        <v>5</v>
      </c>
      <c r="B655" t="s">
        <v>55</v>
      </c>
      <c r="C655" t="s">
        <v>363</v>
      </c>
      <c r="D655">
        <v>31252</v>
      </c>
      <c r="E655">
        <v>10</v>
      </c>
      <c r="P655" t="s">
        <v>20</v>
      </c>
      <c r="Q655" t="s">
        <v>55</v>
      </c>
      <c r="R655">
        <v>8</v>
      </c>
      <c r="AI655" t="s">
        <v>72</v>
      </c>
      <c r="AJ655">
        <v>32787</v>
      </c>
      <c r="AL655">
        <f>COUNTIF(AI:AI,AK655)</f>
        <v>0</v>
      </c>
      <c r="AM655">
        <f>SUMIF(AI:AI,AK655,AJ:AJ)</f>
        <v>0</v>
      </c>
      <c r="AP655" t="s">
        <v>5</v>
      </c>
      <c r="AQ655" t="s">
        <v>215</v>
      </c>
      <c r="BP655" t="s">
        <v>8</v>
      </c>
      <c r="BQ655" t="s">
        <v>422</v>
      </c>
      <c r="BR655">
        <f t="shared" si="97"/>
        <v>7</v>
      </c>
      <c r="BS655">
        <f t="shared" si="98"/>
        <v>2024</v>
      </c>
      <c r="BT655">
        <v>10</v>
      </c>
      <c r="BU655" t="str">
        <f t="shared" si="99"/>
        <v>2024-7</v>
      </c>
      <c r="BV655">
        <f t="shared" si="100"/>
        <v>2</v>
      </c>
      <c r="BX655" t="s">
        <v>5</v>
      </c>
      <c r="BY655" t="s">
        <v>363</v>
      </c>
      <c r="BZ655">
        <v>31252</v>
      </c>
      <c r="CA655">
        <f t="shared" si="101"/>
        <v>5</v>
      </c>
      <c r="CB655">
        <f t="shared" si="102"/>
        <v>2024</v>
      </c>
      <c r="CC655" t="str">
        <f t="shared" si="103"/>
        <v>2024-5</v>
      </c>
    </row>
    <row r="656" spans="1:81" x14ac:dyDescent="0.25">
      <c r="A656" t="s">
        <v>33</v>
      </c>
      <c r="B656" t="s">
        <v>72</v>
      </c>
      <c r="C656" t="s">
        <v>365</v>
      </c>
      <c r="D656">
        <v>32787</v>
      </c>
      <c r="E656">
        <v>6</v>
      </c>
      <c r="P656" t="s">
        <v>8</v>
      </c>
      <c r="Q656" t="s">
        <v>21</v>
      </c>
      <c r="R656">
        <v>3</v>
      </c>
      <c r="AI656" t="s">
        <v>276</v>
      </c>
      <c r="AJ656">
        <v>55724</v>
      </c>
      <c r="AL656">
        <f>COUNTIF(AI:AI,AK656)</f>
        <v>0</v>
      </c>
      <c r="AM656">
        <f>SUMIF(AI:AI,AK656,AJ:AJ)</f>
        <v>0</v>
      </c>
      <c r="AP656" t="s">
        <v>5</v>
      </c>
      <c r="AQ656" t="s">
        <v>325</v>
      </c>
      <c r="BP656" t="s">
        <v>8</v>
      </c>
      <c r="BQ656" t="s">
        <v>423</v>
      </c>
      <c r="BR656">
        <f t="shared" si="97"/>
        <v>7</v>
      </c>
      <c r="BS656">
        <f t="shared" si="98"/>
        <v>2024</v>
      </c>
      <c r="BT656">
        <v>6</v>
      </c>
      <c r="BU656" t="str">
        <f t="shared" si="99"/>
        <v>2024-7</v>
      </c>
      <c r="BV656">
        <f t="shared" si="100"/>
        <v>0</v>
      </c>
      <c r="BX656" t="s">
        <v>33</v>
      </c>
      <c r="BY656" t="s">
        <v>365</v>
      </c>
      <c r="BZ656">
        <v>32787</v>
      </c>
      <c r="CA656">
        <f t="shared" si="101"/>
        <v>5</v>
      </c>
      <c r="CB656">
        <f t="shared" si="102"/>
        <v>2024</v>
      </c>
      <c r="CC656" t="str">
        <f t="shared" si="103"/>
        <v>2024-5</v>
      </c>
    </row>
    <row r="657" spans="1:81" x14ac:dyDescent="0.25">
      <c r="A657" t="s">
        <v>12</v>
      </c>
      <c r="B657" t="s">
        <v>276</v>
      </c>
      <c r="C657" t="s">
        <v>365</v>
      </c>
      <c r="D657">
        <v>55724</v>
      </c>
      <c r="E657">
        <v>3</v>
      </c>
      <c r="P657" t="s">
        <v>17</v>
      </c>
      <c r="Q657" t="s">
        <v>120</v>
      </c>
      <c r="R657">
        <v>7</v>
      </c>
      <c r="AI657" t="s">
        <v>101</v>
      </c>
      <c r="AJ657">
        <v>14276</v>
      </c>
      <c r="AL657">
        <f>COUNTIF(AI:AI,AK657)</f>
        <v>0</v>
      </c>
      <c r="AM657">
        <f>SUMIF(AI:AI,AK657,AJ:AJ)</f>
        <v>0</v>
      </c>
      <c r="AP657" t="s">
        <v>12</v>
      </c>
      <c r="AQ657" t="s">
        <v>296</v>
      </c>
      <c r="BP657" t="s">
        <v>8</v>
      </c>
      <c r="BQ657" t="s">
        <v>423</v>
      </c>
      <c r="BR657">
        <f t="shared" si="97"/>
        <v>7</v>
      </c>
      <c r="BS657">
        <f t="shared" si="98"/>
        <v>2024</v>
      </c>
      <c r="BT657">
        <v>3</v>
      </c>
      <c r="BU657" t="str">
        <f t="shared" si="99"/>
        <v>2024-7</v>
      </c>
      <c r="BV657">
        <f t="shared" si="100"/>
        <v>0</v>
      </c>
      <c r="BX657" t="s">
        <v>12</v>
      </c>
      <c r="BY657" t="s">
        <v>365</v>
      </c>
      <c r="BZ657">
        <v>55724</v>
      </c>
      <c r="CA657">
        <f t="shared" si="101"/>
        <v>5</v>
      </c>
      <c r="CB657">
        <f t="shared" si="102"/>
        <v>2024</v>
      </c>
      <c r="CC657" t="str">
        <f t="shared" si="103"/>
        <v>2024-5</v>
      </c>
    </row>
    <row r="658" spans="1:81" x14ac:dyDescent="0.25">
      <c r="A658" t="s">
        <v>17</v>
      </c>
      <c r="B658" t="s">
        <v>101</v>
      </c>
      <c r="C658" t="s">
        <v>365</v>
      </c>
      <c r="D658">
        <v>14276</v>
      </c>
      <c r="E658">
        <v>6</v>
      </c>
      <c r="P658" t="s">
        <v>10</v>
      </c>
      <c r="Q658" t="s">
        <v>327</v>
      </c>
      <c r="R658">
        <v>5</v>
      </c>
      <c r="AI658" t="s">
        <v>143</v>
      </c>
      <c r="AJ658">
        <v>18434</v>
      </c>
      <c r="AL658">
        <f>COUNTIF(AI:AI,AK658)</f>
        <v>0</v>
      </c>
      <c r="AM658">
        <f>SUMIF(AI:AI,AK658,AJ:AJ)</f>
        <v>0</v>
      </c>
      <c r="AP658" t="s">
        <v>23</v>
      </c>
      <c r="AQ658" t="s">
        <v>213</v>
      </c>
      <c r="BP658" t="s">
        <v>8</v>
      </c>
      <c r="BQ658" t="s">
        <v>425</v>
      </c>
      <c r="BR658">
        <f t="shared" si="97"/>
        <v>7</v>
      </c>
      <c r="BS658">
        <f t="shared" si="98"/>
        <v>2024</v>
      </c>
      <c r="BT658">
        <v>6</v>
      </c>
      <c r="BU658" t="str">
        <f t="shared" si="99"/>
        <v>2024-7</v>
      </c>
      <c r="BV658">
        <f t="shared" si="100"/>
        <v>0</v>
      </c>
      <c r="BX658" t="s">
        <v>17</v>
      </c>
      <c r="BY658" t="s">
        <v>365</v>
      </c>
      <c r="BZ658">
        <v>14276</v>
      </c>
      <c r="CA658">
        <f t="shared" si="101"/>
        <v>5</v>
      </c>
      <c r="CB658">
        <f t="shared" si="102"/>
        <v>2024</v>
      </c>
      <c r="CC658" t="str">
        <f t="shared" si="103"/>
        <v>2024-5</v>
      </c>
    </row>
    <row r="659" spans="1:81" x14ac:dyDescent="0.25">
      <c r="A659" t="s">
        <v>14</v>
      </c>
      <c r="B659" t="s">
        <v>143</v>
      </c>
      <c r="C659" t="s">
        <v>366</v>
      </c>
      <c r="D659">
        <v>18434</v>
      </c>
      <c r="E659">
        <v>5</v>
      </c>
      <c r="P659" t="s">
        <v>36</v>
      </c>
      <c r="Q659" t="s">
        <v>196</v>
      </c>
      <c r="R659">
        <v>9</v>
      </c>
      <c r="AI659" t="s">
        <v>213</v>
      </c>
      <c r="AJ659">
        <v>83365</v>
      </c>
      <c r="AL659">
        <f>COUNTIF(AI:AI,AK659)</f>
        <v>0</v>
      </c>
      <c r="AM659">
        <f>SUMIF(AI:AI,AK659,AJ:AJ)</f>
        <v>0</v>
      </c>
      <c r="AP659" t="s">
        <v>32</v>
      </c>
      <c r="AQ659" t="s">
        <v>274</v>
      </c>
      <c r="BP659" t="s">
        <v>8</v>
      </c>
      <c r="BQ659" t="s">
        <v>425</v>
      </c>
      <c r="BR659">
        <f t="shared" si="97"/>
        <v>7</v>
      </c>
      <c r="BS659">
        <f t="shared" si="98"/>
        <v>2024</v>
      </c>
      <c r="BT659">
        <v>5</v>
      </c>
      <c r="BU659" t="str">
        <f t="shared" si="99"/>
        <v>2024-7</v>
      </c>
      <c r="BV659">
        <f t="shared" si="100"/>
        <v>0</v>
      </c>
      <c r="BX659" t="s">
        <v>14</v>
      </c>
      <c r="BY659" t="s">
        <v>366</v>
      </c>
      <c r="BZ659">
        <v>18434</v>
      </c>
      <c r="CA659">
        <f t="shared" si="101"/>
        <v>5</v>
      </c>
      <c r="CB659">
        <f t="shared" si="102"/>
        <v>2024</v>
      </c>
      <c r="CC659" t="str">
        <f t="shared" si="103"/>
        <v>2024-5</v>
      </c>
    </row>
    <row r="660" spans="1:81" x14ac:dyDescent="0.25">
      <c r="A660" t="s">
        <v>27</v>
      </c>
      <c r="B660" t="s">
        <v>213</v>
      </c>
      <c r="C660" t="s">
        <v>366</v>
      </c>
      <c r="D660">
        <v>83365</v>
      </c>
      <c r="E660">
        <v>8</v>
      </c>
      <c r="P660" t="s">
        <v>32</v>
      </c>
      <c r="Q660" t="s">
        <v>369</v>
      </c>
      <c r="R660">
        <v>7</v>
      </c>
      <c r="AI660" t="s">
        <v>199</v>
      </c>
      <c r="AJ660">
        <v>81355</v>
      </c>
      <c r="AL660">
        <f>COUNTIF(AI:AI,AK660)</f>
        <v>0</v>
      </c>
      <c r="AM660">
        <f>SUMIF(AI:AI,AK660,AJ:AJ)</f>
        <v>0</v>
      </c>
      <c r="AP660" t="s">
        <v>27</v>
      </c>
      <c r="AQ660" t="s">
        <v>190</v>
      </c>
      <c r="BP660" t="s">
        <v>8</v>
      </c>
      <c r="BQ660" t="s">
        <v>428</v>
      </c>
      <c r="BR660">
        <f t="shared" si="97"/>
        <v>7</v>
      </c>
      <c r="BS660">
        <f t="shared" si="98"/>
        <v>2024</v>
      </c>
      <c r="BT660">
        <v>8</v>
      </c>
      <c r="BU660" t="str">
        <f t="shared" si="99"/>
        <v>2024-7</v>
      </c>
      <c r="BV660">
        <f t="shared" si="100"/>
        <v>1</v>
      </c>
      <c r="BX660" t="s">
        <v>27</v>
      </c>
      <c r="BY660" t="s">
        <v>366</v>
      </c>
      <c r="BZ660">
        <v>83365</v>
      </c>
      <c r="CA660">
        <f t="shared" si="101"/>
        <v>5</v>
      </c>
      <c r="CB660">
        <f t="shared" si="102"/>
        <v>2024</v>
      </c>
      <c r="CC660" t="str">
        <f t="shared" si="103"/>
        <v>2024-5</v>
      </c>
    </row>
    <row r="661" spans="1:81" x14ac:dyDescent="0.25">
      <c r="A661" t="s">
        <v>17</v>
      </c>
      <c r="B661" t="s">
        <v>199</v>
      </c>
      <c r="C661" t="s">
        <v>367</v>
      </c>
      <c r="D661">
        <v>81355</v>
      </c>
      <c r="E661">
        <v>4</v>
      </c>
      <c r="P661" t="s">
        <v>8</v>
      </c>
      <c r="Q661" t="s">
        <v>236</v>
      </c>
      <c r="R661">
        <v>7</v>
      </c>
      <c r="AI661" t="s">
        <v>35</v>
      </c>
      <c r="AJ661">
        <v>49480</v>
      </c>
      <c r="AL661">
        <f>COUNTIF(AI:AI,AK661)</f>
        <v>0</v>
      </c>
      <c r="AM661">
        <f>SUMIF(AI:AI,AK661,AJ:AJ)</f>
        <v>0</v>
      </c>
      <c r="AP661" t="s">
        <v>17</v>
      </c>
      <c r="AQ661" t="s">
        <v>136</v>
      </c>
      <c r="BP661" t="s">
        <v>8</v>
      </c>
      <c r="BQ661" t="s">
        <v>433</v>
      </c>
      <c r="BR661">
        <f t="shared" si="97"/>
        <v>8</v>
      </c>
      <c r="BS661">
        <f t="shared" si="98"/>
        <v>2024</v>
      </c>
      <c r="BT661">
        <v>4</v>
      </c>
      <c r="BU661" t="str">
        <f t="shared" si="99"/>
        <v>2024-8</v>
      </c>
      <c r="BV661">
        <f t="shared" si="100"/>
        <v>0</v>
      </c>
      <c r="BX661" t="s">
        <v>17</v>
      </c>
      <c r="BY661" t="s">
        <v>367</v>
      </c>
      <c r="BZ661">
        <v>81355</v>
      </c>
      <c r="CA661">
        <f t="shared" si="101"/>
        <v>5</v>
      </c>
      <c r="CB661">
        <f t="shared" si="102"/>
        <v>2024</v>
      </c>
      <c r="CC661" t="str">
        <f t="shared" si="103"/>
        <v>2024-5</v>
      </c>
    </row>
    <row r="662" spans="1:81" x14ac:dyDescent="0.25">
      <c r="A662" t="s">
        <v>32</v>
      </c>
      <c r="B662" t="s">
        <v>35</v>
      </c>
      <c r="C662" t="s">
        <v>367</v>
      </c>
      <c r="D662">
        <v>49480</v>
      </c>
      <c r="E662">
        <v>8</v>
      </c>
      <c r="P662" t="s">
        <v>32</v>
      </c>
      <c r="Q662" t="s">
        <v>242</v>
      </c>
      <c r="R662">
        <v>7</v>
      </c>
      <c r="AI662" t="s">
        <v>93</v>
      </c>
      <c r="AJ662">
        <v>58817</v>
      </c>
      <c r="AL662">
        <f>COUNTIF(AI:AI,AK662)</f>
        <v>0</v>
      </c>
      <c r="AM662">
        <f>SUMIF(AI:AI,AK662,AJ:AJ)</f>
        <v>0</v>
      </c>
      <c r="AP662" t="s">
        <v>27</v>
      </c>
      <c r="AQ662" t="s">
        <v>396</v>
      </c>
      <c r="BP662" t="s">
        <v>8</v>
      </c>
      <c r="BQ662" t="s">
        <v>438</v>
      </c>
      <c r="BR662">
        <f t="shared" si="97"/>
        <v>8</v>
      </c>
      <c r="BS662">
        <f t="shared" si="98"/>
        <v>2024</v>
      </c>
      <c r="BT662">
        <v>8</v>
      </c>
      <c r="BU662" t="str">
        <f t="shared" si="99"/>
        <v>2024-8</v>
      </c>
      <c r="BV662">
        <f t="shared" si="100"/>
        <v>1</v>
      </c>
      <c r="BX662" t="s">
        <v>32</v>
      </c>
      <c r="BY662" t="s">
        <v>367</v>
      </c>
      <c r="BZ662">
        <v>49480</v>
      </c>
      <c r="CA662">
        <f t="shared" si="101"/>
        <v>5</v>
      </c>
      <c r="CB662">
        <f t="shared" si="102"/>
        <v>2024</v>
      </c>
      <c r="CC662" t="str">
        <f t="shared" si="103"/>
        <v>2024-5</v>
      </c>
    </row>
    <row r="663" spans="1:81" x14ac:dyDescent="0.25">
      <c r="A663" t="s">
        <v>27</v>
      </c>
      <c r="B663" t="s">
        <v>93</v>
      </c>
      <c r="C663" t="s">
        <v>367</v>
      </c>
      <c r="D663">
        <v>58817</v>
      </c>
      <c r="E663">
        <v>5</v>
      </c>
      <c r="P663" t="s">
        <v>12</v>
      </c>
      <c r="Q663" t="s">
        <v>90</v>
      </c>
      <c r="R663">
        <v>7</v>
      </c>
      <c r="AI663" t="s">
        <v>203</v>
      </c>
      <c r="AJ663">
        <v>49499</v>
      </c>
      <c r="AL663">
        <f>COUNTIF(AI:AI,AK663)</f>
        <v>0</v>
      </c>
      <c r="AM663">
        <f>SUMIF(AI:AI,AK663,AJ:AJ)</f>
        <v>0</v>
      </c>
      <c r="AP663" t="s">
        <v>5</v>
      </c>
      <c r="AQ663" t="s">
        <v>202</v>
      </c>
      <c r="BP663" t="s">
        <v>8</v>
      </c>
      <c r="BQ663" t="s">
        <v>440</v>
      </c>
      <c r="BR663">
        <f t="shared" ref="BR663:BR726" si="104">MONTH(BQ663)</f>
        <v>8</v>
      </c>
      <c r="BS663">
        <f t="shared" si="98"/>
        <v>2024</v>
      </c>
      <c r="BT663">
        <v>5</v>
      </c>
      <c r="BU663" t="str">
        <f t="shared" si="99"/>
        <v>2024-8</v>
      </c>
      <c r="BV663">
        <f t="shared" si="100"/>
        <v>0</v>
      </c>
      <c r="BX663" t="s">
        <v>27</v>
      </c>
      <c r="BY663" t="s">
        <v>367</v>
      </c>
      <c r="BZ663">
        <v>58817</v>
      </c>
      <c r="CA663">
        <f t="shared" si="101"/>
        <v>5</v>
      </c>
      <c r="CB663">
        <f t="shared" si="102"/>
        <v>2024</v>
      </c>
      <c r="CC663" t="str">
        <f t="shared" si="103"/>
        <v>2024-5</v>
      </c>
    </row>
    <row r="664" spans="1:81" x14ac:dyDescent="0.25">
      <c r="A664" t="s">
        <v>33</v>
      </c>
      <c r="B664" t="s">
        <v>203</v>
      </c>
      <c r="C664" t="s">
        <v>367</v>
      </c>
      <c r="D664">
        <v>49499</v>
      </c>
      <c r="E664">
        <v>4</v>
      </c>
      <c r="P664" t="s">
        <v>17</v>
      </c>
      <c r="Q664" t="s">
        <v>30</v>
      </c>
      <c r="R664">
        <v>7</v>
      </c>
      <c r="AI664" t="s">
        <v>352</v>
      </c>
      <c r="AJ664">
        <v>24655</v>
      </c>
      <c r="AL664">
        <f>COUNTIF(AI:AI,AK664)</f>
        <v>0</v>
      </c>
      <c r="AM664">
        <f>SUMIF(AI:AI,AK664,AJ:AJ)</f>
        <v>0</v>
      </c>
      <c r="AP664" t="s">
        <v>17</v>
      </c>
      <c r="AQ664" t="s">
        <v>72</v>
      </c>
      <c r="BP664" t="s">
        <v>8</v>
      </c>
      <c r="BQ664" t="s">
        <v>440</v>
      </c>
      <c r="BR664">
        <f t="shared" si="104"/>
        <v>8</v>
      </c>
      <c r="BS664">
        <f t="shared" si="98"/>
        <v>2024</v>
      </c>
      <c r="BT664">
        <v>4</v>
      </c>
      <c r="BU664" t="str">
        <f t="shared" si="99"/>
        <v>2024-8</v>
      </c>
      <c r="BV664">
        <f t="shared" si="100"/>
        <v>0</v>
      </c>
      <c r="BX664" t="s">
        <v>33</v>
      </c>
      <c r="BY664" t="s">
        <v>367</v>
      </c>
      <c r="BZ664">
        <v>49499</v>
      </c>
      <c r="CA664">
        <f t="shared" si="101"/>
        <v>5</v>
      </c>
      <c r="CB664">
        <f t="shared" si="102"/>
        <v>2024</v>
      </c>
      <c r="CC664" t="str">
        <f t="shared" si="103"/>
        <v>2024-5</v>
      </c>
    </row>
    <row r="665" spans="1:81" x14ac:dyDescent="0.25">
      <c r="A665" t="s">
        <v>14</v>
      </c>
      <c r="B665" t="s">
        <v>352</v>
      </c>
      <c r="C665" t="s">
        <v>367</v>
      </c>
      <c r="D665">
        <v>24655</v>
      </c>
      <c r="E665">
        <v>3</v>
      </c>
      <c r="P665" t="s">
        <v>12</v>
      </c>
      <c r="Q665" t="s">
        <v>69</v>
      </c>
      <c r="R665">
        <v>0</v>
      </c>
      <c r="AI665" t="s">
        <v>56</v>
      </c>
      <c r="AJ665">
        <v>27426</v>
      </c>
      <c r="AL665">
        <f>COUNTIF(AI:AI,AK665)</f>
        <v>0</v>
      </c>
      <c r="AM665">
        <f>SUMIF(AI:AI,AK665,AJ:AJ)</f>
        <v>0</v>
      </c>
      <c r="AP665" t="s">
        <v>10</v>
      </c>
      <c r="AQ665" t="s">
        <v>13</v>
      </c>
      <c r="BP665" t="s">
        <v>8</v>
      </c>
      <c r="BQ665" t="s">
        <v>441</v>
      </c>
      <c r="BR665">
        <f t="shared" si="104"/>
        <v>8</v>
      </c>
      <c r="BS665">
        <f t="shared" si="98"/>
        <v>2024</v>
      </c>
      <c r="BT665">
        <v>3</v>
      </c>
      <c r="BU665" t="str">
        <f t="shared" si="99"/>
        <v>2024-8</v>
      </c>
      <c r="BV665">
        <f t="shared" si="100"/>
        <v>0</v>
      </c>
      <c r="BX665" t="s">
        <v>14</v>
      </c>
      <c r="BY665" t="s">
        <v>367</v>
      </c>
      <c r="BZ665">
        <v>24655</v>
      </c>
      <c r="CA665">
        <f t="shared" si="101"/>
        <v>5</v>
      </c>
      <c r="CB665">
        <f t="shared" si="102"/>
        <v>2024</v>
      </c>
      <c r="CC665" t="str">
        <f t="shared" si="103"/>
        <v>2024-5</v>
      </c>
    </row>
    <row r="666" spans="1:81" x14ac:dyDescent="0.25">
      <c r="A666" t="s">
        <v>33</v>
      </c>
      <c r="B666" t="s">
        <v>56</v>
      </c>
      <c r="C666" t="s">
        <v>367</v>
      </c>
      <c r="D666">
        <v>27426</v>
      </c>
      <c r="E666">
        <v>10</v>
      </c>
      <c r="P666" t="s">
        <v>20</v>
      </c>
      <c r="Q666" t="s">
        <v>373</v>
      </c>
      <c r="R666">
        <v>6</v>
      </c>
      <c r="AI666" t="s">
        <v>48</v>
      </c>
      <c r="AJ666">
        <v>96838</v>
      </c>
      <c r="AL666">
        <f>COUNTIF(AI:AI,AK666)</f>
        <v>0</v>
      </c>
      <c r="AM666">
        <f>SUMIF(AI:AI,AK666,AJ:AJ)</f>
        <v>0</v>
      </c>
      <c r="AP666" t="s">
        <v>27</v>
      </c>
      <c r="AQ666" t="s">
        <v>111</v>
      </c>
      <c r="BP666" t="s">
        <v>8</v>
      </c>
      <c r="BQ666" t="s">
        <v>443</v>
      </c>
      <c r="BR666">
        <f t="shared" si="104"/>
        <v>8</v>
      </c>
      <c r="BS666">
        <f t="shared" si="98"/>
        <v>2024</v>
      </c>
      <c r="BT666">
        <v>10</v>
      </c>
      <c r="BU666" t="str">
        <f t="shared" si="99"/>
        <v>2024-8</v>
      </c>
      <c r="BV666">
        <f t="shared" si="100"/>
        <v>2</v>
      </c>
      <c r="BX666" t="s">
        <v>33</v>
      </c>
      <c r="BY666" t="s">
        <v>367</v>
      </c>
      <c r="BZ666">
        <v>27426</v>
      </c>
      <c r="CA666">
        <f t="shared" si="101"/>
        <v>5</v>
      </c>
      <c r="CB666">
        <f t="shared" si="102"/>
        <v>2024</v>
      </c>
      <c r="CC666" t="str">
        <f t="shared" si="103"/>
        <v>2024-5</v>
      </c>
    </row>
    <row r="667" spans="1:81" x14ac:dyDescent="0.25">
      <c r="A667" t="s">
        <v>23</v>
      </c>
      <c r="B667" t="s">
        <v>48</v>
      </c>
      <c r="C667" t="s">
        <v>367</v>
      </c>
      <c r="D667">
        <v>96838</v>
      </c>
      <c r="E667">
        <v>5</v>
      </c>
      <c r="P667" t="s">
        <v>12</v>
      </c>
      <c r="Q667" t="s">
        <v>29</v>
      </c>
      <c r="R667">
        <v>2</v>
      </c>
      <c r="AI667" t="s">
        <v>231</v>
      </c>
      <c r="AJ667">
        <v>42282</v>
      </c>
      <c r="AL667">
        <f>COUNTIF(AI:AI,AK667)</f>
        <v>0</v>
      </c>
      <c r="AM667">
        <f>SUMIF(AI:AI,AK667,AJ:AJ)</f>
        <v>0</v>
      </c>
      <c r="AP667" t="s">
        <v>14</v>
      </c>
      <c r="AQ667" t="s">
        <v>104</v>
      </c>
      <c r="BP667" t="s">
        <v>8</v>
      </c>
      <c r="BQ667" t="s">
        <v>446</v>
      </c>
      <c r="BR667">
        <f t="shared" si="104"/>
        <v>8</v>
      </c>
      <c r="BS667">
        <f t="shared" si="98"/>
        <v>2024</v>
      </c>
      <c r="BT667">
        <v>5</v>
      </c>
      <c r="BU667" t="str">
        <f t="shared" si="99"/>
        <v>2024-8</v>
      </c>
      <c r="BV667">
        <f t="shared" si="100"/>
        <v>0</v>
      </c>
      <c r="BX667" t="s">
        <v>23</v>
      </c>
      <c r="BY667" t="s">
        <v>367</v>
      </c>
      <c r="BZ667">
        <v>96838</v>
      </c>
      <c r="CA667">
        <f t="shared" si="101"/>
        <v>5</v>
      </c>
      <c r="CB667">
        <f t="shared" si="102"/>
        <v>2024</v>
      </c>
      <c r="CC667" t="str">
        <f t="shared" si="103"/>
        <v>2024-5</v>
      </c>
    </row>
    <row r="668" spans="1:81" x14ac:dyDescent="0.25">
      <c r="A668" t="s">
        <v>8</v>
      </c>
      <c r="B668" t="s">
        <v>231</v>
      </c>
      <c r="C668" t="s">
        <v>367</v>
      </c>
      <c r="D668">
        <v>42282</v>
      </c>
      <c r="E668">
        <v>8</v>
      </c>
      <c r="P668" t="s">
        <v>17</v>
      </c>
      <c r="Q668" t="s">
        <v>238</v>
      </c>
      <c r="R668">
        <v>2</v>
      </c>
      <c r="AI668" t="s">
        <v>55</v>
      </c>
      <c r="AJ668">
        <v>79356</v>
      </c>
      <c r="AL668">
        <f>COUNTIF(AI:AI,AK668)</f>
        <v>0</v>
      </c>
      <c r="AM668">
        <f>SUMIF(AI:AI,AK668,AJ:AJ)</f>
        <v>0</v>
      </c>
      <c r="AP668" t="s">
        <v>14</v>
      </c>
      <c r="AQ668" t="s">
        <v>131</v>
      </c>
      <c r="BP668" t="s">
        <v>8</v>
      </c>
      <c r="BQ668" t="s">
        <v>446</v>
      </c>
      <c r="BR668">
        <f t="shared" si="104"/>
        <v>8</v>
      </c>
      <c r="BS668">
        <f t="shared" si="98"/>
        <v>2024</v>
      </c>
      <c r="BT668">
        <v>8</v>
      </c>
      <c r="BU668" t="str">
        <f t="shared" si="99"/>
        <v>2024-8</v>
      </c>
      <c r="BV668">
        <f t="shared" si="100"/>
        <v>1</v>
      </c>
      <c r="BX668" t="s">
        <v>8</v>
      </c>
      <c r="BY668" t="s">
        <v>367</v>
      </c>
      <c r="BZ668">
        <v>42282</v>
      </c>
      <c r="CA668">
        <f t="shared" si="101"/>
        <v>5</v>
      </c>
      <c r="CB668">
        <f t="shared" si="102"/>
        <v>2024</v>
      </c>
      <c r="CC668" t="str">
        <f t="shared" si="103"/>
        <v>2024-5</v>
      </c>
    </row>
    <row r="669" spans="1:81" x14ac:dyDescent="0.25">
      <c r="A669" t="s">
        <v>20</v>
      </c>
      <c r="B669" t="s">
        <v>55</v>
      </c>
      <c r="C669" t="s">
        <v>367</v>
      </c>
      <c r="D669">
        <v>79356</v>
      </c>
      <c r="E669">
        <v>8</v>
      </c>
      <c r="P669" t="s">
        <v>14</v>
      </c>
      <c r="Q669" t="s">
        <v>174</v>
      </c>
      <c r="R669">
        <v>10</v>
      </c>
      <c r="AI669" t="s">
        <v>21</v>
      </c>
      <c r="AJ669">
        <v>43792</v>
      </c>
      <c r="AL669">
        <f>COUNTIF(AI:AI,AK669)</f>
        <v>0</v>
      </c>
      <c r="AM669">
        <f>SUMIF(AI:AI,AK669,AJ:AJ)</f>
        <v>0</v>
      </c>
      <c r="AP669" t="s">
        <v>10</v>
      </c>
      <c r="AQ669" t="s">
        <v>196</v>
      </c>
      <c r="BP669" t="s">
        <v>8</v>
      </c>
      <c r="BQ669" t="s">
        <v>448</v>
      </c>
      <c r="BR669">
        <f t="shared" si="104"/>
        <v>8</v>
      </c>
      <c r="BS669">
        <f t="shared" si="98"/>
        <v>2024</v>
      </c>
      <c r="BT669">
        <v>8</v>
      </c>
      <c r="BU669" t="str">
        <f t="shared" si="99"/>
        <v>2024-8</v>
      </c>
      <c r="BV669">
        <f t="shared" si="100"/>
        <v>1</v>
      </c>
      <c r="BX669" t="s">
        <v>20</v>
      </c>
      <c r="BY669" t="s">
        <v>367</v>
      </c>
      <c r="BZ669">
        <v>79356</v>
      </c>
      <c r="CA669">
        <f t="shared" si="101"/>
        <v>5</v>
      </c>
      <c r="CB669">
        <f t="shared" si="102"/>
        <v>2024</v>
      </c>
      <c r="CC669" t="str">
        <f t="shared" si="103"/>
        <v>2024-5</v>
      </c>
    </row>
    <row r="670" spans="1:81" x14ac:dyDescent="0.25">
      <c r="A670" t="s">
        <v>8</v>
      </c>
      <c r="B670" t="s">
        <v>21</v>
      </c>
      <c r="C670" t="s">
        <v>367</v>
      </c>
      <c r="D670">
        <v>43792</v>
      </c>
      <c r="E670">
        <v>3</v>
      </c>
      <c r="P670" t="s">
        <v>5</v>
      </c>
      <c r="Q670" t="s">
        <v>147</v>
      </c>
      <c r="R670">
        <v>1</v>
      </c>
      <c r="AI670" t="s">
        <v>120</v>
      </c>
      <c r="AJ670">
        <v>41961</v>
      </c>
      <c r="AL670">
        <f>COUNTIF(AI:AI,AK670)</f>
        <v>0</v>
      </c>
      <c r="AM670">
        <f>SUMIF(AI:AI,AK670,AJ:AJ)</f>
        <v>0</v>
      </c>
      <c r="AP670" t="s">
        <v>32</v>
      </c>
      <c r="AQ670" t="s">
        <v>131</v>
      </c>
      <c r="BP670" t="s">
        <v>8</v>
      </c>
      <c r="BQ670" t="s">
        <v>450</v>
      </c>
      <c r="BR670">
        <f t="shared" si="104"/>
        <v>8</v>
      </c>
      <c r="BS670">
        <f t="shared" si="98"/>
        <v>2024</v>
      </c>
      <c r="BT670">
        <v>3</v>
      </c>
      <c r="BU670" t="str">
        <f t="shared" si="99"/>
        <v>2024-8</v>
      </c>
      <c r="BV670">
        <f t="shared" si="100"/>
        <v>0</v>
      </c>
      <c r="BX670" t="s">
        <v>8</v>
      </c>
      <c r="BY670" t="s">
        <v>367</v>
      </c>
      <c r="BZ670">
        <v>43792</v>
      </c>
      <c r="CA670">
        <f t="shared" si="101"/>
        <v>5</v>
      </c>
      <c r="CB670">
        <f t="shared" si="102"/>
        <v>2024</v>
      </c>
      <c r="CC670" t="str">
        <f t="shared" si="103"/>
        <v>2024-5</v>
      </c>
    </row>
    <row r="671" spans="1:81" x14ac:dyDescent="0.25">
      <c r="A671" t="s">
        <v>17</v>
      </c>
      <c r="B671" t="s">
        <v>120</v>
      </c>
      <c r="C671" t="s">
        <v>367</v>
      </c>
      <c r="D671">
        <v>41961</v>
      </c>
      <c r="E671">
        <v>7</v>
      </c>
      <c r="P671" t="s">
        <v>36</v>
      </c>
      <c r="Q671" t="s">
        <v>93</v>
      </c>
      <c r="R671">
        <v>5</v>
      </c>
      <c r="AI671" t="s">
        <v>327</v>
      </c>
      <c r="AJ671">
        <v>74595</v>
      </c>
      <c r="AL671">
        <f>COUNTIF(AI:AI,AK671)</f>
        <v>0</v>
      </c>
      <c r="AM671">
        <f>SUMIF(AI:AI,AK671,AJ:AJ)</f>
        <v>0</v>
      </c>
      <c r="AP671" t="s">
        <v>17</v>
      </c>
      <c r="AQ671" t="s">
        <v>42</v>
      </c>
      <c r="BP671" t="s">
        <v>8</v>
      </c>
      <c r="BQ671" t="s">
        <v>452</v>
      </c>
      <c r="BR671">
        <f t="shared" si="104"/>
        <v>8</v>
      </c>
      <c r="BS671">
        <f t="shared" si="98"/>
        <v>2024</v>
      </c>
      <c r="BT671">
        <v>7</v>
      </c>
      <c r="BU671" t="str">
        <f t="shared" si="99"/>
        <v>2024-8</v>
      </c>
      <c r="BV671">
        <f t="shared" si="100"/>
        <v>1</v>
      </c>
      <c r="BX671" t="s">
        <v>17</v>
      </c>
      <c r="BY671" t="s">
        <v>367</v>
      </c>
      <c r="BZ671">
        <v>41961</v>
      </c>
      <c r="CA671">
        <f t="shared" si="101"/>
        <v>5</v>
      </c>
      <c r="CB671">
        <f t="shared" si="102"/>
        <v>2024</v>
      </c>
      <c r="CC671" t="str">
        <f t="shared" si="103"/>
        <v>2024-5</v>
      </c>
    </row>
    <row r="672" spans="1:81" x14ac:dyDescent="0.25">
      <c r="A672" t="s">
        <v>10</v>
      </c>
      <c r="B672" t="s">
        <v>327</v>
      </c>
      <c r="C672" t="s">
        <v>367</v>
      </c>
      <c r="D672">
        <v>74595</v>
      </c>
      <c r="E672">
        <v>5</v>
      </c>
      <c r="P672" t="s">
        <v>23</v>
      </c>
      <c r="Q672" t="s">
        <v>183</v>
      </c>
      <c r="R672">
        <v>5</v>
      </c>
      <c r="AI672" t="s">
        <v>196</v>
      </c>
      <c r="AJ672">
        <v>23300</v>
      </c>
      <c r="AL672">
        <f>COUNTIF(AI:AI,AK672)</f>
        <v>0</v>
      </c>
      <c r="AM672">
        <f>SUMIF(AI:AI,AK672,AJ:AJ)</f>
        <v>0</v>
      </c>
      <c r="AP672" t="s">
        <v>27</v>
      </c>
      <c r="AQ672" t="s">
        <v>294</v>
      </c>
      <c r="BP672" t="s">
        <v>8</v>
      </c>
      <c r="BQ672" t="s">
        <v>453</v>
      </c>
      <c r="BR672">
        <f t="shared" si="104"/>
        <v>8</v>
      </c>
      <c r="BS672">
        <f t="shared" si="98"/>
        <v>2024</v>
      </c>
      <c r="BT672">
        <v>5</v>
      </c>
      <c r="BU672" t="str">
        <f t="shared" si="99"/>
        <v>2024-8</v>
      </c>
      <c r="BV672">
        <f t="shared" si="100"/>
        <v>0</v>
      </c>
      <c r="BX672" t="s">
        <v>10</v>
      </c>
      <c r="BY672" t="s">
        <v>367</v>
      </c>
      <c r="BZ672">
        <v>74595</v>
      </c>
      <c r="CA672">
        <f t="shared" si="101"/>
        <v>5</v>
      </c>
      <c r="CB672">
        <f t="shared" si="102"/>
        <v>2024</v>
      </c>
      <c r="CC672" t="str">
        <f t="shared" si="103"/>
        <v>2024-5</v>
      </c>
    </row>
    <row r="673" spans="1:81" x14ac:dyDescent="0.25">
      <c r="A673" t="s">
        <v>36</v>
      </c>
      <c r="B673" t="s">
        <v>196</v>
      </c>
      <c r="C673" t="s">
        <v>368</v>
      </c>
      <c r="D673">
        <v>23300</v>
      </c>
      <c r="E673">
        <v>9</v>
      </c>
      <c r="P673" t="s">
        <v>17</v>
      </c>
      <c r="Q673" t="s">
        <v>274</v>
      </c>
      <c r="R673">
        <v>8</v>
      </c>
      <c r="AI673" t="s">
        <v>369</v>
      </c>
      <c r="AJ673">
        <v>59371</v>
      </c>
      <c r="AL673">
        <f>COUNTIF(AI:AI,AK673)</f>
        <v>0</v>
      </c>
      <c r="AM673">
        <f>SUMIF(AI:AI,AK673,AJ:AJ)</f>
        <v>0</v>
      </c>
      <c r="AP673" t="s">
        <v>8</v>
      </c>
      <c r="AQ673" t="s">
        <v>147</v>
      </c>
      <c r="BP673" t="s">
        <v>36</v>
      </c>
      <c r="BQ673" t="s">
        <v>38</v>
      </c>
      <c r="BR673">
        <f t="shared" si="104"/>
        <v>9</v>
      </c>
      <c r="BS673">
        <f t="shared" si="98"/>
        <v>2023</v>
      </c>
      <c r="BT673">
        <v>9</v>
      </c>
      <c r="BU673" t="str">
        <f t="shared" si="99"/>
        <v>2023-9</v>
      </c>
      <c r="BV673">
        <f t="shared" si="100"/>
        <v>2</v>
      </c>
      <c r="BX673" t="s">
        <v>36</v>
      </c>
      <c r="BY673" t="s">
        <v>368</v>
      </c>
      <c r="BZ673">
        <v>23300</v>
      </c>
      <c r="CA673">
        <f t="shared" si="101"/>
        <v>5</v>
      </c>
      <c r="CB673">
        <f t="shared" si="102"/>
        <v>2024</v>
      </c>
      <c r="CC673" t="str">
        <f t="shared" si="103"/>
        <v>2024-5</v>
      </c>
    </row>
    <row r="674" spans="1:81" x14ac:dyDescent="0.25">
      <c r="A674" t="s">
        <v>32</v>
      </c>
      <c r="B674" t="s">
        <v>369</v>
      </c>
      <c r="C674" t="s">
        <v>370</v>
      </c>
      <c r="D674">
        <v>59371</v>
      </c>
      <c r="E674">
        <v>7</v>
      </c>
      <c r="P674" t="s">
        <v>27</v>
      </c>
      <c r="Q674" t="s">
        <v>173</v>
      </c>
      <c r="R674">
        <v>5</v>
      </c>
      <c r="AI674" t="s">
        <v>236</v>
      </c>
      <c r="AJ674">
        <v>17328</v>
      </c>
      <c r="AL674">
        <f>COUNTIF(AI:AI,AK674)</f>
        <v>0</v>
      </c>
      <c r="AM674">
        <f>SUMIF(AI:AI,AK674,AJ:AJ)</f>
        <v>0</v>
      </c>
      <c r="AP674" t="s">
        <v>36</v>
      </c>
      <c r="AQ674" t="s">
        <v>188</v>
      </c>
      <c r="BP674" t="s">
        <v>36</v>
      </c>
      <c r="BQ674" t="s">
        <v>66</v>
      </c>
      <c r="BR674">
        <f t="shared" si="104"/>
        <v>9</v>
      </c>
      <c r="BS674">
        <f t="shared" si="98"/>
        <v>2023</v>
      </c>
      <c r="BT674">
        <v>7</v>
      </c>
      <c r="BU674" t="str">
        <f t="shared" si="99"/>
        <v>2023-9</v>
      </c>
      <c r="BV674">
        <f t="shared" si="100"/>
        <v>1</v>
      </c>
      <c r="BX674" t="s">
        <v>32</v>
      </c>
      <c r="BY674" t="s">
        <v>370</v>
      </c>
      <c r="BZ674">
        <v>59371</v>
      </c>
      <c r="CA674">
        <f t="shared" si="101"/>
        <v>5</v>
      </c>
      <c r="CB674">
        <f t="shared" si="102"/>
        <v>2024</v>
      </c>
      <c r="CC674" t="str">
        <f t="shared" si="103"/>
        <v>2024-5</v>
      </c>
    </row>
    <row r="675" spans="1:81" x14ac:dyDescent="0.25">
      <c r="A675" t="s">
        <v>8</v>
      </c>
      <c r="B675" t="s">
        <v>236</v>
      </c>
      <c r="C675" t="s">
        <v>370</v>
      </c>
      <c r="D675">
        <v>17328</v>
      </c>
      <c r="E675">
        <v>7</v>
      </c>
      <c r="P675" t="s">
        <v>32</v>
      </c>
      <c r="Q675" t="s">
        <v>67</v>
      </c>
      <c r="R675">
        <v>6</v>
      </c>
      <c r="AI675" t="s">
        <v>242</v>
      </c>
      <c r="AJ675">
        <v>24417</v>
      </c>
      <c r="AL675">
        <f>COUNTIF(AI:AI,AK675)</f>
        <v>0</v>
      </c>
      <c r="AM675">
        <f>SUMIF(AI:AI,AK675,AJ:AJ)</f>
        <v>0</v>
      </c>
      <c r="AP675" t="s">
        <v>17</v>
      </c>
      <c r="AQ675" t="s">
        <v>58</v>
      </c>
      <c r="BP675" t="s">
        <v>36</v>
      </c>
      <c r="BQ675" t="s">
        <v>83</v>
      </c>
      <c r="BR675">
        <f t="shared" si="104"/>
        <v>9</v>
      </c>
      <c r="BS675">
        <f t="shared" si="98"/>
        <v>2023</v>
      </c>
      <c r="BT675">
        <v>7</v>
      </c>
      <c r="BU675" t="str">
        <f t="shared" si="99"/>
        <v>2023-9</v>
      </c>
      <c r="BV675">
        <f t="shared" si="100"/>
        <v>1</v>
      </c>
      <c r="BX675" t="s">
        <v>8</v>
      </c>
      <c r="BY675" t="s">
        <v>370</v>
      </c>
      <c r="BZ675">
        <v>17328</v>
      </c>
      <c r="CA675">
        <f t="shared" si="101"/>
        <v>5</v>
      </c>
      <c r="CB675">
        <f t="shared" si="102"/>
        <v>2024</v>
      </c>
      <c r="CC675" t="str">
        <f t="shared" si="103"/>
        <v>2024-5</v>
      </c>
    </row>
    <row r="676" spans="1:81" x14ac:dyDescent="0.25">
      <c r="A676" t="s">
        <v>32</v>
      </c>
      <c r="B676" t="s">
        <v>242</v>
      </c>
      <c r="C676" t="s">
        <v>371</v>
      </c>
      <c r="D676">
        <v>24417</v>
      </c>
      <c r="E676">
        <v>7</v>
      </c>
      <c r="P676" t="s">
        <v>32</v>
      </c>
      <c r="Q676" t="s">
        <v>70</v>
      </c>
      <c r="R676">
        <v>7</v>
      </c>
      <c r="AI676" t="s">
        <v>90</v>
      </c>
      <c r="AJ676">
        <v>10385</v>
      </c>
      <c r="AL676">
        <f>COUNTIF(AI:AI,AK676)</f>
        <v>0</v>
      </c>
      <c r="AM676">
        <f>SUMIF(AI:AI,AK676,AJ:AJ)</f>
        <v>0</v>
      </c>
      <c r="AP676" t="s">
        <v>20</v>
      </c>
      <c r="AQ676" t="s">
        <v>191</v>
      </c>
      <c r="BP676" t="s">
        <v>36</v>
      </c>
      <c r="BQ676" t="s">
        <v>123</v>
      </c>
      <c r="BR676">
        <f t="shared" si="104"/>
        <v>10</v>
      </c>
      <c r="BS676">
        <f t="shared" si="98"/>
        <v>2023</v>
      </c>
      <c r="BT676">
        <v>7</v>
      </c>
      <c r="BU676" t="str">
        <f t="shared" si="99"/>
        <v>2023-10</v>
      </c>
      <c r="BV676">
        <f t="shared" si="100"/>
        <v>1</v>
      </c>
      <c r="BX676" t="s">
        <v>32</v>
      </c>
      <c r="BY676" t="s">
        <v>371</v>
      </c>
      <c r="BZ676">
        <v>24417</v>
      </c>
      <c r="CA676">
        <f t="shared" si="101"/>
        <v>5</v>
      </c>
      <c r="CB676">
        <f t="shared" si="102"/>
        <v>2024</v>
      </c>
      <c r="CC676" t="str">
        <f t="shared" si="103"/>
        <v>2024-5</v>
      </c>
    </row>
    <row r="677" spans="1:81" x14ac:dyDescent="0.25">
      <c r="A677" t="s">
        <v>12</v>
      </c>
      <c r="B677" t="s">
        <v>90</v>
      </c>
      <c r="C677" t="s">
        <v>371</v>
      </c>
      <c r="D677">
        <v>10385</v>
      </c>
      <c r="E677">
        <v>7</v>
      </c>
      <c r="P677" t="s">
        <v>5</v>
      </c>
      <c r="Q677" t="s">
        <v>155</v>
      </c>
      <c r="R677">
        <v>1</v>
      </c>
      <c r="AI677" t="s">
        <v>30</v>
      </c>
      <c r="AJ677">
        <v>63201</v>
      </c>
      <c r="AL677">
        <f>COUNTIF(AI:AI,AK677)</f>
        <v>0</v>
      </c>
      <c r="AM677">
        <f>SUMIF(AI:AI,AK677,AJ:AJ)</f>
        <v>0</v>
      </c>
      <c r="AP677" t="s">
        <v>10</v>
      </c>
      <c r="AQ677" t="s">
        <v>171</v>
      </c>
      <c r="BP677" t="s">
        <v>36</v>
      </c>
      <c r="BQ677" t="s">
        <v>130</v>
      </c>
      <c r="BR677">
        <f t="shared" si="104"/>
        <v>10</v>
      </c>
      <c r="BS677">
        <f t="shared" si="98"/>
        <v>2023</v>
      </c>
      <c r="BT677">
        <v>7</v>
      </c>
      <c r="BU677" t="str">
        <f t="shared" si="99"/>
        <v>2023-10</v>
      </c>
      <c r="BV677">
        <f t="shared" si="100"/>
        <v>1</v>
      </c>
      <c r="BX677" t="s">
        <v>12</v>
      </c>
      <c r="BY677" t="s">
        <v>371</v>
      </c>
      <c r="BZ677">
        <v>10385</v>
      </c>
      <c r="CA677">
        <f t="shared" si="101"/>
        <v>5</v>
      </c>
      <c r="CB677">
        <f t="shared" si="102"/>
        <v>2024</v>
      </c>
      <c r="CC677" t="str">
        <f t="shared" si="103"/>
        <v>2024-5</v>
      </c>
    </row>
    <row r="678" spans="1:81" x14ac:dyDescent="0.25">
      <c r="A678" t="s">
        <v>17</v>
      </c>
      <c r="B678" t="s">
        <v>30</v>
      </c>
      <c r="C678" t="s">
        <v>372</v>
      </c>
      <c r="D678">
        <v>63201</v>
      </c>
      <c r="E678">
        <v>7</v>
      </c>
      <c r="P678" t="s">
        <v>10</v>
      </c>
      <c r="Q678" t="s">
        <v>162</v>
      </c>
      <c r="R678">
        <v>7</v>
      </c>
      <c r="AI678" t="s">
        <v>69</v>
      </c>
      <c r="AJ678">
        <v>41287</v>
      </c>
      <c r="AL678">
        <f>COUNTIF(AI:AI,AK678)</f>
        <v>0</v>
      </c>
      <c r="AM678">
        <f>SUMIF(AI:AI,AK678,AJ:AJ)</f>
        <v>0</v>
      </c>
      <c r="AP678" t="s">
        <v>36</v>
      </c>
      <c r="AQ678" t="s">
        <v>13</v>
      </c>
      <c r="BP678" t="s">
        <v>36</v>
      </c>
      <c r="BQ678" t="s">
        <v>153</v>
      </c>
      <c r="BR678">
        <f t="shared" si="104"/>
        <v>10</v>
      </c>
      <c r="BS678">
        <f t="shared" si="98"/>
        <v>2023</v>
      </c>
      <c r="BT678">
        <v>7</v>
      </c>
      <c r="BU678" t="str">
        <f t="shared" si="99"/>
        <v>2023-10</v>
      </c>
      <c r="BV678">
        <f t="shared" si="100"/>
        <v>1</v>
      </c>
      <c r="BX678" t="s">
        <v>17</v>
      </c>
      <c r="BY678" t="s">
        <v>372</v>
      </c>
      <c r="BZ678">
        <v>63201</v>
      </c>
      <c r="CA678">
        <f t="shared" si="101"/>
        <v>5</v>
      </c>
      <c r="CB678">
        <f t="shared" si="102"/>
        <v>2024</v>
      </c>
      <c r="CC678" t="str">
        <f t="shared" si="103"/>
        <v>2024-5</v>
      </c>
    </row>
    <row r="679" spans="1:81" x14ac:dyDescent="0.25">
      <c r="A679" t="s">
        <v>12</v>
      </c>
      <c r="B679" t="s">
        <v>69</v>
      </c>
      <c r="C679" t="s">
        <v>372</v>
      </c>
      <c r="D679">
        <v>41287</v>
      </c>
      <c r="E679">
        <v>0</v>
      </c>
      <c r="P679" t="s">
        <v>17</v>
      </c>
      <c r="Q679" t="s">
        <v>290</v>
      </c>
      <c r="R679">
        <v>10</v>
      </c>
      <c r="AI679" t="s">
        <v>373</v>
      </c>
      <c r="AJ679">
        <v>55373</v>
      </c>
      <c r="AL679">
        <f>COUNTIF(AI:AI,AK679)</f>
        <v>0</v>
      </c>
      <c r="AM679">
        <f>SUMIF(AI:AI,AK679,AJ:AJ)</f>
        <v>0</v>
      </c>
      <c r="AP679" t="s">
        <v>5</v>
      </c>
      <c r="AQ679" t="s">
        <v>77</v>
      </c>
      <c r="BP679" t="s">
        <v>36</v>
      </c>
      <c r="BQ679" t="s">
        <v>159</v>
      </c>
      <c r="BR679">
        <f t="shared" si="104"/>
        <v>10</v>
      </c>
      <c r="BS679">
        <f t="shared" si="98"/>
        <v>2023</v>
      </c>
      <c r="BT679">
        <v>0</v>
      </c>
      <c r="BU679" t="str">
        <f t="shared" si="99"/>
        <v>2023-10</v>
      </c>
      <c r="BV679">
        <f t="shared" si="100"/>
        <v>0</v>
      </c>
      <c r="BX679" t="s">
        <v>12</v>
      </c>
      <c r="BY679" t="s">
        <v>372</v>
      </c>
      <c r="BZ679">
        <v>41287</v>
      </c>
      <c r="CA679">
        <f t="shared" si="101"/>
        <v>5</v>
      </c>
      <c r="CB679">
        <f t="shared" si="102"/>
        <v>2024</v>
      </c>
      <c r="CC679" t="str">
        <f t="shared" si="103"/>
        <v>2024-5</v>
      </c>
    </row>
    <row r="680" spans="1:81" x14ac:dyDescent="0.25">
      <c r="A680" t="s">
        <v>20</v>
      </c>
      <c r="B680" t="s">
        <v>373</v>
      </c>
      <c r="C680" t="s">
        <v>372</v>
      </c>
      <c r="D680">
        <v>55373</v>
      </c>
      <c r="E680">
        <v>6</v>
      </c>
      <c r="P680" t="s">
        <v>8</v>
      </c>
      <c r="Q680" t="s">
        <v>44</v>
      </c>
      <c r="R680">
        <v>8</v>
      </c>
      <c r="AI680" t="s">
        <v>29</v>
      </c>
      <c r="AJ680">
        <v>14684</v>
      </c>
      <c r="AL680">
        <f>COUNTIF(AI:AI,AK680)</f>
        <v>0</v>
      </c>
      <c r="AM680">
        <f>SUMIF(AI:AI,AK680,AJ:AJ)</f>
        <v>0</v>
      </c>
      <c r="AP680" t="s">
        <v>12</v>
      </c>
      <c r="AQ680" t="s">
        <v>101</v>
      </c>
      <c r="BP680" t="s">
        <v>36</v>
      </c>
      <c r="BQ680" t="s">
        <v>167</v>
      </c>
      <c r="BR680">
        <f t="shared" si="104"/>
        <v>11</v>
      </c>
      <c r="BS680">
        <f t="shared" si="98"/>
        <v>2023</v>
      </c>
      <c r="BT680">
        <v>6</v>
      </c>
      <c r="BU680" t="str">
        <f t="shared" si="99"/>
        <v>2023-11</v>
      </c>
      <c r="BV680">
        <f t="shared" si="100"/>
        <v>0</v>
      </c>
      <c r="BX680" t="s">
        <v>20</v>
      </c>
      <c r="BY680" t="s">
        <v>372</v>
      </c>
      <c r="BZ680">
        <v>55373</v>
      </c>
      <c r="CA680">
        <f t="shared" si="101"/>
        <v>5</v>
      </c>
      <c r="CB680">
        <f t="shared" si="102"/>
        <v>2024</v>
      </c>
      <c r="CC680" t="str">
        <f t="shared" si="103"/>
        <v>2024-5</v>
      </c>
    </row>
    <row r="681" spans="1:81" x14ac:dyDescent="0.25">
      <c r="A681" t="s">
        <v>12</v>
      </c>
      <c r="B681" t="s">
        <v>29</v>
      </c>
      <c r="C681" t="s">
        <v>372</v>
      </c>
      <c r="D681">
        <v>14684</v>
      </c>
      <c r="E681">
        <v>2</v>
      </c>
      <c r="P681" t="s">
        <v>20</v>
      </c>
      <c r="Q681" t="s">
        <v>183</v>
      </c>
      <c r="R681">
        <v>9</v>
      </c>
      <c r="AI681" t="s">
        <v>238</v>
      </c>
      <c r="AJ681">
        <v>80993</v>
      </c>
      <c r="AL681">
        <f>COUNTIF(AI:AI,AK681)</f>
        <v>0</v>
      </c>
      <c r="AM681">
        <f>SUMIF(AI:AI,AK681,AJ:AJ)</f>
        <v>0</v>
      </c>
      <c r="AP681" t="s">
        <v>8</v>
      </c>
      <c r="AQ681" t="s">
        <v>352</v>
      </c>
      <c r="BP681" t="s">
        <v>36</v>
      </c>
      <c r="BQ681" t="s">
        <v>172</v>
      </c>
      <c r="BR681">
        <f t="shared" si="104"/>
        <v>11</v>
      </c>
      <c r="BS681">
        <f t="shared" si="98"/>
        <v>2023</v>
      </c>
      <c r="BT681">
        <v>2</v>
      </c>
      <c r="BU681" t="str">
        <f t="shared" si="99"/>
        <v>2023-11</v>
      </c>
      <c r="BV681">
        <f t="shared" si="100"/>
        <v>0</v>
      </c>
      <c r="BX681" t="s">
        <v>12</v>
      </c>
      <c r="BY681" t="s">
        <v>372</v>
      </c>
      <c r="BZ681">
        <v>14684</v>
      </c>
      <c r="CA681">
        <f t="shared" si="101"/>
        <v>5</v>
      </c>
      <c r="CB681">
        <f t="shared" si="102"/>
        <v>2024</v>
      </c>
      <c r="CC681" t="str">
        <f t="shared" si="103"/>
        <v>2024-5</v>
      </c>
    </row>
    <row r="682" spans="1:81" x14ac:dyDescent="0.25">
      <c r="A682" t="s">
        <v>17</v>
      </c>
      <c r="B682" t="s">
        <v>238</v>
      </c>
      <c r="C682" t="s">
        <v>372</v>
      </c>
      <c r="D682">
        <v>80993</v>
      </c>
      <c r="E682">
        <v>2</v>
      </c>
      <c r="P682" t="s">
        <v>33</v>
      </c>
      <c r="Q682" t="s">
        <v>148</v>
      </c>
      <c r="R682">
        <v>7</v>
      </c>
      <c r="AI682" t="s">
        <v>174</v>
      </c>
      <c r="AJ682">
        <v>96960</v>
      </c>
      <c r="AL682">
        <f>COUNTIF(AI:AI,AK682)</f>
        <v>0</v>
      </c>
      <c r="AM682">
        <f>SUMIF(AI:AI,AK682,AJ:AJ)</f>
        <v>0</v>
      </c>
      <c r="AP682" t="s">
        <v>5</v>
      </c>
      <c r="AQ682" t="s">
        <v>214</v>
      </c>
      <c r="BP682" t="s">
        <v>36</v>
      </c>
      <c r="BQ682" t="s">
        <v>176</v>
      </c>
      <c r="BR682">
        <f t="shared" si="104"/>
        <v>11</v>
      </c>
      <c r="BS682">
        <f t="shared" si="98"/>
        <v>2023</v>
      </c>
      <c r="BT682">
        <v>2</v>
      </c>
      <c r="BU682" t="str">
        <f t="shared" si="99"/>
        <v>2023-11</v>
      </c>
      <c r="BV682">
        <f t="shared" si="100"/>
        <v>0</v>
      </c>
      <c r="BX682" t="s">
        <v>17</v>
      </c>
      <c r="BY682" t="s">
        <v>372</v>
      </c>
      <c r="BZ682">
        <v>80993</v>
      </c>
      <c r="CA682">
        <f t="shared" si="101"/>
        <v>5</v>
      </c>
      <c r="CB682">
        <f t="shared" si="102"/>
        <v>2024</v>
      </c>
      <c r="CC682" t="str">
        <f t="shared" si="103"/>
        <v>2024-5</v>
      </c>
    </row>
    <row r="683" spans="1:81" x14ac:dyDescent="0.25">
      <c r="A683" t="s">
        <v>14</v>
      </c>
      <c r="B683" t="s">
        <v>174</v>
      </c>
      <c r="C683" t="s">
        <v>372</v>
      </c>
      <c r="D683">
        <v>96960</v>
      </c>
      <c r="E683">
        <v>10</v>
      </c>
      <c r="P683" t="s">
        <v>8</v>
      </c>
      <c r="Q683" t="s">
        <v>263</v>
      </c>
      <c r="R683">
        <v>7</v>
      </c>
      <c r="AI683" t="s">
        <v>147</v>
      </c>
      <c r="AJ683">
        <v>22922</v>
      </c>
      <c r="AL683">
        <f>COUNTIF(AI:AI,AK683)</f>
        <v>0</v>
      </c>
      <c r="AM683">
        <f>SUMIF(AI:AI,AK683,AJ:AJ)</f>
        <v>0</v>
      </c>
      <c r="AP683" t="s">
        <v>10</v>
      </c>
      <c r="AQ683" t="s">
        <v>184</v>
      </c>
      <c r="BP683" t="s">
        <v>36</v>
      </c>
      <c r="BQ683" t="s">
        <v>176</v>
      </c>
      <c r="BR683">
        <f t="shared" si="104"/>
        <v>11</v>
      </c>
      <c r="BS683">
        <f t="shared" si="98"/>
        <v>2023</v>
      </c>
      <c r="BT683">
        <v>10</v>
      </c>
      <c r="BU683" t="str">
        <f t="shared" si="99"/>
        <v>2023-11</v>
      </c>
      <c r="BV683">
        <f t="shared" si="100"/>
        <v>2</v>
      </c>
      <c r="BX683" t="s">
        <v>14</v>
      </c>
      <c r="BY683" t="s">
        <v>372</v>
      </c>
      <c r="BZ683">
        <v>96960</v>
      </c>
      <c r="CA683">
        <f t="shared" si="101"/>
        <v>5</v>
      </c>
      <c r="CB683">
        <f t="shared" si="102"/>
        <v>2024</v>
      </c>
      <c r="CC683" t="str">
        <f t="shared" si="103"/>
        <v>2024-5</v>
      </c>
    </row>
    <row r="684" spans="1:81" x14ac:dyDescent="0.25">
      <c r="A684" t="s">
        <v>5</v>
      </c>
      <c r="B684" t="s">
        <v>147</v>
      </c>
      <c r="C684" t="s">
        <v>372</v>
      </c>
      <c r="D684">
        <v>22922</v>
      </c>
      <c r="E684">
        <v>1</v>
      </c>
      <c r="P684" t="s">
        <v>36</v>
      </c>
      <c r="Q684" t="s">
        <v>121</v>
      </c>
      <c r="R684">
        <v>8</v>
      </c>
      <c r="AI684" t="s">
        <v>93</v>
      </c>
      <c r="AJ684">
        <v>93439</v>
      </c>
      <c r="AL684">
        <f>COUNTIF(AI:AI,AK684)</f>
        <v>0</v>
      </c>
      <c r="AM684">
        <f>SUMIF(AI:AI,AK684,AJ:AJ)</f>
        <v>0</v>
      </c>
      <c r="AP684" t="s">
        <v>20</v>
      </c>
      <c r="AQ684" t="s">
        <v>18</v>
      </c>
      <c r="BP684" t="s">
        <v>36</v>
      </c>
      <c r="BQ684" t="s">
        <v>178</v>
      </c>
      <c r="BR684">
        <f t="shared" si="104"/>
        <v>11</v>
      </c>
      <c r="BS684">
        <f t="shared" si="98"/>
        <v>2023</v>
      </c>
      <c r="BT684">
        <v>1</v>
      </c>
      <c r="BU684" t="str">
        <f t="shared" si="99"/>
        <v>2023-11</v>
      </c>
      <c r="BV684">
        <f t="shared" si="100"/>
        <v>0</v>
      </c>
      <c r="BX684" t="s">
        <v>5</v>
      </c>
      <c r="BY684" t="s">
        <v>372</v>
      </c>
      <c r="BZ684">
        <v>22922</v>
      </c>
      <c r="CA684">
        <f t="shared" si="101"/>
        <v>5</v>
      </c>
      <c r="CB684">
        <f t="shared" si="102"/>
        <v>2024</v>
      </c>
      <c r="CC684" t="str">
        <f t="shared" si="103"/>
        <v>2024-5</v>
      </c>
    </row>
    <row r="685" spans="1:81" x14ac:dyDescent="0.25">
      <c r="A685" t="s">
        <v>36</v>
      </c>
      <c r="B685" t="s">
        <v>93</v>
      </c>
      <c r="C685" t="s">
        <v>374</v>
      </c>
      <c r="D685">
        <v>93439</v>
      </c>
      <c r="E685">
        <v>5</v>
      </c>
      <c r="P685" t="s">
        <v>32</v>
      </c>
      <c r="Q685" t="s">
        <v>158</v>
      </c>
      <c r="R685">
        <v>8</v>
      </c>
      <c r="AI685" t="s">
        <v>183</v>
      </c>
      <c r="AJ685">
        <v>91797</v>
      </c>
      <c r="AL685">
        <f>COUNTIF(AI:AI,AK685)</f>
        <v>0</v>
      </c>
      <c r="AM685">
        <f>SUMIF(AI:AI,AK685,AJ:AJ)</f>
        <v>0</v>
      </c>
      <c r="AP685" t="s">
        <v>8</v>
      </c>
      <c r="AQ685" t="s">
        <v>364</v>
      </c>
      <c r="BP685" t="s">
        <v>36</v>
      </c>
      <c r="BQ685" t="s">
        <v>179</v>
      </c>
      <c r="BR685">
        <f t="shared" si="104"/>
        <v>11</v>
      </c>
      <c r="BS685">
        <f t="shared" si="98"/>
        <v>2023</v>
      </c>
      <c r="BT685">
        <v>5</v>
      </c>
      <c r="BU685" t="str">
        <f t="shared" si="99"/>
        <v>2023-11</v>
      </c>
      <c r="BV685">
        <f t="shared" si="100"/>
        <v>0</v>
      </c>
      <c r="BX685" t="s">
        <v>36</v>
      </c>
      <c r="BY685" t="s">
        <v>374</v>
      </c>
      <c r="BZ685">
        <v>93439</v>
      </c>
      <c r="CA685">
        <f t="shared" si="101"/>
        <v>5</v>
      </c>
      <c r="CB685">
        <f t="shared" si="102"/>
        <v>2024</v>
      </c>
      <c r="CC685" t="str">
        <f t="shared" si="103"/>
        <v>2024-5</v>
      </c>
    </row>
    <row r="686" spans="1:81" x14ac:dyDescent="0.25">
      <c r="A686" t="s">
        <v>23</v>
      </c>
      <c r="B686" t="s">
        <v>183</v>
      </c>
      <c r="C686" t="s">
        <v>374</v>
      </c>
      <c r="D686">
        <v>91797</v>
      </c>
      <c r="E686">
        <v>5</v>
      </c>
      <c r="P686" t="s">
        <v>23</v>
      </c>
      <c r="Q686" t="s">
        <v>92</v>
      </c>
      <c r="R686">
        <v>7</v>
      </c>
      <c r="AI686" t="s">
        <v>44</v>
      </c>
      <c r="AJ686">
        <v>84827</v>
      </c>
      <c r="AL686">
        <f>COUNTIF(AI:AI,AK686)</f>
        <v>0</v>
      </c>
      <c r="AM686">
        <f>SUMIF(AI:AI,AK686,AJ:AJ)</f>
        <v>0</v>
      </c>
      <c r="AP686" t="s">
        <v>8</v>
      </c>
      <c r="AQ686" t="s">
        <v>190</v>
      </c>
      <c r="BP686" t="s">
        <v>36</v>
      </c>
      <c r="BQ686" t="s">
        <v>189</v>
      </c>
      <c r="BR686">
        <f t="shared" si="104"/>
        <v>11</v>
      </c>
      <c r="BS686">
        <f t="shared" si="98"/>
        <v>2023</v>
      </c>
      <c r="BT686">
        <v>5</v>
      </c>
      <c r="BU686" t="str">
        <f t="shared" si="99"/>
        <v>2023-11</v>
      </c>
      <c r="BV686">
        <f t="shared" si="100"/>
        <v>0</v>
      </c>
      <c r="BX686" t="s">
        <v>23</v>
      </c>
      <c r="BY686" t="s">
        <v>374</v>
      </c>
      <c r="BZ686">
        <v>91797</v>
      </c>
      <c r="CA686">
        <f t="shared" si="101"/>
        <v>5</v>
      </c>
      <c r="CB686">
        <f t="shared" si="102"/>
        <v>2024</v>
      </c>
      <c r="CC686" t="str">
        <f t="shared" si="103"/>
        <v>2024-5</v>
      </c>
    </row>
    <row r="687" spans="1:81" x14ac:dyDescent="0.25">
      <c r="A687" t="s">
        <v>23</v>
      </c>
      <c r="B687" t="s">
        <v>44</v>
      </c>
      <c r="C687" t="s">
        <v>374</v>
      </c>
      <c r="D687">
        <v>84827</v>
      </c>
      <c r="E687">
        <v>6</v>
      </c>
      <c r="P687" t="s">
        <v>8</v>
      </c>
      <c r="Q687" t="s">
        <v>90</v>
      </c>
      <c r="R687">
        <v>1</v>
      </c>
      <c r="AI687" t="s">
        <v>274</v>
      </c>
      <c r="AJ687">
        <v>12037</v>
      </c>
      <c r="AL687">
        <f>COUNTIF(AI:AI,AK687)</f>
        <v>0</v>
      </c>
      <c r="AM687">
        <f>SUMIF(AI:AI,AK687,AJ:AJ)</f>
        <v>0</v>
      </c>
      <c r="AP687" t="s">
        <v>17</v>
      </c>
      <c r="AQ687" t="s">
        <v>249</v>
      </c>
      <c r="BP687" t="s">
        <v>36</v>
      </c>
      <c r="BQ687" t="s">
        <v>194</v>
      </c>
      <c r="BR687">
        <f t="shared" si="104"/>
        <v>11</v>
      </c>
      <c r="BS687">
        <f t="shared" si="98"/>
        <v>2023</v>
      </c>
      <c r="BT687">
        <v>6</v>
      </c>
      <c r="BU687" t="str">
        <f t="shared" si="99"/>
        <v>2023-11</v>
      </c>
      <c r="BV687">
        <f t="shared" si="100"/>
        <v>0</v>
      </c>
      <c r="BX687" t="s">
        <v>23</v>
      </c>
      <c r="BY687" t="s">
        <v>374</v>
      </c>
      <c r="BZ687">
        <v>84827</v>
      </c>
      <c r="CA687">
        <f t="shared" si="101"/>
        <v>5</v>
      </c>
      <c r="CB687">
        <f t="shared" si="102"/>
        <v>2024</v>
      </c>
      <c r="CC687" t="str">
        <f t="shared" si="103"/>
        <v>2024-5</v>
      </c>
    </row>
    <row r="688" spans="1:81" x14ac:dyDescent="0.25">
      <c r="A688" t="s">
        <v>17</v>
      </c>
      <c r="B688" t="s">
        <v>274</v>
      </c>
      <c r="C688" t="s">
        <v>374</v>
      </c>
      <c r="D688">
        <v>12037</v>
      </c>
      <c r="E688">
        <v>8</v>
      </c>
      <c r="P688" t="s">
        <v>27</v>
      </c>
      <c r="Q688" t="s">
        <v>247</v>
      </c>
      <c r="R688">
        <v>6</v>
      </c>
      <c r="AI688" t="s">
        <v>173</v>
      </c>
      <c r="AJ688">
        <v>84093</v>
      </c>
      <c r="AL688">
        <f>COUNTIF(AI:AI,AK688)</f>
        <v>0</v>
      </c>
      <c r="AM688">
        <f>SUMIF(AI:AI,AK688,AJ:AJ)</f>
        <v>0</v>
      </c>
      <c r="AP688" t="s">
        <v>10</v>
      </c>
      <c r="AQ688" t="s">
        <v>256</v>
      </c>
      <c r="BP688" t="s">
        <v>36</v>
      </c>
      <c r="BQ688" t="s">
        <v>194</v>
      </c>
      <c r="BR688">
        <f t="shared" si="104"/>
        <v>11</v>
      </c>
      <c r="BS688">
        <f t="shared" si="98"/>
        <v>2023</v>
      </c>
      <c r="BT688">
        <v>8</v>
      </c>
      <c r="BU688" t="str">
        <f t="shared" si="99"/>
        <v>2023-11</v>
      </c>
      <c r="BV688">
        <f t="shared" si="100"/>
        <v>1</v>
      </c>
      <c r="BX688" t="s">
        <v>17</v>
      </c>
      <c r="BY688" t="s">
        <v>374</v>
      </c>
      <c r="BZ688">
        <v>12037</v>
      </c>
      <c r="CA688">
        <f t="shared" si="101"/>
        <v>5</v>
      </c>
      <c r="CB688">
        <f t="shared" si="102"/>
        <v>2024</v>
      </c>
      <c r="CC688" t="str">
        <f t="shared" si="103"/>
        <v>2024-5</v>
      </c>
    </row>
    <row r="689" spans="1:81" x14ac:dyDescent="0.25">
      <c r="A689" t="s">
        <v>27</v>
      </c>
      <c r="B689" t="s">
        <v>173</v>
      </c>
      <c r="C689" t="s">
        <v>374</v>
      </c>
      <c r="D689">
        <v>84093</v>
      </c>
      <c r="E689">
        <v>5</v>
      </c>
      <c r="P689" t="s">
        <v>23</v>
      </c>
      <c r="Q689" t="s">
        <v>319</v>
      </c>
      <c r="R689">
        <v>7</v>
      </c>
      <c r="AI689" t="s">
        <v>67</v>
      </c>
      <c r="AJ689">
        <v>13635</v>
      </c>
      <c r="AL689">
        <f>COUNTIF(AI:AI,AK689)</f>
        <v>0</v>
      </c>
      <c r="AM689">
        <f>SUMIF(AI:AI,AK689,AJ:AJ)</f>
        <v>0</v>
      </c>
      <c r="AP689" t="s">
        <v>36</v>
      </c>
      <c r="AQ689" t="s">
        <v>169</v>
      </c>
      <c r="BP689" t="s">
        <v>36</v>
      </c>
      <c r="BQ689" t="s">
        <v>205</v>
      </c>
      <c r="BR689">
        <f t="shared" si="104"/>
        <v>11</v>
      </c>
      <c r="BS689">
        <f t="shared" si="98"/>
        <v>2023</v>
      </c>
      <c r="BT689">
        <v>5</v>
      </c>
      <c r="BU689" t="str">
        <f t="shared" si="99"/>
        <v>2023-11</v>
      </c>
      <c r="BV689">
        <f t="shared" si="100"/>
        <v>0</v>
      </c>
      <c r="BX689" t="s">
        <v>27</v>
      </c>
      <c r="BY689" t="s">
        <v>374</v>
      </c>
      <c r="BZ689">
        <v>84093</v>
      </c>
      <c r="CA689">
        <f t="shared" si="101"/>
        <v>5</v>
      </c>
      <c r="CB689">
        <f t="shared" si="102"/>
        <v>2024</v>
      </c>
      <c r="CC689" t="str">
        <f t="shared" si="103"/>
        <v>2024-5</v>
      </c>
    </row>
    <row r="690" spans="1:81" x14ac:dyDescent="0.25">
      <c r="A690" t="s">
        <v>32</v>
      </c>
      <c r="B690" t="s">
        <v>67</v>
      </c>
      <c r="C690" t="s">
        <v>374</v>
      </c>
      <c r="D690">
        <v>13635</v>
      </c>
      <c r="E690">
        <v>6</v>
      </c>
      <c r="P690" t="s">
        <v>8</v>
      </c>
      <c r="Q690" t="s">
        <v>104</v>
      </c>
      <c r="R690">
        <v>7</v>
      </c>
      <c r="AI690" t="s">
        <v>70</v>
      </c>
      <c r="AJ690">
        <v>78666</v>
      </c>
      <c r="AL690">
        <f>COUNTIF(AI:AI,AK690)</f>
        <v>0</v>
      </c>
      <c r="AM690">
        <f>SUMIF(AI:AI,AK690,AJ:AJ)</f>
        <v>0</v>
      </c>
      <c r="AP690" t="s">
        <v>12</v>
      </c>
      <c r="AQ690" t="s">
        <v>42</v>
      </c>
      <c r="BP690" t="s">
        <v>36</v>
      </c>
      <c r="BQ690" t="s">
        <v>205</v>
      </c>
      <c r="BR690">
        <f t="shared" si="104"/>
        <v>11</v>
      </c>
      <c r="BS690">
        <f t="shared" si="98"/>
        <v>2023</v>
      </c>
      <c r="BT690">
        <v>6</v>
      </c>
      <c r="BU690" t="str">
        <f t="shared" si="99"/>
        <v>2023-11</v>
      </c>
      <c r="BV690">
        <f t="shared" si="100"/>
        <v>0</v>
      </c>
      <c r="BX690" t="s">
        <v>32</v>
      </c>
      <c r="BY690" t="s">
        <v>374</v>
      </c>
      <c r="BZ690">
        <v>13635</v>
      </c>
      <c r="CA690">
        <f t="shared" si="101"/>
        <v>5</v>
      </c>
      <c r="CB690">
        <f t="shared" si="102"/>
        <v>2024</v>
      </c>
      <c r="CC690" t="str">
        <f t="shared" si="103"/>
        <v>2024-5</v>
      </c>
    </row>
    <row r="691" spans="1:81" x14ac:dyDescent="0.25">
      <c r="A691" t="s">
        <v>32</v>
      </c>
      <c r="B691" t="s">
        <v>70</v>
      </c>
      <c r="C691" t="s">
        <v>375</v>
      </c>
      <c r="D691">
        <v>78666</v>
      </c>
      <c r="E691">
        <v>7</v>
      </c>
      <c r="P691" t="s">
        <v>36</v>
      </c>
      <c r="Q691" t="s">
        <v>87</v>
      </c>
      <c r="R691">
        <v>5</v>
      </c>
      <c r="AI691" t="s">
        <v>155</v>
      </c>
      <c r="AJ691">
        <v>13149</v>
      </c>
      <c r="AL691">
        <f>COUNTIF(AI:AI,AK691)</f>
        <v>0</v>
      </c>
      <c r="AM691">
        <f>SUMIF(AI:AI,AK691,AJ:AJ)</f>
        <v>0</v>
      </c>
      <c r="AP691" t="s">
        <v>32</v>
      </c>
      <c r="AQ691" t="s">
        <v>21</v>
      </c>
      <c r="BP691" t="s">
        <v>36</v>
      </c>
      <c r="BQ691" t="s">
        <v>205</v>
      </c>
      <c r="BR691">
        <f t="shared" si="104"/>
        <v>11</v>
      </c>
      <c r="BS691">
        <f t="shared" si="98"/>
        <v>2023</v>
      </c>
      <c r="BT691">
        <v>7</v>
      </c>
      <c r="BU691" t="str">
        <f t="shared" si="99"/>
        <v>2023-11</v>
      </c>
      <c r="BV691">
        <f t="shared" si="100"/>
        <v>1</v>
      </c>
      <c r="BX691" t="s">
        <v>32</v>
      </c>
      <c r="BY691" t="s">
        <v>375</v>
      </c>
      <c r="BZ691">
        <v>78666</v>
      </c>
      <c r="CA691">
        <f t="shared" si="101"/>
        <v>5</v>
      </c>
      <c r="CB691">
        <f t="shared" si="102"/>
        <v>2024</v>
      </c>
      <c r="CC691" t="str">
        <f t="shared" si="103"/>
        <v>2024-5</v>
      </c>
    </row>
    <row r="692" spans="1:81" x14ac:dyDescent="0.25">
      <c r="A692" t="s">
        <v>5</v>
      </c>
      <c r="B692" t="s">
        <v>155</v>
      </c>
      <c r="C692" t="s">
        <v>375</v>
      </c>
      <c r="D692">
        <v>13149</v>
      </c>
      <c r="E692">
        <v>1</v>
      </c>
      <c r="P692" t="s">
        <v>8</v>
      </c>
      <c r="Q692" t="s">
        <v>46</v>
      </c>
      <c r="R692">
        <v>8</v>
      </c>
      <c r="AI692" t="s">
        <v>162</v>
      </c>
      <c r="AJ692">
        <v>22765</v>
      </c>
      <c r="AL692">
        <f>COUNTIF(AI:AI,AK692)</f>
        <v>0</v>
      </c>
      <c r="AM692">
        <f>SUMIF(AI:AI,AK692,AJ:AJ)</f>
        <v>0</v>
      </c>
      <c r="AP692" t="s">
        <v>5</v>
      </c>
      <c r="AQ692" t="s">
        <v>53</v>
      </c>
      <c r="BP692" t="s">
        <v>36</v>
      </c>
      <c r="BQ692" t="s">
        <v>208</v>
      </c>
      <c r="BR692">
        <f t="shared" si="104"/>
        <v>11</v>
      </c>
      <c r="BS692">
        <f t="shared" si="98"/>
        <v>2023</v>
      </c>
      <c r="BT692">
        <v>1</v>
      </c>
      <c r="BU692" t="str">
        <f t="shared" si="99"/>
        <v>2023-11</v>
      </c>
      <c r="BV692">
        <f t="shared" si="100"/>
        <v>0</v>
      </c>
      <c r="BX692" t="s">
        <v>5</v>
      </c>
      <c r="BY692" t="s">
        <v>375</v>
      </c>
      <c r="BZ692">
        <v>13149</v>
      </c>
      <c r="CA692">
        <f t="shared" si="101"/>
        <v>5</v>
      </c>
      <c r="CB692">
        <f t="shared" si="102"/>
        <v>2024</v>
      </c>
      <c r="CC692" t="str">
        <f t="shared" si="103"/>
        <v>2024-5</v>
      </c>
    </row>
    <row r="693" spans="1:81" x14ac:dyDescent="0.25">
      <c r="A693" t="s">
        <v>10</v>
      </c>
      <c r="B693" t="s">
        <v>162</v>
      </c>
      <c r="C693" t="s">
        <v>375</v>
      </c>
      <c r="D693">
        <v>22765</v>
      </c>
      <c r="E693">
        <v>7</v>
      </c>
      <c r="P693" t="s">
        <v>8</v>
      </c>
      <c r="Q693" t="s">
        <v>196</v>
      </c>
      <c r="R693">
        <v>6</v>
      </c>
      <c r="AI693" t="s">
        <v>290</v>
      </c>
      <c r="AJ693">
        <v>50672</v>
      </c>
      <c r="AL693">
        <f>COUNTIF(AI:AI,AK693)</f>
        <v>0</v>
      </c>
      <c r="AM693">
        <f>SUMIF(AI:AI,AK693,AJ:AJ)</f>
        <v>0</v>
      </c>
      <c r="AP693" t="s">
        <v>36</v>
      </c>
      <c r="AQ693" t="s">
        <v>35</v>
      </c>
      <c r="BP693" t="s">
        <v>36</v>
      </c>
      <c r="BQ693" t="s">
        <v>221</v>
      </c>
      <c r="BR693">
        <f t="shared" si="104"/>
        <v>12</v>
      </c>
      <c r="BS693">
        <f t="shared" si="98"/>
        <v>2023</v>
      </c>
      <c r="BT693">
        <v>7</v>
      </c>
      <c r="BU693" t="str">
        <f t="shared" si="99"/>
        <v>2023-12</v>
      </c>
      <c r="BV693">
        <f t="shared" si="100"/>
        <v>1</v>
      </c>
      <c r="BX693" t="s">
        <v>10</v>
      </c>
      <c r="BY693" t="s">
        <v>375</v>
      </c>
      <c r="BZ693">
        <v>22765</v>
      </c>
      <c r="CA693">
        <f t="shared" si="101"/>
        <v>5</v>
      </c>
      <c r="CB693">
        <f t="shared" si="102"/>
        <v>2024</v>
      </c>
      <c r="CC693" t="str">
        <f t="shared" si="103"/>
        <v>2024-5</v>
      </c>
    </row>
    <row r="694" spans="1:81" x14ac:dyDescent="0.25">
      <c r="A694" t="s">
        <v>17</v>
      </c>
      <c r="B694" t="s">
        <v>290</v>
      </c>
      <c r="C694" t="s">
        <v>375</v>
      </c>
      <c r="D694">
        <v>50672</v>
      </c>
      <c r="E694">
        <v>10</v>
      </c>
      <c r="P694" t="s">
        <v>27</v>
      </c>
      <c r="Q694" t="s">
        <v>183</v>
      </c>
      <c r="R694">
        <v>3</v>
      </c>
      <c r="AI694" t="s">
        <v>44</v>
      </c>
      <c r="AJ694">
        <v>48782</v>
      </c>
      <c r="AL694">
        <f>COUNTIF(AI:AI,AK694)</f>
        <v>0</v>
      </c>
      <c r="AM694">
        <f>SUMIF(AI:AI,AK694,AJ:AJ)</f>
        <v>0</v>
      </c>
      <c r="AP694" t="s">
        <v>23</v>
      </c>
      <c r="AQ694" t="s">
        <v>25</v>
      </c>
      <c r="BP694" t="s">
        <v>36</v>
      </c>
      <c r="BQ694" t="s">
        <v>221</v>
      </c>
      <c r="BR694">
        <f t="shared" si="104"/>
        <v>12</v>
      </c>
      <c r="BS694">
        <f t="shared" si="98"/>
        <v>2023</v>
      </c>
      <c r="BT694">
        <v>10</v>
      </c>
      <c r="BU694" t="str">
        <f t="shared" si="99"/>
        <v>2023-12</v>
      </c>
      <c r="BV694">
        <f t="shared" si="100"/>
        <v>2</v>
      </c>
      <c r="BX694" t="s">
        <v>17</v>
      </c>
      <c r="BY694" t="s">
        <v>375</v>
      </c>
      <c r="BZ694">
        <v>50672</v>
      </c>
      <c r="CA694">
        <f t="shared" si="101"/>
        <v>5</v>
      </c>
      <c r="CB694">
        <f t="shared" si="102"/>
        <v>2024</v>
      </c>
      <c r="CC694" t="str">
        <f t="shared" si="103"/>
        <v>2024-5</v>
      </c>
    </row>
    <row r="695" spans="1:81" x14ac:dyDescent="0.25">
      <c r="A695" t="s">
        <v>8</v>
      </c>
      <c r="B695" t="s">
        <v>44</v>
      </c>
      <c r="C695" t="s">
        <v>375</v>
      </c>
      <c r="D695">
        <v>48782</v>
      </c>
      <c r="E695">
        <v>8</v>
      </c>
      <c r="P695" t="s">
        <v>10</v>
      </c>
      <c r="Q695" t="s">
        <v>190</v>
      </c>
      <c r="R695">
        <v>5</v>
      </c>
      <c r="AI695" t="s">
        <v>183</v>
      </c>
      <c r="AJ695">
        <v>32808</v>
      </c>
      <c r="AL695">
        <f>COUNTIF(AI:AI,AK695)</f>
        <v>0</v>
      </c>
      <c r="AM695">
        <f>SUMIF(AI:AI,AK695,AJ:AJ)</f>
        <v>0</v>
      </c>
      <c r="AP695" t="s">
        <v>27</v>
      </c>
      <c r="AQ695" t="s">
        <v>220</v>
      </c>
      <c r="BP695" t="s">
        <v>36</v>
      </c>
      <c r="BQ695" t="s">
        <v>232</v>
      </c>
      <c r="BR695">
        <f t="shared" si="104"/>
        <v>12</v>
      </c>
      <c r="BS695">
        <f t="shared" si="98"/>
        <v>2023</v>
      </c>
      <c r="BT695">
        <v>8</v>
      </c>
      <c r="BU695" t="str">
        <f t="shared" si="99"/>
        <v>2023-12</v>
      </c>
      <c r="BV695">
        <f t="shared" si="100"/>
        <v>1</v>
      </c>
      <c r="BX695" t="s">
        <v>8</v>
      </c>
      <c r="BY695" t="s">
        <v>375</v>
      </c>
      <c r="BZ695">
        <v>48782</v>
      </c>
      <c r="CA695">
        <f t="shared" si="101"/>
        <v>5</v>
      </c>
      <c r="CB695">
        <f t="shared" si="102"/>
        <v>2024</v>
      </c>
      <c r="CC695" t="str">
        <f t="shared" si="103"/>
        <v>2024-5</v>
      </c>
    </row>
    <row r="696" spans="1:81" x14ac:dyDescent="0.25">
      <c r="A696" t="s">
        <v>20</v>
      </c>
      <c r="B696" t="s">
        <v>183</v>
      </c>
      <c r="C696" t="s">
        <v>376</v>
      </c>
      <c r="D696">
        <v>32808</v>
      </c>
      <c r="E696">
        <v>9</v>
      </c>
      <c r="P696" t="s">
        <v>20</v>
      </c>
      <c r="Q696" t="s">
        <v>56</v>
      </c>
      <c r="R696">
        <v>7</v>
      </c>
      <c r="AI696" t="s">
        <v>148</v>
      </c>
      <c r="AJ696">
        <v>54729</v>
      </c>
      <c r="AL696">
        <f>COUNTIF(AI:AI,AK696)</f>
        <v>0</v>
      </c>
      <c r="AM696">
        <f>SUMIF(AI:AI,AK696,AJ:AJ)</f>
        <v>0</v>
      </c>
      <c r="AP696" t="s">
        <v>36</v>
      </c>
      <c r="AQ696" t="s">
        <v>281</v>
      </c>
      <c r="BP696" t="s">
        <v>36</v>
      </c>
      <c r="BQ696" t="s">
        <v>235</v>
      </c>
      <c r="BR696">
        <f t="shared" si="104"/>
        <v>12</v>
      </c>
      <c r="BS696">
        <f t="shared" si="98"/>
        <v>2023</v>
      </c>
      <c r="BT696">
        <v>9</v>
      </c>
      <c r="BU696" t="str">
        <f t="shared" si="99"/>
        <v>2023-12</v>
      </c>
      <c r="BV696">
        <f t="shared" si="100"/>
        <v>2</v>
      </c>
      <c r="BX696" t="s">
        <v>20</v>
      </c>
      <c r="BY696" t="s">
        <v>376</v>
      </c>
      <c r="BZ696">
        <v>32808</v>
      </c>
      <c r="CA696">
        <f t="shared" si="101"/>
        <v>5</v>
      </c>
      <c r="CB696">
        <f t="shared" si="102"/>
        <v>2024</v>
      </c>
      <c r="CC696" t="str">
        <f t="shared" si="103"/>
        <v>2024-5</v>
      </c>
    </row>
    <row r="697" spans="1:81" x14ac:dyDescent="0.25">
      <c r="A697" t="s">
        <v>33</v>
      </c>
      <c r="B697" t="s">
        <v>148</v>
      </c>
      <c r="C697" t="s">
        <v>376</v>
      </c>
      <c r="D697">
        <v>54729</v>
      </c>
      <c r="E697">
        <v>7</v>
      </c>
      <c r="P697" t="s">
        <v>27</v>
      </c>
      <c r="Q697" t="s">
        <v>90</v>
      </c>
      <c r="R697">
        <v>7</v>
      </c>
      <c r="AI697" t="s">
        <v>263</v>
      </c>
      <c r="AJ697">
        <v>94288</v>
      </c>
      <c r="AL697">
        <f>COUNTIF(AI:AI,AK697)</f>
        <v>0</v>
      </c>
      <c r="AM697">
        <f>SUMIF(AI:AI,AK697,AJ:AJ)</f>
        <v>0</v>
      </c>
      <c r="AP697" t="s">
        <v>8</v>
      </c>
      <c r="AQ697" t="s">
        <v>174</v>
      </c>
      <c r="BP697" t="s">
        <v>36</v>
      </c>
      <c r="BQ697" t="s">
        <v>240</v>
      </c>
      <c r="BR697">
        <f t="shared" si="104"/>
        <v>12</v>
      </c>
      <c r="BS697">
        <f t="shared" si="98"/>
        <v>2023</v>
      </c>
      <c r="BT697">
        <v>7</v>
      </c>
      <c r="BU697" t="str">
        <f t="shared" si="99"/>
        <v>2023-12</v>
      </c>
      <c r="BV697">
        <f t="shared" si="100"/>
        <v>1</v>
      </c>
      <c r="BX697" t="s">
        <v>33</v>
      </c>
      <c r="BY697" t="s">
        <v>376</v>
      </c>
      <c r="BZ697">
        <v>54729</v>
      </c>
      <c r="CA697">
        <f t="shared" si="101"/>
        <v>5</v>
      </c>
      <c r="CB697">
        <f t="shared" si="102"/>
        <v>2024</v>
      </c>
      <c r="CC697" t="str">
        <f t="shared" si="103"/>
        <v>2024-5</v>
      </c>
    </row>
    <row r="698" spans="1:81" x14ac:dyDescent="0.25">
      <c r="A698" t="s">
        <v>8</v>
      </c>
      <c r="B698" t="s">
        <v>263</v>
      </c>
      <c r="C698" t="s">
        <v>376</v>
      </c>
      <c r="D698">
        <v>94288</v>
      </c>
      <c r="E698">
        <v>7</v>
      </c>
      <c r="P698" t="s">
        <v>32</v>
      </c>
      <c r="Q698" t="s">
        <v>180</v>
      </c>
      <c r="R698">
        <v>4</v>
      </c>
      <c r="AI698" t="s">
        <v>121</v>
      </c>
      <c r="AJ698">
        <v>68909</v>
      </c>
      <c r="AL698">
        <f>COUNTIF(AI:AI,AK698)</f>
        <v>0</v>
      </c>
      <c r="AM698">
        <f>SUMIF(AI:AI,AK698,AJ:AJ)</f>
        <v>0</v>
      </c>
      <c r="AP698" t="s">
        <v>23</v>
      </c>
      <c r="AQ698" t="s">
        <v>215</v>
      </c>
      <c r="BP698" t="s">
        <v>36</v>
      </c>
      <c r="BQ698" t="s">
        <v>260</v>
      </c>
      <c r="BR698">
        <f t="shared" si="104"/>
        <v>1</v>
      </c>
      <c r="BS698">
        <f t="shared" si="98"/>
        <v>2024</v>
      </c>
      <c r="BT698">
        <v>7</v>
      </c>
      <c r="BU698" t="str">
        <f t="shared" si="99"/>
        <v>2024-1</v>
      </c>
      <c r="BV698">
        <f t="shared" si="100"/>
        <v>1</v>
      </c>
      <c r="BX698" t="s">
        <v>8</v>
      </c>
      <c r="BY698" t="s">
        <v>376</v>
      </c>
      <c r="BZ698">
        <v>94288</v>
      </c>
      <c r="CA698">
        <f t="shared" si="101"/>
        <v>5</v>
      </c>
      <c r="CB698">
        <f t="shared" si="102"/>
        <v>2024</v>
      </c>
      <c r="CC698" t="str">
        <f t="shared" si="103"/>
        <v>2024-5</v>
      </c>
    </row>
    <row r="699" spans="1:81" x14ac:dyDescent="0.25">
      <c r="A699" t="s">
        <v>36</v>
      </c>
      <c r="B699" t="s">
        <v>121</v>
      </c>
      <c r="C699" t="s">
        <v>376</v>
      </c>
      <c r="D699">
        <v>68909</v>
      </c>
      <c r="E699">
        <v>8</v>
      </c>
      <c r="P699" t="s">
        <v>27</v>
      </c>
      <c r="Q699" t="s">
        <v>81</v>
      </c>
      <c r="R699">
        <v>6</v>
      </c>
      <c r="AI699" t="s">
        <v>158</v>
      </c>
      <c r="AJ699">
        <v>60183</v>
      </c>
      <c r="AL699">
        <f>COUNTIF(AI:AI,AK699)</f>
        <v>0</v>
      </c>
      <c r="AM699">
        <f>SUMIF(AI:AI,AK699,AJ:AJ)</f>
        <v>0</v>
      </c>
      <c r="AP699" t="s">
        <v>36</v>
      </c>
      <c r="AQ699" t="s">
        <v>111</v>
      </c>
      <c r="BP699" t="s">
        <v>36</v>
      </c>
      <c r="BQ699" t="s">
        <v>261</v>
      </c>
      <c r="BR699">
        <f t="shared" si="104"/>
        <v>1</v>
      </c>
      <c r="BS699">
        <f t="shared" si="98"/>
        <v>2024</v>
      </c>
      <c r="BT699">
        <v>8</v>
      </c>
      <c r="BU699" t="str">
        <f t="shared" si="99"/>
        <v>2024-1</v>
      </c>
      <c r="BV699">
        <f t="shared" si="100"/>
        <v>1</v>
      </c>
      <c r="BX699" t="s">
        <v>36</v>
      </c>
      <c r="BY699" t="s">
        <v>376</v>
      </c>
      <c r="BZ699">
        <v>68909</v>
      </c>
      <c r="CA699">
        <f t="shared" si="101"/>
        <v>5</v>
      </c>
      <c r="CB699">
        <f t="shared" si="102"/>
        <v>2024</v>
      </c>
      <c r="CC699" t="str">
        <f t="shared" si="103"/>
        <v>2024-5</v>
      </c>
    </row>
    <row r="700" spans="1:81" x14ac:dyDescent="0.25">
      <c r="A700" t="s">
        <v>32</v>
      </c>
      <c r="B700" t="s">
        <v>158</v>
      </c>
      <c r="C700" t="s">
        <v>376</v>
      </c>
      <c r="D700">
        <v>60183</v>
      </c>
      <c r="E700">
        <v>8</v>
      </c>
      <c r="P700" t="s">
        <v>5</v>
      </c>
      <c r="Q700" t="s">
        <v>269</v>
      </c>
      <c r="R700">
        <v>9</v>
      </c>
      <c r="AI700" t="s">
        <v>9</v>
      </c>
      <c r="AJ700">
        <v>72142</v>
      </c>
      <c r="AL700">
        <f>COUNTIF(AI:AI,AK700)</f>
        <v>0</v>
      </c>
      <c r="AM700">
        <f>SUMIF(AI:AI,AK700,AJ:AJ)</f>
        <v>0</v>
      </c>
      <c r="AP700" t="s">
        <v>32</v>
      </c>
      <c r="AQ700" t="s">
        <v>231</v>
      </c>
      <c r="BP700" t="s">
        <v>36</v>
      </c>
      <c r="BQ700" t="s">
        <v>265</v>
      </c>
      <c r="BR700">
        <f t="shared" si="104"/>
        <v>1</v>
      </c>
      <c r="BS700">
        <f t="shared" si="98"/>
        <v>2024</v>
      </c>
      <c r="BT700">
        <v>8</v>
      </c>
      <c r="BU700" t="str">
        <f t="shared" si="99"/>
        <v>2024-1</v>
      </c>
      <c r="BV700">
        <f t="shared" si="100"/>
        <v>1</v>
      </c>
      <c r="BX700" t="s">
        <v>32</v>
      </c>
      <c r="BY700" t="s">
        <v>376</v>
      </c>
      <c r="BZ700">
        <v>60183</v>
      </c>
      <c r="CA700">
        <f t="shared" si="101"/>
        <v>5</v>
      </c>
      <c r="CB700">
        <f t="shared" si="102"/>
        <v>2024</v>
      </c>
      <c r="CC700" t="str">
        <f t="shared" si="103"/>
        <v>2024-5</v>
      </c>
    </row>
    <row r="701" spans="1:81" x14ac:dyDescent="0.25">
      <c r="A701" t="s">
        <v>5</v>
      </c>
      <c r="B701" t="s">
        <v>9</v>
      </c>
      <c r="C701" t="s">
        <v>376</v>
      </c>
      <c r="D701">
        <v>72142</v>
      </c>
      <c r="E701">
        <v>7</v>
      </c>
      <c r="P701" t="s">
        <v>23</v>
      </c>
      <c r="Q701" t="s">
        <v>120</v>
      </c>
      <c r="R701">
        <v>1</v>
      </c>
      <c r="AI701" t="s">
        <v>92</v>
      </c>
      <c r="AJ701">
        <v>96841</v>
      </c>
      <c r="AL701">
        <f>COUNTIF(AI:AI,AK701)</f>
        <v>0</v>
      </c>
      <c r="AM701">
        <f>SUMIF(AI:AI,AK701,AJ:AJ)</f>
        <v>0</v>
      </c>
      <c r="AP701" t="s">
        <v>32</v>
      </c>
      <c r="AQ701" t="s">
        <v>157</v>
      </c>
      <c r="BP701" t="s">
        <v>36</v>
      </c>
      <c r="BQ701" t="s">
        <v>271</v>
      </c>
      <c r="BR701">
        <f t="shared" si="104"/>
        <v>1</v>
      </c>
      <c r="BS701">
        <f t="shared" si="98"/>
        <v>2024</v>
      </c>
      <c r="BT701">
        <v>7</v>
      </c>
      <c r="BU701" t="str">
        <f t="shared" si="99"/>
        <v>2024-1</v>
      </c>
      <c r="BV701">
        <f t="shared" si="100"/>
        <v>1</v>
      </c>
      <c r="BX701" t="s">
        <v>5</v>
      </c>
      <c r="BY701" t="s">
        <v>376</v>
      </c>
      <c r="BZ701">
        <v>72142</v>
      </c>
      <c r="CA701">
        <f t="shared" si="101"/>
        <v>5</v>
      </c>
      <c r="CB701">
        <f t="shared" si="102"/>
        <v>2024</v>
      </c>
      <c r="CC701" t="str">
        <f t="shared" si="103"/>
        <v>2024-5</v>
      </c>
    </row>
    <row r="702" spans="1:81" x14ac:dyDescent="0.25">
      <c r="A702" t="s">
        <v>23</v>
      </c>
      <c r="B702" t="s">
        <v>92</v>
      </c>
      <c r="C702" t="s">
        <v>377</v>
      </c>
      <c r="D702">
        <v>96841</v>
      </c>
      <c r="E702">
        <v>7</v>
      </c>
      <c r="P702" t="s">
        <v>10</v>
      </c>
      <c r="Q702" t="s">
        <v>142</v>
      </c>
      <c r="R702">
        <v>6</v>
      </c>
      <c r="AI702" t="s">
        <v>90</v>
      </c>
      <c r="AJ702">
        <v>91557</v>
      </c>
      <c r="AL702">
        <f>COUNTIF(AI:AI,AK702)</f>
        <v>0</v>
      </c>
      <c r="AM702">
        <f>SUMIF(AI:AI,AK702,AJ:AJ)</f>
        <v>0</v>
      </c>
      <c r="AP702" t="s">
        <v>33</v>
      </c>
      <c r="AQ702" t="s">
        <v>341</v>
      </c>
      <c r="BP702" t="s">
        <v>36</v>
      </c>
      <c r="BQ702" t="s">
        <v>280</v>
      </c>
      <c r="BR702">
        <f t="shared" si="104"/>
        <v>1</v>
      </c>
      <c r="BS702">
        <f t="shared" si="98"/>
        <v>2024</v>
      </c>
      <c r="BT702">
        <v>7</v>
      </c>
      <c r="BU702" t="str">
        <f t="shared" si="99"/>
        <v>2024-1</v>
      </c>
      <c r="BV702">
        <f t="shared" si="100"/>
        <v>1</v>
      </c>
      <c r="BX702" t="s">
        <v>23</v>
      </c>
      <c r="BY702" t="s">
        <v>377</v>
      </c>
      <c r="BZ702">
        <v>96841</v>
      </c>
      <c r="CA702">
        <f t="shared" si="101"/>
        <v>5</v>
      </c>
      <c r="CB702">
        <f t="shared" si="102"/>
        <v>2024</v>
      </c>
      <c r="CC702" t="str">
        <f t="shared" si="103"/>
        <v>2024-5</v>
      </c>
    </row>
    <row r="703" spans="1:81" x14ac:dyDescent="0.25">
      <c r="A703" t="s">
        <v>8</v>
      </c>
      <c r="B703" t="s">
        <v>90</v>
      </c>
      <c r="C703" t="s">
        <v>377</v>
      </c>
      <c r="D703">
        <v>91557</v>
      </c>
      <c r="E703">
        <v>1</v>
      </c>
      <c r="P703" t="s">
        <v>32</v>
      </c>
      <c r="Q703" t="s">
        <v>279</v>
      </c>
      <c r="R703">
        <v>6</v>
      </c>
      <c r="AI703" t="s">
        <v>247</v>
      </c>
      <c r="AJ703">
        <v>69480</v>
      </c>
      <c r="AL703">
        <f>COUNTIF(AI:AI,AK703)</f>
        <v>0</v>
      </c>
      <c r="AM703">
        <f>SUMIF(AI:AI,AK703,AJ:AJ)</f>
        <v>0</v>
      </c>
      <c r="AP703" t="s">
        <v>32</v>
      </c>
      <c r="AQ703" t="s">
        <v>247</v>
      </c>
      <c r="BP703" t="s">
        <v>36</v>
      </c>
      <c r="BQ703" t="s">
        <v>280</v>
      </c>
      <c r="BR703">
        <f t="shared" si="104"/>
        <v>1</v>
      </c>
      <c r="BS703">
        <f t="shared" si="98"/>
        <v>2024</v>
      </c>
      <c r="BT703">
        <v>1</v>
      </c>
      <c r="BU703" t="str">
        <f t="shared" si="99"/>
        <v>2024-1</v>
      </c>
      <c r="BV703">
        <f t="shared" si="100"/>
        <v>0</v>
      </c>
      <c r="BX703" t="s">
        <v>8</v>
      </c>
      <c r="BY703" t="s">
        <v>377</v>
      </c>
      <c r="BZ703">
        <v>91557</v>
      </c>
      <c r="CA703">
        <f t="shared" si="101"/>
        <v>5</v>
      </c>
      <c r="CB703">
        <f t="shared" si="102"/>
        <v>2024</v>
      </c>
      <c r="CC703" t="str">
        <f t="shared" si="103"/>
        <v>2024-5</v>
      </c>
    </row>
    <row r="704" spans="1:81" x14ac:dyDescent="0.25">
      <c r="A704" t="s">
        <v>27</v>
      </c>
      <c r="B704" t="s">
        <v>247</v>
      </c>
      <c r="C704" t="s">
        <v>377</v>
      </c>
      <c r="D704">
        <v>69480</v>
      </c>
      <c r="E704">
        <v>6</v>
      </c>
      <c r="P704" t="s">
        <v>10</v>
      </c>
      <c r="Q704" t="s">
        <v>18</v>
      </c>
      <c r="R704">
        <v>7</v>
      </c>
      <c r="AI704" t="s">
        <v>319</v>
      </c>
      <c r="AJ704">
        <v>20268</v>
      </c>
      <c r="AL704">
        <f>COUNTIF(AI:AI,AK704)</f>
        <v>0</v>
      </c>
      <c r="AM704">
        <f>SUMIF(AI:AI,AK704,AJ:AJ)</f>
        <v>0</v>
      </c>
      <c r="AP704" t="s">
        <v>5</v>
      </c>
      <c r="AQ704" t="s">
        <v>392</v>
      </c>
      <c r="BP704" t="s">
        <v>36</v>
      </c>
      <c r="BQ704" t="s">
        <v>284</v>
      </c>
      <c r="BR704">
        <f t="shared" si="104"/>
        <v>1</v>
      </c>
      <c r="BS704">
        <f t="shared" si="98"/>
        <v>2024</v>
      </c>
      <c r="BT704">
        <v>6</v>
      </c>
      <c r="BU704" t="str">
        <f t="shared" si="99"/>
        <v>2024-1</v>
      </c>
      <c r="BV704">
        <f t="shared" si="100"/>
        <v>0</v>
      </c>
      <c r="BX704" t="s">
        <v>27</v>
      </c>
      <c r="BY704" t="s">
        <v>377</v>
      </c>
      <c r="BZ704">
        <v>69480</v>
      </c>
      <c r="CA704">
        <f t="shared" si="101"/>
        <v>5</v>
      </c>
      <c r="CB704">
        <f t="shared" si="102"/>
        <v>2024</v>
      </c>
      <c r="CC704" t="str">
        <f t="shared" si="103"/>
        <v>2024-5</v>
      </c>
    </row>
    <row r="705" spans="1:81" x14ac:dyDescent="0.25">
      <c r="A705" t="s">
        <v>23</v>
      </c>
      <c r="B705" t="s">
        <v>319</v>
      </c>
      <c r="C705" t="s">
        <v>378</v>
      </c>
      <c r="D705">
        <v>20268</v>
      </c>
      <c r="E705">
        <v>7</v>
      </c>
      <c r="P705" t="s">
        <v>27</v>
      </c>
      <c r="Q705" t="s">
        <v>157</v>
      </c>
      <c r="R705">
        <v>0</v>
      </c>
      <c r="AI705" t="s">
        <v>104</v>
      </c>
      <c r="AJ705">
        <v>84199</v>
      </c>
      <c r="AL705">
        <f>COUNTIF(AI:AI,AK705)</f>
        <v>0</v>
      </c>
      <c r="AM705">
        <f>SUMIF(AI:AI,AK705,AJ:AJ)</f>
        <v>0</v>
      </c>
      <c r="AP705" t="s">
        <v>14</v>
      </c>
      <c r="AQ705" t="s">
        <v>158</v>
      </c>
      <c r="BP705" t="s">
        <v>36</v>
      </c>
      <c r="BQ705" t="s">
        <v>285</v>
      </c>
      <c r="BR705">
        <f t="shared" si="104"/>
        <v>2</v>
      </c>
      <c r="BS705">
        <f t="shared" si="98"/>
        <v>2024</v>
      </c>
      <c r="BT705">
        <v>7</v>
      </c>
      <c r="BU705" t="str">
        <f t="shared" si="99"/>
        <v>2024-2</v>
      </c>
      <c r="BV705">
        <f t="shared" si="100"/>
        <v>1</v>
      </c>
      <c r="BX705" t="s">
        <v>23</v>
      </c>
      <c r="BY705" t="s">
        <v>378</v>
      </c>
      <c r="BZ705">
        <v>20268</v>
      </c>
      <c r="CA705">
        <f t="shared" si="101"/>
        <v>5</v>
      </c>
      <c r="CB705">
        <f t="shared" si="102"/>
        <v>2024</v>
      </c>
      <c r="CC705" t="str">
        <f t="shared" si="103"/>
        <v>2024-5</v>
      </c>
    </row>
    <row r="706" spans="1:81" x14ac:dyDescent="0.25">
      <c r="A706" t="s">
        <v>8</v>
      </c>
      <c r="B706" t="s">
        <v>104</v>
      </c>
      <c r="C706" t="s">
        <v>378</v>
      </c>
      <c r="D706">
        <v>84199</v>
      </c>
      <c r="E706">
        <v>7</v>
      </c>
      <c r="P706" t="s">
        <v>36</v>
      </c>
      <c r="Q706" t="s">
        <v>57</v>
      </c>
      <c r="R706">
        <v>7</v>
      </c>
      <c r="AI706" t="s">
        <v>87</v>
      </c>
      <c r="AJ706">
        <v>20372</v>
      </c>
      <c r="AL706">
        <f>COUNTIF(AI:AI,AK706)</f>
        <v>0</v>
      </c>
      <c r="AM706">
        <f>SUMIF(AI:AI,AK706,AJ:AJ)</f>
        <v>0</v>
      </c>
      <c r="AP706" t="s">
        <v>33</v>
      </c>
      <c r="AQ706" t="s">
        <v>184</v>
      </c>
      <c r="BP706" t="s">
        <v>36</v>
      </c>
      <c r="BQ706" t="s">
        <v>289</v>
      </c>
      <c r="BR706">
        <f t="shared" si="104"/>
        <v>2</v>
      </c>
      <c r="BS706">
        <f t="shared" si="98"/>
        <v>2024</v>
      </c>
      <c r="BT706">
        <v>7</v>
      </c>
      <c r="BU706" t="str">
        <f t="shared" si="99"/>
        <v>2024-2</v>
      </c>
      <c r="BV706">
        <f t="shared" si="100"/>
        <v>1</v>
      </c>
      <c r="BX706" t="s">
        <v>8</v>
      </c>
      <c r="BY706" t="s">
        <v>378</v>
      </c>
      <c r="BZ706">
        <v>84199</v>
      </c>
      <c r="CA706">
        <f t="shared" si="101"/>
        <v>5</v>
      </c>
      <c r="CB706">
        <f t="shared" si="102"/>
        <v>2024</v>
      </c>
      <c r="CC706" t="str">
        <f t="shared" si="103"/>
        <v>2024-5</v>
      </c>
    </row>
    <row r="707" spans="1:81" x14ac:dyDescent="0.25">
      <c r="A707" t="s">
        <v>36</v>
      </c>
      <c r="B707" t="s">
        <v>87</v>
      </c>
      <c r="C707" t="s">
        <v>378</v>
      </c>
      <c r="D707">
        <v>20372</v>
      </c>
      <c r="E707">
        <v>5</v>
      </c>
      <c r="P707" t="s">
        <v>5</v>
      </c>
      <c r="Q707" t="s">
        <v>90</v>
      </c>
      <c r="R707">
        <v>6</v>
      </c>
      <c r="AI707" t="s">
        <v>46</v>
      </c>
      <c r="AJ707">
        <v>81445</v>
      </c>
      <c r="AL707">
        <f>COUNTIF(AI:AI,AK707)</f>
        <v>0</v>
      </c>
      <c r="AM707">
        <f>SUMIF(AI:AI,AK707,AJ:AJ)</f>
        <v>0</v>
      </c>
      <c r="AP707" t="s">
        <v>8</v>
      </c>
      <c r="AQ707" t="s">
        <v>188</v>
      </c>
      <c r="BP707" t="s">
        <v>36</v>
      </c>
      <c r="BQ707" t="s">
        <v>291</v>
      </c>
      <c r="BR707">
        <f t="shared" si="104"/>
        <v>2</v>
      </c>
      <c r="BS707">
        <f t="shared" ref="BS707:BS770" si="105">YEAR(BQ707)</f>
        <v>2024</v>
      </c>
      <c r="BT707">
        <v>5</v>
      </c>
      <c r="BU707" t="str">
        <f t="shared" ref="BU707:BU770" si="106">BS707&amp;"-"&amp;BR707</f>
        <v>2024-2</v>
      </c>
      <c r="BV707">
        <f t="shared" ref="BV707:BV770" si="107">IF(BT707&lt;7,0,IF(BT707&lt;9,1,2))</f>
        <v>0</v>
      </c>
      <c r="BX707" t="s">
        <v>36</v>
      </c>
      <c r="BY707" t="s">
        <v>378</v>
      </c>
      <c r="BZ707">
        <v>20372</v>
      </c>
      <c r="CA707">
        <f t="shared" ref="CA707:CA770" si="108">MONTH(BY707)</f>
        <v>5</v>
      </c>
      <c r="CB707">
        <f t="shared" ref="CB707:CB770" si="109">YEAR(BY707)</f>
        <v>2024</v>
      </c>
      <c r="CC707" t="str">
        <f t="shared" ref="CC707:CC770" si="110">CB707&amp;"-"&amp;CA707</f>
        <v>2024-5</v>
      </c>
    </row>
    <row r="708" spans="1:81" x14ac:dyDescent="0.25">
      <c r="A708" t="s">
        <v>8</v>
      </c>
      <c r="B708" t="s">
        <v>46</v>
      </c>
      <c r="C708" t="s">
        <v>378</v>
      </c>
      <c r="D708">
        <v>81445</v>
      </c>
      <c r="E708">
        <v>8</v>
      </c>
      <c r="P708" t="s">
        <v>23</v>
      </c>
      <c r="Q708" t="s">
        <v>98</v>
      </c>
      <c r="R708">
        <v>2</v>
      </c>
      <c r="AI708" t="s">
        <v>196</v>
      </c>
      <c r="AJ708">
        <v>34979</v>
      </c>
      <c r="AL708">
        <f>COUNTIF(AI:AI,AK708)</f>
        <v>0</v>
      </c>
      <c r="AM708">
        <f>SUMIF(AI:AI,AK708,AJ:AJ)</f>
        <v>0</v>
      </c>
      <c r="AP708" t="s">
        <v>27</v>
      </c>
      <c r="AQ708" t="s">
        <v>15</v>
      </c>
      <c r="BP708" t="s">
        <v>36</v>
      </c>
      <c r="BQ708" t="s">
        <v>291</v>
      </c>
      <c r="BR708">
        <f t="shared" si="104"/>
        <v>2</v>
      </c>
      <c r="BS708">
        <f t="shared" si="105"/>
        <v>2024</v>
      </c>
      <c r="BT708">
        <v>8</v>
      </c>
      <c r="BU708" t="str">
        <f t="shared" si="106"/>
        <v>2024-2</v>
      </c>
      <c r="BV708">
        <f t="shared" si="107"/>
        <v>1</v>
      </c>
      <c r="BX708" t="s">
        <v>8</v>
      </c>
      <c r="BY708" t="s">
        <v>378</v>
      </c>
      <c r="BZ708">
        <v>81445</v>
      </c>
      <c r="CA708">
        <f t="shared" si="108"/>
        <v>5</v>
      </c>
      <c r="CB708">
        <f t="shared" si="109"/>
        <v>2024</v>
      </c>
      <c r="CC708" t="str">
        <f t="shared" si="110"/>
        <v>2024-5</v>
      </c>
    </row>
    <row r="709" spans="1:81" x14ac:dyDescent="0.25">
      <c r="A709" t="s">
        <v>8</v>
      </c>
      <c r="B709" t="s">
        <v>196</v>
      </c>
      <c r="C709" t="s">
        <v>378</v>
      </c>
      <c r="D709">
        <v>34979</v>
      </c>
      <c r="E709">
        <v>6</v>
      </c>
      <c r="P709" t="s">
        <v>27</v>
      </c>
      <c r="Q709" t="s">
        <v>53</v>
      </c>
      <c r="R709">
        <v>2</v>
      </c>
      <c r="AI709" t="s">
        <v>183</v>
      </c>
      <c r="AJ709">
        <v>70744</v>
      </c>
      <c r="AL709">
        <f>COUNTIF(AI:AI,AK709)</f>
        <v>0</v>
      </c>
      <c r="AM709">
        <f>SUMIF(AI:AI,AK709,AJ:AJ)</f>
        <v>0</v>
      </c>
      <c r="AP709" t="s">
        <v>27</v>
      </c>
      <c r="AQ709" t="s">
        <v>319</v>
      </c>
      <c r="BP709" t="s">
        <v>36</v>
      </c>
      <c r="BQ709" t="s">
        <v>302</v>
      </c>
      <c r="BR709">
        <f t="shared" si="104"/>
        <v>2</v>
      </c>
      <c r="BS709">
        <f t="shared" si="105"/>
        <v>2024</v>
      </c>
      <c r="BT709">
        <v>6</v>
      </c>
      <c r="BU709" t="str">
        <f t="shared" si="106"/>
        <v>2024-2</v>
      </c>
      <c r="BV709">
        <f t="shared" si="107"/>
        <v>0</v>
      </c>
      <c r="BX709" t="s">
        <v>8</v>
      </c>
      <c r="BY709" t="s">
        <v>378</v>
      </c>
      <c r="BZ709">
        <v>34979</v>
      </c>
      <c r="CA709">
        <f t="shared" si="108"/>
        <v>5</v>
      </c>
      <c r="CB709">
        <f t="shared" si="109"/>
        <v>2024</v>
      </c>
      <c r="CC709" t="str">
        <f t="shared" si="110"/>
        <v>2024-5</v>
      </c>
    </row>
    <row r="710" spans="1:81" x14ac:dyDescent="0.25">
      <c r="A710" t="s">
        <v>27</v>
      </c>
      <c r="B710" t="s">
        <v>183</v>
      </c>
      <c r="C710" t="s">
        <v>378</v>
      </c>
      <c r="D710">
        <v>70744</v>
      </c>
      <c r="E710">
        <v>3</v>
      </c>
      <c r="P710" t="s">
        <v>8</v>
      </c>
      <c r="Q710" t="s">
        <v>173</v>
      </c>
      <c r="R710">
        <v>9</v>
      </c>
      <c r="AI710" t="s">
        <v>190</v>
      </c>
      <c r="AJ710">
        <v>85329</v>
      </c>
      <c r="AL710">
        <f>COUNTIF(AI:AI,AK710)</f>
        <v>0</v>
      </c>
      <c r="AM710">
        <f>SUMIF(AI:AI,AK710,AJ:AJ)</f>
        <v>0</v>
      </c>
      <c r="AP710" t="s">
        <v>36</v>
      </c>
      <c r="AQ710" t="s">
        <v>287</v>
      </c>
      <c r="BP710" t="s">
        <v>36</v>
      </c>
      <c r="BQ710" t="s">
        <v>310</v>
      </c>
      <c r="BR710">
        <f t="shared" si="104"/>
        <v>2</v>
      </c>
      <c r="BS710">
        <f t="shared" si="105"/>
        <v>2024</v>
      </c>
      <c r="BT710">
        <v>3</v>
      </c>
      <c r="BU710" t="str">
        <f t="shared" si="106"/>
        <v>2024-2</v>
      </c>
      <c r="BV710">
        <f t="shared" si="107"/>
        <v>0</v>
      </c>
      <c r="BX710" t="s">
        <v>27</v>
      </c>
      <c r="BY710" t="s">
        <v>378</v>
      </c>
      <c r="BZ710">
        <v>70744</v>
      </c>
      <c r="CA710">
        <f t="shared" si="108"/>
        <v>5</v>
      </c>
      <c r="CB710">
        <f t="shared" si="109"/>
        <v>2024</v>
      </c>
      <c r="CC710" t="str">
        <f t="shared" si="110"/>
        <v>2024-5</v>
      </c>
    </row>
    <row r="711" spans="1:81" x14ac:dyDescent="0.25">
      <c r="A711" t="s">
        <v>10</v>
      </c>
      <c r="B711" t="s">
        <v>190</v>
      </c>
      <c r="C711" t="s">
        <v>378</v>
      </c>
      <c r="D711">
        <v>85329</v>
      </c>
      <c r="E711">
        <v>5</v>
      </c>
      <c r="P711" t="s">
        <v>10</v>
      </c>
      <c r="Q711" t="s">
        <v>241</v>
      </c>
      <c r="R711">
        <v>4</v>
      </c>
      <c r="AI711" t="s">
        <v>56</v>
      </c>
      <c r="AJ711">
        <v>39447</v>
      </c>
      <c r="AL711">
        <f>COUNTIF(AI:AI,AK711)</f>
        <v>0</v>
      </c>
      <c r="AM711">
        <f>SUMIF(AI:AI,AK711,AJ:AJ)</f>
        <v>0</v>
      </c>
      <c r="AP711" t="s">
        <v>27</v>
      </c>
      <c r="AQ711" t="s">
        <v>104</v>
      </c>
      <c r="BP711" t="s">
        <v>36</v>
      </c>
      <c r="BQ711" t="s">
        <v>317</v>
      </c>
      <c r="BR711">
        <f t="shared" si="104"/>
        <v>3</v>
      </c>
      <c r="BS711">
        <f t="shared" si="105"/>
        <v>2024</v>
      </c>
      <c r="BT711">
        <v>5</v>
      </c>
      <c r="BU711" t="str">
        <f t="shared" si="106"/>
        <v>2024-3</v>
      </c>
      <c r="BV711">
        <f t="shared" si="107"/>
        <v>0</v>
      </c>
      <c r="BX711" t="s">
        <v>10</v>
      </c>
      <c r="BY711" t="s">
        <v>378</v>
      </c>
      <c r="BZ711">
        <v>85329</v>
      </c>
      <c r="CA711">
        <f t="shared" si="108"/>
        <v>5</v>
      </c>
      <c r="CB711">
        <f t="shared" si="109"/>
        <v>2024</v>
      </c>
      <c r="CC711" t="str">
        <f t="shared" si="110"/>
        <v>2024-5</v>
      </c>
    </row>
    <row r="712" spans="1:81" x14ac:dyDescent="0.25">
      <c r="A712" t="s">
        <v>20</v>
      </c>
      <c r="B712" t="s">
        <v>56</v>
      </c>
      <c r="C712" t="s">
        <v>378</v>
      </c>
      <c r="D712">
        <v>39447</v>
      </c>
      <c r="E712">
        <v>7</v>
      </c>
      <c r="P712" t="s">
        <v>14</v>
      </c>
      <c r="Q712" t="s">
        <v>384</v>
      </c>
      <c r="R712">
        <v>7</v>
      </c>
      <c r="AI712" t="s">
        <v>90</v>
      </c>
      <c r="AJ712">
        <v>89114</v>
      </c>
      <c r="AL712">
        <f>COUNTIF(AI:AI,AK712)</f>
        <v>0</v>
      </c>
      <c r="AM712">
        <f>SUMIF(AI:AI,AK712,AJ:AJ)</f>
        <v>0</v>
      </c>
      <c r="AP712" t="s">
        <v>32</v>
      </c>
      <c r="AQ712" t="s">
        <v>82</v>
      </c>
      <c r="BP712" t="s">
        <v>36</v>
      </c>
      <c r="BQ712" t="s">
        <v>321</v>
      </c>
      <c r="BR712">
        <f t="shared" si="104"/>
        <v>3</v>
      </c>
      <c r="BS712">
        <f t="shared" si="105"/>
        <v>2024</v>
      </c>
      <c r="BT712">
        <v>7</v>
      </c>
      <c r="BU712" t="str">
        <f t="shared" si="106"/>
        <v>2024-3</v>
      </c>
      <c r="BV712">
        <f t="shared" si="107"/>
        <v>1</v>
      </c>
      <c r="BX712" t="s">
        <v>20</v>
      </c>
      <c r="BY712" t="s">
        <v>378</v>
      </c>
      <c r="BZ712">
        <v>39447</v>
      </c>
      <c r="CA712">
        <f t="shared" si="108"/>
        <v>5</v>
      </c>
      <c r="CB712">
        <f t="shared" si="109"/>
        <v>2024</v>
      </c>
      <c r="CC712" t="str">
        <f t="shared" si="110"/>
        <v>2024-5</v>
      </c>
    </row>
    <row r="713" spans="1:81" x14ac:dyDescent="0.25">
      <c r="A713" t="s">
        <v>27</v>
      </c>
      <c r="B713" t="s">
        <v>90</v>
      </c>
      <c r="C713" t="s">
        <v>378</v>
      </c>
      <c r="D713">
        <v>89114</v>
      </c>
      <c r="E713">
        <v>7</v>
      </c>
      <c r="P713" t="s">
        <v>20</v>
      </c>
      <c r="Q713" t="s">
        <v>11</v>
      </c>
      <c r="R713">
        <v>3</v>
      </c>
      <c r="AI713" t="s">
        <v>180</v>
      </c>
      <c r="AJ713">
        <v>41094</v>
      </c>
      <c r="AL713">
        <f>COUNTIF(AI:AI,AK713)</f>
        <v>0</v>
      </c>
      <c r="AM713">
        <f>SUMIF(AI:AI,AK713,AJ:AJ)</f>
        <v>0</v>
      </c>
      <c r="AP713" t="s">
        <v>8</v>
      </c>
      <c r="AQ713" t="s">
        <v>92</v>
      </c>
      <c r="BP713" t="s">
        <v>36</v>
      </c>
      <c r="BQ713" t="s">
        <v>326</v>
      </c>
      <c r="BR713">
        <f t="shared" si="104"/>
        <v>3</v>
      </c>
      <c r="BS713">
        <f t="shared" si="105"/>
        <v>2024</v>
      </c>
      <c r="BT713">
        <v>7</v>
      </c>
      <c r="BU713" t="str">
        <f t="shared" si="106"/>
        <v>2024-3</v>
      </c>
      <c r="BV713">
        <f t="shared" si="107"/>
        <v>1</v>
      </c>
      <c r="BX713" t="s">
        <v>27</v>
      </c>
      <c r="BY713" t="s">
        <v>378</v>
      </c>
      <c r="BZ713">
        <v>89114</v>
      </c>
      <c r="CA713">
        <f t="shared" si="108"/>
        <v>5</v>
      </c>
      <c r="CB713">
        <f t="shared" si="109"/>
        <v>2024</v>
      </c>
      <c r="CC713" t="str">
        <f t="shared" si="110"/>
        <v>2024-5</v>
      </c>
    </row>
    <row r="714" spans="1:81" x14ac:dyDescent="0.25">
      <c r="A714" t="s">
        <v>32</v>
      </c>
      <c r="B714" t="s">
        <v>180</v>
      </c>
      <c r="C714" t="s">
        <v>379</v>
      </c>
      <c r="D714">
        <v>41094</v>
      </c>
      <c r="E714">
        <v>4</v>
      </c>
      <c r="P714" t="s">
        <v>33</v>
      </c>
      <c r="Q714" t="s">
        <v>133</v>
      </c>
      <c r="R714">
        <v>5</v>
      </c>
      <c r="AI714" t="s">
        <v>81</v>
      </c>
      <c r="AJ714">
        <v>10572</v>
      </c>
      <c r="AL714">
        <f>COUNTIF(AI:AI,AK714)</f>
        <v>0</v>
      </c>
      <c r="AM714">
        <f>SUMIF(AI:AI,AK714,AJ:AJ)</f>
        <v>0</v>
      </c>
      <c r="AP714" t="s">
        <v>17</v>
      </c>
      <c r="AQ714" t="s">
        <v>85</v>
      </c>
      <c r="BP714" t="s">
        <v>36</v>
      </c>
      <c r="BQ714" t="s">
        <v>328</v>
      </c>
      <c r="BR714">
        <f t="shared" si="104"/>
        <v>3</v>
      </c>
      <c r="BS714">
        <f t="shared" si="105"/>
        <v>2024</v>
      </c>
      <c r="BT714">
        <v>4</v>
      </c>
      <c r="BU714" t="str">
        <f t="shared" si="106"/>
        <v>2024-3</v>
      </c>
      <c r="BV714">
        <f t="shared" si="107"/>
        <v>0</v>
      </c>
      <c r="BX714" t="s">
        <v>32</v>
      </c>
      <c r="BY714" t="s">
        <v>379</v>
      </c>
      <c r="BZ714">
        <v>41094</v>
      </c>
      <c r="CA714">
        <f t="shared" si="108"/>
        <v>5</v>
      </c>
      <c r="CB714">
        <f t="shared" si="109"/>
        <v>2024</v>
      </c>
      <c r="CC714" t="str">
        <f t="shared" si="110"/>
        <v>2024-5</v>
      </c>
    </row>
    <row r="715" spans="1:81" x14ac:dyDescent="0.25">
      <c r="A715" t="s">
        <v>27</v>
      </c>
      <c r="B715" t="s">
        <v>81</v>
      </c>
      <c r="C715" t="s">
        <v>379</v>
      </c>
      <c r="D715">
        <v>10572</v>
      </c>
      <c r="E715">
        <v>6</v>
      </c>
      <c r="P715" t="s">
        <v>8</v>
      </c>
      <c r="Q715" t="s">
        <v>216</v>
      </c>
      <c r="R715">
        <v>7</v>
      </c>
      <c r="AI715" t="s">
        <v>269</v>
      </c>
      <c r="AJ715">
        <v>99358</v>
      </c>
      <c r="AL715">
        <f>COUNTIF(AI:AI,AK715)</f>
        <v>0</v>
      </c>
      <c r="AM715">
        <f>SUMIF(AI:AI,AK715,AJ:AJ)</f>
        <v>0</v>
      </c>
      <c r="AP715" t="s">
        <v>10</v>
      </c>
      <c r="AQ715" t="s">
        <v>119</v>
      </c>
      <c r="BP715" t="s">
        <v>36</v>
      </c>
      <c r="BQ715" t="s">
        <v>332</v>
      </c>
      <c r="BR715">
        <f t="shared" si="104"/>
        <v>3</v>
      </c>
      <c r="BS715">
        <f t="shared" si="105"/>
        <v>2024</v>
      </c>
      <c r="BT715">
        <v>6</v>
      </c>
      <c r="BU715" t="str">
        <f t="shared" si="106"/>
        <v>2024-3</v>
      </c>
      <c r="BV715">
        <f t="shared" si="107"/>
        <v>0</v>
      </c>
      <c r="BX715" t="s">
        <v>27</v>
      </c>
      <c r="BY715" t="s">
        <v>379</v>
      </c>
      <c r="BZ715">
        <v>10572</v>
      </c>
      <c r="CA715">
        <f t="shared" si="108"/>
        <v>5</v>
      </c>
      <c r="CB715">
        <f t="shared" si="109"/>
        <v>2024</v>
      </c>
      <c r="CC715" t="str">
        <f t="shared" si="110"/>
        <v>2024-5</v>
      </c>
    </row>
    <row r="716" spans="1:81" x14ac:dyDescent="0.25">
      <c r="A716" t="s">
        <v>5</v>
      </c>
      <c r="B716" t="s">
        <v>269</v>
      </c>
      <c r="C716" t="s">
        <v>379</v>
      </c>
      <c r="D716">
        <v>99358</v>
      </c>
      <c r="E716">
        <v>9</v>
      </c>
      <c r="P716" t="s">
        <v>23</v>
      </c>
      <c r="Q716" t="s">
        <v>42</v>
      </c>
      <c r="R716">
        <v>10</v>
      </c>
      <c r="AI716" t="s">
        <v>120</v>
      </c>
      <c r="AJ716">
        <v>65780</v>
      </c>
      <c r="AL716">
        <f>COUNTIF(AI:AI,AK716)</f>
        <v>0</v>
      </c>
      <c r="AM716">
        <f>SUMIF(AI:AI,AK716,AJ:AJ)</f>
        <v>0</v>
      </c>
      <c r="AP716" t="s">
        <v>33</v>
      </c>
      <c r="AQ716" t="s">
        <v>89</v>
      </c>
      <c r="BP716" t="s">
        <v>36</v>
      </c>
      <c r="BQ716" t="s">
        <v>333</v>
      </c>
      <c r="BR716">
        <f t="shared" si="104"/>
        <v>3</v>
      </c>
      <c r="BS716">
        <f t="shared" si="105"/>
        <v>2024</v>
      </c>
      <c r="BT716">
        <v>9</v>
      </c>
      <c r="BU716" t="str">
        <f t="shared" si="106"/>
        <v>2024-3</v>
      </c>
      <c r="BV716">
        <f t="shared" si="107"/>
        <v>2</v>
      </c>
      <c r="BX716" t="s">
        <v>5</v>
      </c>
      <c r="BY716" t="s">
        <v>379</v>
      </c>
      <c r="BZ716">
        <v>99358</v>
      </c>
      <c r="CA716">
        <f t="shared" si="108"/>
        <v>5</v>
      </c>
      <c r="CB716">
        <f t="shared" si="109"/>
        <v>2024</v>
      </c>
      <c r="CC716" t="str">
        <f t="shared" si="110"/>
        <v>2024-5</v>
      </c>
    </row>
    <row r="717" spans="1:81" x14ac:dyDescent="0.25">
      <c r="A717" t="s">
        <v>23</v>
      </c>
      <c r="B717" t="s">
        <v>120</v>
      </c>
      <c r="C717" t="s">
        <v>379</v>
      </c>
      <c r="D717">
        <v>65780</v>
      </c>
      <c r="E717">
        <v>1</v>
      </c>
      <c r="P717" t="s">
        <v>12</v>
      </c>
      <c r="Q717" t="s">
        <v>274</v>
      </c>
      <c r="R717">
        <v>5</v>
      </c>
      <c r="AI717" t="s">
        <v>142</v>
      </c>
      <c r="AJ717">
        <v>13819</v>
      </c>
      <c r="AL717">
        <f>COUNTIF(AI:AI,AK717)</f>
        <v>0</v>
      </c>
      <c r="AM717">
        <f>SUMIF(AI:AI,AK717,AJ:AJ)</f>
        <v>0</v>
      </c>
      <c r="AP717" t="s">
        <v>5</v>
      </c>
      <c r="AQ717" t="s">
        <v>286</v>
      </c>
      <c r="BP717" t="s">
        <v>36</v>
      </c>
      <c r="BQ717" t="s">
        <v>349</v>
      </c>
      <c r="BR717">
        <f t="shared" si="104"/>
        <v>4</v>
      </c>
      <c r="BS717">
        <f t="shared" si="105"/>
        <v>2024</v>
      </c>
      <c r="BT717">
        <v>1</v>
      </c>
      <c r="BU717" t="str">
        <f t="shared" si="106"/>
        <v>2024-4</v>
      </c>
      <c r="BV717">
        <f t="shared" si="107"/>
        <v>0</v>
      </c>
      <c r="BX717" t="s">
        <v>23</v>
      </c>
      <c r="BY717" t="s">
        <v>379</v>
      </c>
      <c r="BZ717">
        <v>65780</v>
      </c>
      <c r="CA717">
        <f t="shared" si="108"/>
        <v>5</v>
      </c>
      <c r="CB717">
        <f t="shared" si="109"/>
        <v>2024</v>
      </c>
      <c r="CC717" t="str">
        <f t="shared" si="110"/>
        <v>2024-5</v>
      </c>
    </row>
    <row r="718" spans="1:81" x14ac:dyDescent="0.25">
      <c r="A718" t="s">
        <v>10</v>
      </c>
      <c r="B718" t="s">
        <v>142</v>
      </c>
      <c r="C718" t="s">
        <v>380</v>
      </c>
      <c r="D718">
        <v>13819</v>
      </c>
      <c r="E718">
        <v>6</v>
      </c>
      <c r="P718" t="s">
        <v>17</v>
      </c>
      <c r="Q718" t="s">
        <v>112</v>
      </c>
      <c r="R718">
        <v>4</v>
      </c>
      <c r="AI718" t="s">
        <v>279</v>
      </c>
      <c r="AJ718">
        <v>67515</v>
      </c>
      <c r="AL718">
        <f>COUNTIF(AI:AI,AK718)</f>
        <v>0</v>
      </c>
      <c r="AM718">
        <f>SUMIF(AI:AI,AK718,AJ:AJ)</f>
        <v>0</v>
      </c>
      <c r="AP718" t="s">
        <v>33</v>
      </c>
      <c r="AQ718" t="s">
        <v>352</v>
      </c>
      <c r="BP718" t="s">
        <v>36</v>
      </c>
      <c r="BQ718" t="s">
        <v>351</v>
      </c>
      <c r="BR718">
        <f t="shared" si="104"/>
        <v>4</v>
      </c>
      <c r="BS718">
        <f t="shared" si="105"/>
        <v>2024</v>
      </c>
      <c r="BT718">
        <v>6</v>
      </c>
      <c r="BU718" t="str">
        <f t="shared" si="106"/>
        <v>2024-4</v>
      </c>
      <c r="BV718">
        <f t="shared" si="107"/>
        <v>0</v>
      </c>
      <c r="BX718" t="s">
        <v>10</v>
      </c>
      <c r="BY718" t="s">
        <v>380</v>
      </c>
      <c r="BZ718">
        <v>13819</v>
      </c>
      <c r="CA718">
        <f t="shared" si="108"/>
        <v>5</v>
      </c>
      <c r="CB718">
        <f t="shared" si="109"/>
        <v>2024</v>
      </c>
      <c r="CC718" t="str">
        <f t="shared" si="110"/>
        <v>2024-5</v>
      </c>
    </row>
    <row r="719" spans="1:81" x14ac:dyDescent="0.25">
      <c r="A719" t="s">
        <v>32</v>
      </c>
      <c r="B719" t="s">
        <v>279</v>
      </c>
      <c r="C719" t="s">
        <v>380</v>
      </c>
      <c r="D719">
        <v>67515</v>
      </c>
      <c r="E719">
        <v>6</v>
      </c>
      <c r="P719" t="s">
        <v>32</v>
      </c>
      <c r="Q719" t="s">
        <v>13</v>
      </c>
      <c r="R719">
        <v>8</v>
      </c>
      <c r="AI719" t="s">
        <v>18</v>
      </c>
      <c r="AJ719">
        <v>98644</v>
      </c>
      <c r="AL719">
        <f>COUNTIF(AI:AI,AK719)</f>
        <v>0</v>
      </c>
      <c r="AM719">
        <f>SUMIF(AI:AI,AK719,AJ:AJ)</f>
        <v>0</v>
      </c>
      <c r="AP719" t="s">
        <v>10</v>
      </c>
      <c r="AQ719" t="s">
        <v>25</v>
      </c>
      <c r="BP719" t="s">
        <v>36</v>
      </c>
      <c r="BQ719" t="s">
        <v>355</v>
      </c>
      <c r="BR719">
        <f t="shared" si="104"/>
        <v>4</v>
      </c>
      <c r="BS719">
        <f t="shared" si="105"/>
        <v>2024</v>
      </c>
      <c r="BT719">
        <v>6</v>
      </c>
      <c r="BU719" t="str">
        <f t="shared" si="106"/>
        <v>2024-4</v>
      </c>
      <c r="BV719">
        <f t="shared" si="107"/>
        <v>0</v>
      </c>
      <c r="BX719" t="s">
        <v>32</v>
      </c>
      <c r="BY719" t="s">
        <v>380</v>
      </c>
      <c r="BZ719">
        <v>67515</v>
      </c>
      <c r="CA719">
        <f t="shared" si="108"/>
        <v>5</v>
      </c>
      <c r="CB719">
        <f t="shared" si="109"/>
        <v>2024</v>
      </c>
      <c r="CC719" t="str">
        <f t="shared" si="110"/>
        <v>2024-5</v>
      </c>
    </row>
    <row r="720" spans="1:81" x14ac:dyDescent="0.25">
      <c r="A720" t="s">
        <v>10</v>
      </c>
      <c r="B720" t="s">
        <v>18</v>
      </c>
      <c r="C720" t="s">
        <v>380</v>
      </c>
      <c r="D720">
        <v>98644</v>
      </c>
      <c r="E720">
        <v>7</v>
      </c>
      <c r="P720" t="s">
        <v>14</v>
      </c>
      <c r="Q720" t="s">
        <v>114</v>
      </c>
      <c r="R720">
        <v>9</v>
      </c>
      <c r="AI720" t="s">
        <v>157</v>
      </c>
      <c r="AJ720">
        <v>36650</v>
      </c>
      <c r="AL720">
        <f>COUNTIF(AI:AI,AK720)</f>
        <v>0</v>
      </c>
      <c r="AM720">
        <f>SUMIF(AI:AI,AK720,AJ:AJ)</f>
        <v>0</v>
      </c>
      <c r="AP720" t="s">
        <v>5</v>
      </c>
      <c r="AQ720" t="s">
        <v>183</v>
      </c>
      <c r="BP720" t="s">
        <v>36</v>
      </c>
      <c r="BQ720" t="s">
        <v>356</v>
      </c>
      <c r="BR720">
        <f t="shared" si="104"/>
        <v>4</v>
      </c>
      <c r="BS720">
        <f t="shared" si="105"/>
        <v>2024</v>
      </c>
      <c r="BT720">
        <v>7</v>
      </c>
      <c r="BU720" t="str">
        <f t="shared" si="106"/>
        <v>2024-4</v>
      </c>
      <c r="BV720">
        <f t="shared" si="107"/>
        <v>1</v>
      </c>
      <c r="BX720" t="s">
        <v>10</v>
      </c>
      <c r="BY720" t="s">
        <v>380</v>
      </c>
      <c r="BZ720">
        <v>98644</v>
      </c>
      <c r="CA720">
        <f t="shared" si="108"/>
        <v>5</v>
      </c>
      <c r="CB720">
        <f t="shared" si="109"/>
        <v>2024</v>
      </c>
      <c r="CC720" t="str">
        <f t="shared" si="110"/>
        <v>2024-5</v>
      </c>
    </row>
    <row r="721" spans="1:81" x14ac:dyDescent="0.25">
      <c r="A721" t="s">
        <v>27</v>
      </c>
      <c r="B721" t="s">
        <v>157</v>
      </c>
      <c r="C721" t="s">
        <v>381</v>
      </c>
      <c r="D721">
        <v>36650</v>
      </c>
      <c r="E721">
        <v>0</v>
      </c>
      <c r="P721" t="s">
        <v>17</v>
      </c>
      <c r="Q721" t="s">
        <v>116</v>
      </c>
      <c r="R721">
        <v>5</v>
      </c>
      <c r="AI721" t="s">
        <v>57</v>
      </c>
      <c r="AJ721">
        <v>41328</v>
      </c>
      <c r="AL721">
        <f>COUNTIF(AI:AI,AK721)</f>
        <v>0</v>
      </c>
      <c r="AM721">
        <f>SUMIF(AI:AI,AK721,AJ:AJ)</f>
        <v>0</v>
      </c>
      <c r="AP721" t="s">
        <v>5</v>
      </c>
      <c r="AQ721" t="s">
        <v>307</v>
      </c>
      <c r="BP721" t="s">
        <v>36</v>
      </c>
      <c r="BQ721" t="s">
        <v>360</v>
      </c>
      <c r="BR721">
        <f t="shared" si="104"/>
        <v>4</v>
      </c>
      <c r="BS721">
        <f t="shared" si="105"/>
        <v>2024</v>
      </c>
      <c r="BT721">
        <v>0</v>
      </c>
      <c r="BU721" t="str">
        <f t="shared" si="106"/>
        <v>2024-4</v>
      </c>
      <c r="BV721">
        <f t="shared" si="107"/>
        <v>0</v>
      </c>
      <c r="BX721" t="s">
        <v>27</v>
      </c>
      <c r="BY721" t="s">
        <v>381</v>
      </c>
      <c r="BZ721">
        <v>36650</v>
      </c>
      <c r="CA721">
        <f t="shared" si="108"/>
        <v>5</v>
      </c>
      <c r="CB721">
        <f t="shared" si="109"/>
        <v>2024</v>
      </c>
      <c r="CC721" t="str">
        <f t="shared" si="110"/>
        <v>2024-5</v>
      </c>
    </row>
    <row r="722" spans="1:81" x14ac:dyDescent="0.25">
      <c r="A722" t="s">
        <v>36</v>
      </c>
      <c r="B722" t="s">
        <v>57</v>
      </c>
      <c r="C722" t="s">
        <v>381</v>
      </c>
      <c r="D722">
        <v>41328</v>
      </c>
      <c r="E722">
        <v>7</v>
      </c>
      <c r="P722" t="s">
        <v>5</v>
      </c>
      <c r="Q722" t="s">
        <v>136</v>
      </c>
      <c r="R722">
        <v>7</v>
      </c>
      <c r="AI722" t="s">
        <v>158</v>
      </c>
      <c r="AJ722">
        <v>98357</v>
      </c>
      <c r="AL722">
        <f>COUNTIF(AI:AI,AK722)</f>
        <v>0</v>
      </c>
      <c r="AM722">
        <f>SUMIF(AI:AI,AK722,AJ:AJ)</f>
        <v>0</v>
      </c>
      <c r="AP722" t="s">
        <v>23</v>
      </c>
      <c r="AQ722" t="s">
        <v>127</v>
      </c>
      <c r="BP722" t="s">
        <v>36</v>
      </c>
      <c r="BQ722" t="s">
        <v>362</v>
      </c>
      <c r="BR722">
        <f t="shared" si="104"/>
        <v>4</v>
      </c>
      <c r="BS722">
        <f t="shared" si="105"/>
        <v>2024</v>
      </c>
      <c r="BT722">
        <v>7</v>
      </c>
      <c r="BU722" t="str">
        <f t="shared" si="106"/>
        <v>2024-4</v>
      </c>
      <c r="BV722">
        <f t="shared" si="107"/>
        <v>1</v>
      </c>
      <c r="BX722" t="s">
        <v>36</v>
      </c>
      <c r="BY722" t="s">
        <v>381</v>
      </c>
      <c r="BZ722">
        <v>41328</v>
      </c>
      <c r="CA722">
        <f t="shared" si="108"/>
        <v>5</v>
      </c>
      <c r="CB722">
        <f t="shared" si="109"/>
        <v>2024</v>
      </c>
      <c r="CC722" t="str">
        <f t="shared" si="110"/>
        <v>2024-5</v>
      </c>
    </row>
    <row r="723" spans="1:81" x14ac:dyDescent="0.25">
      <c r="A723" t="s">
        <v>17</v>
      </c>
      <c r="B723" t="s">
        <v>158</v>
      </c>
      <c r="C723" t="s">
        <v>381</v>
      </c>
      <c r="D723">
        <v>98357</v>
      </c>
      <c r="E723">
        <v>7</v>
      </c>
      <c r="P723" t="s">
        <v>14</v>
      </c>
      <c r="Q723" t="s">
        <v>256</v>
      </c>
      <c r="R723">
        <v>5</v>
      </c>
      <c r="AI723" t="s">
        <v>90</v>
      </c>
      <c r="AJ723">
        <v>57656</v>
      </c>
      <c r="AL723">
        <f>COUNTIF(AI:AI,AK723)</f>
        <v>0</v>
      </c>
      <c r="AM723">
        <f>SUMIF(AI:AI,AK723,AJ:AJ)</f>
        <v>0</v>
      </c>
      <c r="AP723" t="s">
        <v>36</v>
      </c>
      <c r="AQ723" t="s">
        <v>161</v>
      </c>
      <c r="BP723" t="s">
        <v>36</v>
      </c>
      <c r="BQ723" t="s">
        <v>368</v>
      </c>
      <c r="BR723">
        <f t="shared" si="104"/>
        <v>5</v>
      </c>
      <c r="BS723">
        <f t="shared" si="105"/>
        <v>2024</v>
      </c>
      <c r="BT723">
        <v>7</v>
      </c>
      <c r="BU723" t="str">
        <f t="shared" si="106"/>
        <v>2024-5</v>
      </c>
      <c r="BV723">
        <f t="shared" si="107"/>
        <v>1</v>
      </c>
      <c r="BX723" t="s">
        <v>17</v>
      </c>
      <c r="BY723" t="s">
        <v>381</v>
      </c>
      <c r="BZ723">
        <v>98357</v>
      </c>
      <c r="CA723">
        <f t="shared" si="108"/>
        <v>5</v>
      </c>
      <c r="CB723">
        <f t="shared" si="109"/>
        <v>2024</v>
      </c>
      <c r="CC723" t="str">
        <f t="shared" si="110"/>
        <v>2024-5</v>
      </c>
    </row>
    <row r="724" spans="1:81" x14ac:dyDescent="0.25">
      <c r="A724" t="s">
        <v>5</v>
      </c>
      <c r="B724" t="s">
        <v>90</v>
      </c>
      <c r="C724" t="s">
        <v>381</v>
      </c>
      <c r="D724">
        <v>57656</v>
      </c>
      <c r="E724">
        <v>6</v>
      </c>
      <c r="P724" t="s">
        <v>10</v>
      </c>
      <c r="Q724" t="s">
        <v>125</v>
      </c>
      <c r="R724">
        <v>4</v>
      </c>
      <c r="AI724" t="s">
        <v>98</v>
      </c>
      <c r="AJ724">
        <v>48172</v>
      </c>
      <c r="AL724">
        <f>COUNTIF(AI:AI,AK724)</f>
        <v>0</v>
      </c>
      <c r="AM724">
        <f>SUMIF(AI:AI,AK724,AJ:AJ)</f>
        <v>0</v>
      </c>
      <c r="AP724" t="s">
        <v>12</v>
      </c>
      <c r="AQ724" t="s">
        <v>173</v>
      </c>
      <c r="BP724" t="s">
        <v>36</v>
      </c>
      <c r="BQ724" t="s">
        <v>374</v>
      </c>
      <c r="BR724">
        <f t="shared" si="104"/>
        <v>5</v>
      </c>
      <c r="BS724">
        <f t="shared" si="105"/>
        <v>2024</v>
      </c>
      <c r="BT724">
        <v>6</v>
      </c>
      <c r="BU724" t="str">
        <f t="shared" si="106"/>
        <v>2024-5</v>
      </c>
      <c r="BV724">
        <f t="shared" si="107"/>
        <v>0</v>
      </c>
      <c r="BX724" t="s">
        <v>5</v>
      </c>
      <c r="BY724" t="s">
        <v>381</v>
      </c>
      <c r="BZ724">
        <v>57656</v>
      </c>
      <c r="CA724">
        <f t="shared" si="108"/>
        <v>5</v>
      </c>
      <c r="CB724">
        <f t="shared" si="109"/>
        <v>2024</v>
      </c>
      <c r="CC724" t="str">
        <f t="shared" si="110"/>
        <v>2024-5</v>
      </c>
    </row>
    <row r="725" spans="1:81" x14ac:dyDescent="0.25">
      <c r="A725" t="s">
        <v>23</v>
      </c>
      <c r="B725" t="s">
        <v>98</v>
      </c>
      <c r="C725" t="s">
        <v>381</v>
      </c>
      <c r="D725">
        <v>48172</v>
      </c>
      <c r="E725">
        <v>2</v>
      </c>
      <c r="P725" t="s">
        <v>17</v>
      </c>
      <c r="Q725" t="s">
        <v>296</v>
      </c>
      <c r="R725">
        <v>7</v>
      </c>
      <c r="AI725" t="s">
        <v>53</v>
      </c>
      <c r="AJ725">
        <v>65547</v>
      </c>
      <c r="AL725">
        <f>COUNTIF(AI:AI,AK725)</f>
        <v>0</v>
      </c>
      <c r="AM725">
        <f>SUMIF(AI:AI,AK725,AJ:AJ)</f>
        <v>0</v>
      </c>
      <c r="AP725" t="s">
        <v>14</v>
      </c>
      <c r="AQ725" t="s">
        <v>184</v>
      </c>
      <c r="BP725" t="s">
        <v>36</v>
      </c>
      <c r="BQ725" t="s">
        <v>376</v>
      </c>
      <c r="BR725">
        <f t="shared" si="104"/>
        <v>5</v>
      </c>
      <c r="BS725">
        <f t="shared" si="105"/>
        <v>2024</v>
      </c>
      <c r="BT725">
        <v>2</v>
      </c>
      <c r="BU725" t="str">
        <f t="shared" si="106"/>
        <v>2024-5</v>
      </c>
      <c r="BV725">
        <f t="shared" si="107"/>
        <v>0</v>
      </c>
      <c r="BX725" t="s">
        <v>23</v>
      </c>
      <c r="BY725" t="s">
        <v>381</v>
      </c>
      <c r="BZ725">
        <v>48172</v>
      </c>
      <c r="CA725">
        <f t="shared" si="108"/>
        <v>5</v>
      </c>
      <c r="CB725">
        <f t="shared" si="109"/>
        <v>2024</v>
      </c>
      <c r="CC725" t="str">
        <f t="shared" si="110"/>
        <v>2024-5</v>
      </c>
    </row>
    <row r="726" spans="1:81" x14ac:dyDescent="0.25">
      <c r="A726" t="s">
        <v>27</v>
      </c>
      <c r="B726" t="s">
        <v>53</v>
      </c>
      <c r="C726" t="s">
        <v>382</v>
      </c>
      <c r="D726">
        <v>65547</v>
      </c>
      <c r="E726">
        <v>2</v>
      </c>
      <c r="P726" t="s">
        <v>33</v>
      </c>
      <c r="Q726" t="s">
        <v>263</v>
      </c>
      <c r="R726">
        <v>9</v>
      </c>
      <c r="AI726" t="s">
        <v>173</v>
      </c>
      <c r="AJ726">
        <v>95726</v>
      </c>
      <c r="AL726">
        <f>COUNTIF(AI:AI,AK726)</f>
        <v>0</v>
      </c>
      <c r="AM726">
        <f>SUMIF(AI:AI,AK726,AJ:AJ)</f>
        <v>0</v>
      </c>
      <c r="AP726" t="s">
        <v>17</v>
      </c>
      <c r="AQ726" t="s">
        <v>104</v>
      </c>
      <c r="BP726" t="s">
        <v>36</v>
      </c>
      <c r="BQ726" t="s">
        <v>378</v>
      </c>
      <c r="BR726">
        <f t="shared" si="104"/>
        <v>5</v>
      </c>
      <c r="BS726">
        <f t="shared" si="105"/>
        <v>2024</v>
      </c>
      <c r="BT726">
        <v>2</v>
      </c>
      <c r="BU726" t="str">
        <f t="shared" si="106"/>
        <v>2024-5</v>
      </c>
      <c r="BV726">
        <f t="shared" si="107"/>
        <v>0</v>
      </c>
      <c r="BX726" t="s">
        <v>27</v>
      </c>
      <c r="BY726" t="s">
        <v>382</v>
      </c>
      <c r="BZ726">
        <v>65547</v>
      </c>
      <c r="CA726">
        <f t="shared" si="108"/>
        <v>5</v>
      </c>
      <c r="CB726">
        <f t="shared" si="109"/>
        <v>2024</v>
      </c>
      <c r="CC726" t="str">
        <f t="shared" si="110"/>
        <v>2024-5</v>
      </c>
    </row>
    <row r="727" spans="1:81" x14ac:dyDescent="0.25">
      <c r="A727" t="s">
        <v>8</v>
      </c>
      <c r="B727" t="s">
        <v>173</v>
      </c>
      <c r="C727" t="s">
        <v>382</v>
      </c>
      <c r="D727">
        <v>95726</v>
      </c>
      <c r="E727">
        <v>9</v>
      </c>
      <c r="P727" t="s">
        <v>23</v>
      </c>
      <c r="Q727" t="s">
        <v>183</v>
      </c>
      <c r="R727">
        <v>10</v>
      </c>
      <c r="AI727" t="s">
        <v>241</v>
      </c>
      <c r="AJ727">
        <v>70059</v>
      </c>
      <c r="AL727">
        <f>COUNTIF(AI:AI,AK727)</f>
        <v>0</v>
      </c>
      <c r="AM727">
        <f>SUMIF(AI:AI,AK727,AJ:AJ)</f>
        <v>0</v>
      </c>
      <c r="AP727" t="s">
        <v>17</v>
      </c>
      <c r="AQ727" t="s">
        <v>216</v>
      </c>
      <c r="BP727" t="s">
        <v>36</v>
      </c>
      <c r="BQ727" t="s">
        <v>381</v>
      </c>
      <c r="BR727">
        <f t="shared" ref="BR727:BR790" si="111">MONTH(BQ727)</f>
        <v>5</v>
      </c>
      <c r="BS727">
        <f t="shared" si="105"/>
        <v>2024</v>
      </c>
      <c r="BT727">
        <v>9</v>
      </c>
      <c r="BU727" t="str">
        <f t="shared" si="106"/>
        <v>2024-5</v>
      </c>
      <c r="BV727">
        <f t="shared" si="107"/>
        <v>2</v>
      </c>
      <c r="BX727" t="s">
        <v>8</v>
      </c>
      <c r="BY727" t="s">
        <v>382</v>
      </c>
      <c r="BZ727">
        <v>95726</v>
      </c>
      <c r="CA727">
        <f t="shared" si="108"/>
        <v>5</v>
      </c>
      <c r="CB727">
        <f t="shared" si="109"/>
        <v>2024</v>
      </c>
      <c r="CC727" t="str">
        <f t="shared" si="110"/>
        <v>2024-5</v>
      </c>
    </row>
    <row r="728" spans="1:81" x14ac:dyDescent="0.25">
      <c r="A728" t="s">
        <v>10</v>
      </c>
      <c r="B728" t="s">
        <v>241</v>
      </c>
      <c r="C728" t="s">
        <v>383</v>
      </c>
      <c r="D728">
        <v>70059</v>
      </c>
      <c r="E728">
        <v>4</v>
      </c>
      <c r="P728" t="s">
        <v>12</v>
      </c>
      <c r="Q728" t="s">
        <v>9</v>
      </c>
      <c r="R728">
        <v>7</v>
      </c>
      <c r="AI728" t="s">
        <v>384</v>
      </c>
      <c r="AJ728">
        <v>46574</v>
      </c>
      <c r="AL728">
        <f>COUNTIF(AI:AI,AK728)</f>
        <v>0</v>
      </c>
      <c r="AM728">
        <f>SUMIF(AI:AI,AK728,AJ:AJ)</f>
        <v>0</v>
      </c>
      <c r="AP728" t="s">
        <v>8</v>
      </c>
      <c r="AQ728" t="s">
        <v>233</v>
      </c>
      <c r="BP728" t="s">
        <v>36</v>
      </c>
      <c r="BQ728" t="s">
        <v>391</v>
      </c>
      <c r="BR728">
        <f t="shared" si="111"/>
        <v>6</v>
      </c>
      <c r="BS728">
        <f t="shared" si="105"/>
        <v>2024</v>
      </c>
      <c r="BT728">
        <v>4</v>
      </c>
      <c r="BU728" t="str">
        <f t="shared" si="106"/>
        <v>2024-6</v>
      </c>
      <c r="BV728">
        <f t="shared" si="107"/>
        <v>0</v>
      </c>
      <c r="BX728" t="s">
        <v>10</v>
      </c>
      <c r="BY728" t="s">
        <v>383</v>
      </c>
      <c r="BZ728">
        <v>70059</v>
      </c>
      <c r="CA728">
        <f t="shared" si="108"/>
        <v>5</v>
      </c>
      <c r="CB728">
        <f t="shared" si="109"/>
        <v>2024</v>
      </c>
      <c r="CC728" t="str">
        <f t="shared" si="110"/>
        <v>2024-5</v>
      </c>
    </row>
    <row r="729" spans="1:81" x14ac:dyDescent="0.25">
      <c r="A729" t="s">
        <v>14</v>
      </c>
      <c r="B729" t="s">
        <v>384</v>
      </c>
      <c r="C729" t="s">
        <v>383</v>
      </c>
      <c r="D729">
        <v>46574</v>
      </c>
      <c r="E729">
        <v>7</v>
      </c>
      <c r="P729" t="s">
        <v>33</v>
      </c>
      <c r="Q729" t="s">
        <v>11</v>
      </c>
      <c r="R729">
        <v>10</v>
      </c>
      <c r="AI729" t="s">
        <v>11</v>
      </c>
      <c r="AJ729">
        <v>88134</v>
      </c>
      <c r="AL729">
        <f>COUNTIF(AI:AI,AK729)</f>
        <v>0</v>
      </c>
      <c r="AM729">
        <f>SUMIF(AI:AI,AK729,AJ:AJ)</f>
        <v>0</v>
      </c>
      <c r="AP729" t="s">
        <v>5</v>
      </c>
      <c r="AQ729" t="s">
        <v>266</v>
      </c>
      <c r="BP729" t="s">
        <v>36</v>
      </c>
      <c r="BQ729" t="s">
        <v>400</v>
      </c>
      <c r="BR729">
        <f t="shared" si="111"/>
        <v>6</v>
      </c>
      <c r="BS729">
        <f t="shared" si="105"/>
        <v>2024</v>
      </c>
      <c r="BT729">
        <v>7</v>
      </c>
      <c r="BU729" t="str">
        <f t="shared" si="106"/>
        <v>2024-6</v>
      </c>
      <c r="BV729">
        <f t="shared" si="107"/>
        <v>1</v>
      </c>
      <c r="BX729" t="s">
        <v>14</v>
      </c>
      <c r="BY729" t="s">
        <v>383</v>
      </c>
      <c r="BZ729">
        <v>46574</v>
      </c>
      <c r="CA729">
        <f t="shared" si="108"/>
        <v>5</v>
      </c>
      <c r="CB729">
        <f t="shared" si="109"/>
        <v>2024</v>
      </c>
      <c r="CC729" t="str">
        <f t="shared" si="110"/>
        <v>2024-5</v>
      </c>
    </row>
    <row r="730" spans="1:81" x14ac:dyDescent="0.25">
      <c r="A730" t="s">
        <v>20</v>
      </c>
      <c r="B730" t="s">
        <v>11</v>
      </c>
      <c r="C730" t="s">
        <v>383</v>
      </c>
      <c r="D730">
        <v>88134</v>
      </c>
      <c r="E730">
        <v>3</v>
      </c>
      <c r="P730" t="s">
        <v>20</v>
      </c>
      <c r="Q730" t="s">
        <v>53</v>
      </c>
      <c r="R730">
        <v>5</v>
      </c>
      <c r="AI730" t="s">
        <v>133</v>
      </c>
      <c r="AJ730">
        <v>49172</v>
      </c>
      <c r="AL730">
        <f>COUNTIF(AI:AI,AK730)</f>
        <v>0</v>
      </c>
      <c r="AM730">
        <f>SUMIF(AI:AI,AK730,AJ:AJ)</f>
        <v>0</v>
      </c>
      <c r="AP730" t="s">
        <v>33</v>
      </c>
      <c r="AQ730" t="s">
        <v>242</v>
      </c>
      <c r="BP730" t="s">
        <v>36</v>
      </c>
      <c r="BQ730" t="s">
        <v>401</v>
      </c>
      <c r="BR730">
        <f t="shared" si="111"/>
        <v>6</v>
      </c>
      <c r="BS730">
        <f t="shared" si="105"/>
        <v>2024</v>
      </c>
      <c r="BT730">
        <v>3</v>
      </c>
      <c r="BU730" t="str">
        <f t="shared" si="106"/>
        <v>2024-6</v>
      </c>
      <c r="BV730">
        <f t="shared" si="107"/>
        <v>0</v>
      </c>
      <c r="BX730" t="s">
        <v>20</v>
      </c>
      <c r="BY730" t="s">
        <v>383</v>
      </c>
      <c r="BZ730">
        <v>88134</v>
      </c>
      <c r="CA730">
        <f t="shared" si="108"/>
        <v>5</v>
      </c>
      <c r="CB730">
        <f t="shared" si="109"/>
        <v>2024</v>
      </c>
      <c r="CC730" t="str">
        <f t="shared" si="110"/>
        <v>2024-5</v>
      </c>
    </row>
    <row r="731" spans="1:81" x14ac:dyDescent="0.25">
      <c r="A731" t="s">
        <v>33</v>
      </c>
      <c r="B731" t="s">
        <v>133</v>
      </c>
      <c r="C731" t="s">
        <v>383</v>
      </c>
      <c r="D731">
        <v>49172</v>
      </c>
      <c r="E731">
        <v>5</v>
      </c>
      <c r="P731" t="s">
        <v>17</v>
      </c>
      <c r="Q731" t="s">
        <v>114</v>
      </c>
      <c r="R731">
        <v>5</v>
      </c>
      <c r="AI731" t="s">
        <v>216</v>
      </c>
      <c r="AJ731">
        <v>30601</v>
      </c>
      <c r="AL731">
        <f>COUNTIF(AI:AI,AK731)</f>
        <v>0</v>
      </c>
      <c r="AM731">
        <f>SUMIF(AI:AI,AK731,AJ:AJ)</f>
        <v>0</v>
      </c>
      <c r="AP731" t="s">
        <v>8</v>
      </c>
      <c r="AQ731" t="s">
        <v>396</v>
      </c>
      <c r="BP731" t="s">
        <v>36</v>
      </c>
      <c r="BQ731" t="s">
        <v>404</v>
      </c>
      <c r="BR731">
        <f t="shared" si="111"/>
        <v>6</v>
      </c>
      <c r="BS731">
        <f t="shared" si="105"/>
        <v>2024</v>
      </c>
      <c r="BT731">
        <v>5</v>
      </c>
      <c r="BU731" t="str">
        <f t="shared" si="106"/>
        <v>2024-6</v>
      </c>
      <c r="BV731">
        <f t="shared" si="107"/>
        <v>0</v>
      </c>
      <c r="BX731" t="s">
        <v>33</v>
      </c>
      <c r="BY731" t="s">
        <v>383</v>
      </c>
      <c r="BZ731">
        <v>49172</v>
      </c>
      <c r="CA731">
        <f t="shared" si="108"/>
        <v>5</v>
      </c>
      <c r="CB731">
        <f t="shared" si="109"/>
        <v>2024</v>
      </c>
      <c r="CC731" t="str">
        <f t="shared" si="110"/>
        <v>2024-5</v>
      </c>
    </row>
    <row r="732" spans="1:81" x14ac:dyDescent="0.25">
      <c r="A732" t="s">
        <v>8</v>
      </c>
      <c r="B732" t="s">
        <v>216</v>
      </c>
      <c r="C732" t="s">
        <v>383</v>
      </c>
      <c r="D732">
        <v>30601</v>
      </c>
      <c r="E732">
        <v>7</v>
      </c>
      <c r="P732" t="s">
        <v>14</v>
      </c>
      <c r="Q732" t="s">
        <v>81</v>
      </c>
      <c r="R732">
        <v>6</v>
      </c>
      <c r="AI732" t="s">
        <v>42</v>
      </c>
      <c r="AJ732">
        <v>84838</v>
      </c>
      <c r="AL732">
        <f>COUNTIF(AI:AI,AK732)</f>
        <v>0</v>
      </c>
      <c r="AM732">
        <f>SUMIF(AI:AI,AK732,AJ:AJ)</f>
        <v>0</v>
      </c>
      <c r="AP732" t="s">
        <v>27</v>
      </c>
      <c r="AQ732" t="s">
        <v>22</v>
      </c>
      <c r="BP732" t="s">
        <v>36</v>
      </c>
      <c r="BQ732" t="s">
        <v>407</v>
      </c>
      <c r="BR732">
        <f t="shared" si="111"/>
        <v>6</v>
      </c>
      <c r="BS732">
        <f t="shared" si="105"/>
        <v>2024</v>
      </c>
      <c r="BT732">
        <v>7</v>
      </c>
      <c r="BU732" t="str">
        <f t="shared" si="106"/>
        <v>2024-6</v>
      </c>
      <c r="BV732">
        <f t="shared" si="107"/>
        <v>1</v>
      </c>
      <c r="BX732" t="s">
        <v>8</v>
      </c>
      <c r="BY732" t="s">
        <v>383</v>
      </c>
      <c r="BZ732">
        <v>30601</v>
      </c>
      <c r="CA732">
        <f t="shared" si="108"/>
        <v>5</v>
      </c>
      <c r="CB732">
        <f t="shared" si="109"/>
        <v>2024</v>
      </c>
      <c r="CC732" t="str">
        <f t="shared" si="110"/>
        <v>2024-5</v>
      </c>
    </row>
    <row r="733" spans="1:81" x14ac:dyDescent="0.25">
      <c r="A733" t="s">
        <v>23</v>
      </c>
      <c r="B733" t="s">
        <v>42</v>
      </c>
      <c r="C733" t="s">
        <v>383</v>
      </c>
      <c r="D733">
        <v>84838</v>
      </c>
      <c r="E733">
        <v>10</v>
      </c>
      <c r="P733" t="s">
        <v>8</v>
      </c>
      <c r="Q733" t="s">
        <v>72</v>
      </c>
      <c r="R733">
        <v>7</v>
      </c>
      <c r="AI733" t="s">
        <v>274</v>
      </c>
      <c r="AJ733">
        <v>62649</v>
      </c>
      <c r="AL733">
        <f>COUNTIF(AI:AI,AK733)</f>
        <v>0</v>
      </c>
      <c r="AM733">
        <f>SUMIF(AI:AI,AK733,AJ:AJ)</f>
        <v>0</v>
      </c>
      <c r="AP733" t="s">
        <v>8</v>
      </c>
      <c r="AQ733" t="s">
        <v>259</v>
      </c>
      <c r="BP733" t="s">
        <v>36</v>
      </c>
      <c r="BQ733" t="s">
        <v>408</v>
      </c>
      <c r="BR733">
        <f t="shared" si="111"/>
        <v>6</v>
      </c>
      <c r="BS733">
        <f t="shared" si="105"/>
        <v>2024</v>
      </c>
      <c r="BT733">
        <v>10</v>
      </c>
      <c r="BU733" t="str">
        <f t="shared" si="106"/>
        <v>2024-6</v>
      </c>
      <c r="BV733">
        <f t="shared" si="107"/>
        <v>2</v>
      </c>
      <c r="BX733" t="s">
        <v>23</v>
      </c>
      <c r="BY733" t="s">
        <v>383</v>
      </c>
      <c r="BZ733">
        <v>84838</v>
      </c>
      <c r="CA733">
        <f t="shared" si="108"/>
        <v>5</v>
      </c>
      <c r="CB733">
        <f t="shared" si="109"/>
        <v>2024</v>
      </c>
      <c r="CC733" t="str">
        <f t="shared" si="110"/>
        <v>2024-5</v>
      </c>
    </row>
    <row r="734" spans="1:81" x14ac:dyDescent="0.25">
      <c r="A734" t="s">
        <v>12</v>
      </c>
      <c r="B734" t="s">
        <v>274</v>
      </c>
      <c r="C734" t="s">
        <v>383</v>
      </c>
      <c r="D734">
        <v>62649</v>
      </c>
      <c r="E734">
        <v>5</v>
      </c>
      <c r="P734" t="s">
        <v>20</v>
      </c>
      <c r="Q734" t="s">
        <v>319</v>
      </c>
      <c r="R734">
        <v>10</v>
      </c>
      <c r="AI734" t="s">
        <v>112</v>
      </c>
      <c r="AJ734">
        <v>84845</v>
      </c>
      <c r="AL734">
        <f>COUNTIF(AI:AI,AK734)</f>
        <v>0</v>
      </c>
      <c r="AM734">
        <f>SUMIF(AI:AI,AK734,AJ:AJ)</f>
        <v>0</v>
      </c>
      <c r="AP734" t="s">
        <v>27</v>
      </c>
      <c r="AQ734" t="s">
        <v>45</v>
      </c>
      <c r="BP734" t="s">
        <v>36</v>
      </c>
      <c r="BQ734" t="s">
        <v>410</v>
      </c>
      <c r="BR734">
        <f t="shared" si="111"/>
        <v>7</v>
      </c>
      <c r="BS734">
        <f t="shared" si="105"/>
        <v>2024</v>
      </c>
      <c r="BT734">
        <v>5</v>
      </c>
      <c r="BU734" t="str">
        <f t="shared" si="106"/>
        <v>2024-7</v>
      </c>
      <c r="BV734">
        <f t="shared" si="107"/>
        <v>0</v>
      </c>
      <c r="BX734" t="s">
        <v>12</v>
      </c>
      <c r="BY734" t="s">
        <v>383</v>
      </c>
      <c r="BZ734">
        <v>62649</v>
      </c>
      <c r="CA734">
        <f t="shared" si="108"/>
        <v>5</v>
      </c>
      <c r="CB734">
        <f t="shared" si="109"/>
        <v>2024</v>
      </c>
      <c r="CC734" t="str">
        <f t="shared" si="110"/>
        <v>2024-5</v>
      </c>
    </row>
    <row r="735" spans="1:81" x14ac:dyDescent="0.25">
      <c r="A735" t="s">
        <v>17</v>
      </c>
      <c r="B735" t="s">
        <v>112</v>
      </c>
      <c r="C735" t="s">
        <v>383</v>
      </c>
      <c r="D735">
        <v>84845</v>
      </c>
      <c r="E735">
        <v>4</v>
      </c>
      <c r="P735" t="s">
        <v>33</v>
      </c>
      <c r="Q735" t="s">
        <v>174</v>
      </c>
      <c r="R735">
        <v>4</v>
      </c>
      <c r="AI735" t="s">
        <v>173</v>
      </c>
      <c r="AJ735">
        <v>96047</v>
      </c>
      <c r="AL735">
        <f>COUNTIF(AI:AI,AK735)</f>
        <v>0</v>
      </c>
      <c r="AM735">
        <f>SUMIF(AI:AI,AK735,AJ:AJ)</f>
        <v>0</v>
      </c>
      <c r="AP735" t="s">
        <v>8</v>
      </c>
      <c r="AQ735" t="s">
        <v>65</v>
      </c>
      <c r="BP735" t="s">
        <v>36</v>
      </c>
      <c r="BQ735" t="s">
        <v>414</v>
      </c>
      <c r="BR735">
        <f t="shared" si="111"/>
        <v>7</v>
      </c>
      <c r="BS735">
        <f t="shared" si="105"/>
        <v>2024</v>
      </c>
      <c r="BT735">
        <v>4</v>
      </c>
      <c r="BU735" t="str">
        <f t="shared" si="106"/>
        <v>2024-7</v>
      </c>
      <c r="BV735">
        <f t="shared" si="107"/>
        <v>0</v>
      </c>
      <c r="BX735" t="s">
        <v>17</v>
      </c>
      <c r="BY735" t="s">
        <v>383</v>
      </c>
      <c r="BZ735">
        <v>84845</v>
      </c>
      <c r="CA735">
        <f t="shared" si="108"/>
        <v>5</v>
      </c>
      <c r="CB735">
        <f t="shared" si="109"/>
        <v>2024</v>
      </c>
      <c r="CC735" t="str">
        <f t="shared" si="110"/>
        <v>2024-5</v>
      </c>
    </row>
    <row r="736" spans="1:81" x14ac:dyDescent="0.25">
      <c r="A736" t="s">
        <v>27</v>
      </c>
      <c r="B736" t="s">
        <v>173</v>
      </c>
      <c r="C736" t="s">
        <v>383</v>
      </c>
      <c r="D736">
        <v>96047</v>
      </c>
      <c r="E736">
        <v>4</v>
      </c>
      <c r="P736" t="s">
        <v>12</v>
      </c>
      <c r="Q736" t="s">
        <v>41</v>
      </c>
      <c r="R736">
        <v>2</v>
      </c>
      <c r="AI736" t="s">
        <v>13</v>
      </c>
      <c r="AJ736">
        <v>45400</v>
      </c>
      <c r="AL736">
        <f>COUNTIF(AI:AI,AK736)</f>
        <v>0</v>
      </c>
      <c r="AM736">
        <f>SUMIF(AI:AI,AK736,AJ:AJ)</f>
        <v>0</v>
      </c>
      <c r="AP736" t="s">
        <v>5</v>
      </c>
      <c r="AQ736" t="s">
        <v>18</v>
      </c>
      <c r="BP736" t="s">
        <v>36</v>
      </c>
      <c r="BQ736" t="s">
        <v>419</v>
      </c>
      <c r="BR736">
        <f t="shared" si="111"/>
        <v>7</v>
      </c>
      <c r="BS736">
        <f t="shared" si="105"/>
        <v>2024</v>
      </c>
      <c r="BT736">
        <v>4</v>
      </c>
      <c r="BU736" t="str">
        <f t="shared" si="106"/>
        <v>2024-7</v>
      </c>
      <c r="BV736">
        <f t="shared" si="107"/>
        <v>0</v>
      </c>
      <c r="BX736" t="s">
        <v>27</v>
      </c>
      <c r="BY736" t="s">
        <v>383</v>
      </c>
      <c r="BZ736">
        <v>96047</v>
      </c>
      <c r="CA736">
        <f t="shared" si="108"/>
        <v>5</v>
      </c>
      <c r="CB736">
        <f t="shared" si="109"/>
        <v>2024</v>
      </c>
      <c r="CC736" t="str">
        <f t="shared" si="110"/>
        <v>2024-5</v>
      </c>
    </row>
    <row r="737" spans="1:81" x14ac:dyDescent="0.25">
      <c r="A737" t="s">
        <v>32</v>
      </c>
      <c r="B737" t="s">
        <v>13</v>
      </c>
      <c r="C737" t="s">
        <v>383</v>
      </c>
      <c r="D737">
        <v>45400</v>
      </c>
      <c r="E737">
        <v>8</v>
      </c>
      <c r="P737" t="s">
        <v>12</v>
      </c>
      <c r="Q737" t="s">
        <v>29</v>
      </c>
      <c r="R737">
        <v>8</v>
      </c>
      <c r="AI737" t="s">
        <v>114</v>
      </c>
      <c r="AJ737">
        <v>87842</v>
      </c>
      <c r="AL737">
        <f>COUNTIF(AI:AI,AK737)</f>
        <v>0</v>
      </c>
      <c r="AM737">
        <f>SUMIF(AI:AI,AK737,AJ:AJ)</f>
        <v>0</v>
      </c>
      <c r="AP737" t="s">
        <v>23</v>
      </c>
      <c r="AQ737" t="s">
        <v>70</v>
      </c>
      <c r="BP737" t="s">
        <v>36</v>
      </c>
      <c r="BQ737" t="s">
        <v>426</v>
      </c>
      <c r="BR737">
        <f t="shared" si="111"/>
        <v>7</v>
      </c>
      <c r="BS737">
        <f t="shared" si="105"/>
        <v>2024</v>
      </c>
      <c r="BT737">
        <v>8</v>
      </c>
      <c r="BU737" t="str">
        <f t="shared" si="106"/>
        <v>2024-7</v>
      </c>
      <c r="BV737">
        <f t="shared" si="107"/>
        <v>1</v>
      </c>
      <c r="BX737" t="s">
        <v>32</v>
      </c>
      <c r="BY737" t="s">
        <v>383</v>
      </c>
      <c r="BZ737">
        <v>45400</v>
      </c>
      <c r="CA737">
        <f t="shared" si="108"/>
        <v>5</v>
      </c>
      <c r="CB737">
        <f t="shared" si="109"/>
        <v>2024</v>
      </c>
      <c r="CC737" t="str">
        <f t="shared" si="110"/>
        <v>2024-5</v>
      </c>
    </row>
    <row r="738" spans="1:81" x14ac:dyDescent="0.25">
      <c r="A738" t="s">
        <v>14</v>
      </c>
      <c r="B738" t="s">
        <v>114</v>
      </c>
      <c r="C738" t="s">
        <v>385</v>
      </c>
      <c r="D738">
        <v>87842</v>
      </c>
      <c r="E738">
        <v>9</v>
      </c>
      <c r="P738" t="s">
        <v>10</v>
      </c>
      <c r="Q738" t="s">
        <v>215</v>
      </c>
      <c r="R738">
        <v>6</v>
      </c>
      <c r="AI738" t="s">
        <v>116</v>
      </c>
      <c r="AJ738">
        <v>65887</v>
      </c>
      <c r="AL738">
        <f>COUNTIF(AI:AI,AK738)</f>
        <v>0</v>
      </c>
      <c r="AM738">
        <f>SUMIF(AI:AI,AK738,AJ:AJ)</f>
        <v>0</v>
      </c>
      <c r="AP738" t="s">
        <v>20</v>
      </c>
      <c r="AQ738" t="s">
        <v>222</v>
      </c>
      <c r="BP738" t="s">
        <v>36</v>
      </c>
      <c r="BQ738" t="s">
        <v>427</v>
      </c>
      <c r="BR738">
        <f t="shared" si="111"/>
        <v>7</v>
      </c>
      <c r="BS738">
        <f t="shared" si="105"/>
        <v>2024</v>
      </c>
      <c r="BT738">
        <v>9</v>
      </c>
      <c r="BU738" t="str">
        <f t="shared" si="106"/>
        <v>2024-7</v>
      </c>
      <c r="BV738">
        <f t="shared" si="107"/>
        <v>2</v>
      </c>
      <c r="BX738" t="s">
        <v>14</v>
      </c>
      <c r="BY738" t="s">
        <v>385</v>
      </c>
      <c r="BZ738">
        <v>87842</v>
      </c>
      <c r="CA738">
        <f t="shared" si="108"/>
        <v>5</v>
      </c>
      <c r="CB738">
        <f t="shared" si="109"/>
        <v>2024</v>
      </c>
      <c r="CC738" t="str">
        <f t="shared" si="110"/>
        <v>2024-5</v>
      </c>
    </row>
    <row r="739" spans="1:81" x14ac:dyDescent="0.25">
      <c r="A739" t="s">
        <v>17</v>
      </c>
      <c r="B739" t="s">
        <v>116</v>
      </c>
      <c r="C739" t="s">
        <v>385</v>
      </c>
      <c r="D739">
        <v>65887</v>
      </c>
      <c r="E739">
        <v>5</v>
      </c>
      <c r="P739" t="s">
        <v>8</v>
      </c>
      <c r="Q739" t="s">
        <v>143</v>
      </c>
      <c r="R739">
        <v>5</v>
      </c>
      <c r="AI739" t="s">
        <v>136</v>
      </c>
      <c r="AJ739">
        <v>40830</v>
      </c>
      <c r="AL739">
        <f>COUNTIF(AI:AI,AK739)</f>
        <v>0</v>
      </c>
      <c r="AM739">
        <f>SUMIF(AI:AI,AK739,AJ:AJ)</f>
        <v>0</v>
      </c>
      <c r="AP739" t="s">
        <v>14</v>
      </c>
      <c r="AQ739" t="s">
        <v>28</v>
      </c>
      <c r="BP739" t="s">
        <v>36</v>
      </c>
      <c r="BQ739" t="s">
        <v>428</v>
      </c>
      <c r="BR739">
        <f t="shared" si="111"/>
        <v>7</v>
      </c>
      <c r="BS739">
        <f t="shared" si="105"/>
        <v>2024</v>
      </c>
      <c r="BT739">
        <v>5</v>
      </c>
      <c r="BU739" t="str">
        <f t="shared" si="106"/>
        <v>2024-7</v>
      </c>
      <c r="BV739">
        <f t="shared" si="107"/>
        <v>0</v>
      </c>
      <c r="BX739" t="s">
        <v>17</v>
      </c>
      <c r="BY739" t="s">
        <v>385</v>
      </c>
      <c r="BZ739">
        <v>65887</v>
      </c>
      <c r="CA739">
        <f t="shared" si="108"/>
        <v>5</v>
      </c>
      <c r="CB739">
        <f t="shared" si="109"/>
        <v>2024</v>
      </c>
      <c r="CC739" t="str">
        <f t="shared" si="110"/>
        <v>2024-5</v>
      </c>
    </row>
    <row r="740" spans="1:81" x14ac:dyDescent="0.25">
      <c r="A740" t="s">
        <v>5</v>
      </c>
      <c r="B740" t="s">
        <v>136</v>
      </c>
      <c r="C740" t="s">
        <v>385</v>
      </c>
      <c r="D740">
        <v>40830</v>
      </c>
      <c r="E740">
        <v>7</v>
      </c>
      <c r="P740" t="s">
        <v>33</v>
      </c>
      <c r="Q740" t="s">
        <v>21</v>
      </c>
      <c r="R740">
        <v>5</v>
      </c>
      <c r="AI740" t="s">
        <v>256</v>
      </c>
      <c r="AJ740">
        <v>45301</v>
      </c>
      <c r="AL740">
        <f>COUNTIF(AI:AI,AK740)</f>
        <v>0</v>
      </c>
      <c r="AM740">
        <f>SUMIF(AI:AI,AK740,AJ:AJ)</f>
        <v>0</v>
      </c>
      <c r="AP740" t="s">
        <v>5</v>
      </c>
      <c r="AQ740" t="s">
        <v>327</v>
      </c>
      <c r="BP740" t="s">
        <v>36</v>
      </c>
      <c r="BQ740" t="s">
        <v>433</v>
      </c>
      <c r="BR740">
        <f t="shared" si="111"/>
        <v>8</v>
      </c>
      <c r="BS740">
        <f t="shared" si="105"/>
        <v>2024</v>
      </c>
      <c r="BT740">
        <v>7</v>
      </c>
      <c r="BU740" t="str">
        <f t="shared" si="106"/>
        <v>2024-8</v>
      </c>
      <c r="BV740">
        <f t="shared" si="107"/>
        <v>1</v>
      </c>
      <c r="BX740" t="s">
        <v>5</v>
      </c>
      <c r="BY740" t="s">
        <v>385</v>
      </c>
      <c r="BZ740">
        <v>40830</v>
      </c>
      <c r="CA740">
        <f t="shared" si="108"/>
        <v>5</v>
      </c>
      <c r="CB740">
        <f t="shared" si="109"/>
        <v>2024</v>
      </c>
      <c r="CC740" t="str">
        <f t="shared" si="110"/>
        <v>2024-5</v>
      </c>
    </row>
    <row r="741" spans="1:81" x14ac:dyDescent="0.25">
      <c r="A741" t="s">
        <v>14</v>
      </c>
      <c r="B741" t="s">
        <v>256</v>
      </c>
      <c r="C741" t="s">
        <v>386</v>
      </c>
      <c r="D741">
        <v>45301</v>
      </c>
      <c r="E741">
        <v>5</v>
      </c>
      <c r="P741" t="s">
        <v>5</v>
      </c>
      <c r="Q741" t="s">
        <v>158</v>
      </c>
      <c r="R741">
        <v>2</v>
      </c>
      <c r="AI741" t="s">
        <v>125</v>
      </c>
      <c r="AJ741">
        <v>71179</v>
      </c>
      <c r="AL741">
        <f>COUNTIF(AI:AI,AK741)</f>
        <v>0</v>
      </c>
      <c r="AM741">
        <f>SUMIF(AI:AI,AK741,AJ:AJ)</f>
        <v>0</v>
      </c>
      <c r="AP741" t="s">
        <v>10</v>
      </c>
      <c r="AQ741" t="s">
        <v>143</v>
      </c>
      <c r="BP741" t="s">
        <v>36</v>
      </c>
      <c r="BQ741" t="s">
        <v>436</v>
      </c>
      <c r="BR741">
        <f t="shared" si="111"/>
        <v>8</v>
      </c>
      <c r="BS741">
        <f t="shared" si="105"/>
        <v>2024</v>
      </c>
      <c r="BT741">
        <v>5</v>
      </c>
      <c r="BU741" t="str">
        <f t="shared" si="106"/>
        <v>2024-8</v>
      </c>
      <c r="BV741">
        <f t="shared" si="107"/>
        <v>0</v>
      </c>
      <c r="BX741" t="s">
        <v>14</v>
      </c>
      <c r="BY741" t="s">
        <v>386</v>
      </c>
      <c r="BZ741">
        <v>45301</v>
      </c>
      <c r="CA741">
        <f t="shared" si="108"/>
        <v>5</v>
      </c>
      <c r="CB741">
        <f t="shared" si="109"/>
        <v>2024</v>
      </c>
      <c r="CC741" t="str">
        <f t="shared" si="110"/>
        <v>2024-5</v>
      </c>
    </row>
    <row r="742" spans="1:81" x14ac:dyDescent="0.25">
      <c r="A742" t="s">
        <v>10</v>
      </c>
      <c r="B742" t="s">
        <v>125</v>
      </c>
      <c r="C742" t="s">
        <v>386</v>
      </c>
      <c r="D742">
        <v>71179</v>
      </c>
      <c r="E742">
        <v>4</v>
      </c>
      <c r="P742" t="s">
        <v>8</v>
      </c>
      <c r="Q742" t="s">
        <v>29</v>
      </c>
      <c r="R742">
        <v>4</v>
      </c>
      <c r="AI742" t="s">
        <v>296</v>
      </c>
      <c r="AJ742">
        <v>22991</v>
      </c>
      <c r="AL742">
        <f>COUNTIF(AI:AI,AK742)</f>
        <v>0</v>
      </c>
      <c r="AM742">
        <f>SUMIF(AI:AI,AK742,AJ:AJ)</f>
        <v>0</v>
      </c>
      <c r="AP742" t="s">
        <v>36</v>
      </c>
      <c r="AQ742" t="s">
        <v>45</v>
      </c>
      <c r="BP742" t="s">
        <v>36</v>
      </c>
      <c r="BQ742" t="s">
        <v>443</v>
      </c>
      <c r="BR742">
        <f t="shared" si="111"/>
        <v>8</v>
      </c>
      <c r="BS742">
        <f t="shared" si="105"/>
        <v>2024</v>
      </c>
      <c r="BT742">
        <v>4</v>
      </c>
      <c r="BU742" t="str">
        <f t="shared" si="106"/>
        <v>2024-8</v>
      </c>
      <c r="BV742">
        <f t="shared" si="107"/>
        <v>0</v>
      </c>
      <c r="BX742" t="s">
        <v>10</v>
      </c>
      <c r="BY742" t="s">
        <v>386</v>
      </c>
      <c r="BZ742">
        <v>71179</v>
      </c>
      <c r="CA742">
        <f t="shared" si="108"/>
        <v>5</v>
      </c>
      <c r="CB742">
        <f t="shared" si="109"/>
        <v>2024</v>
      </c>
      <c r="CC742" t="str">
        <f t="shared" si="110"/>
        <v>2024-5</v>
      </c>
    </row>
    <row r="743" spans="1:81" x14ac:dyDescent="0.25">
      <c r="A743" t="s">
        <v>17</v>
      </c>
      <c r="B743" t="s">
        <v>296</v>
      </c>
      <c r="C743" t="s">
        <v>387</v>
      </c>
      <c r="D743">
        <v>22991</v>
      </c>
      <c r="E743">
        <v>7</v>
      </c>
      <c r="P743" t="s">
        <v>32</v>
      </c>
      <c r="Q743" t="s">
        <v>26</v>
      </c>
      <c r="R743">
        <v>6</v>
      </c>
      <c r="AI743" t="s">
        <v>263</v>
      </c>
      <c r="AJ743">
        <v>23211</v>
      </c>
      <c r="AL743">
        <f>COUNTIF(AI:AI,AK743)</f>
        <v>0</v>
      </c>
      <c r="AM743">
        <f>SUMIF(AI:AI,AK743,AJ:AJ)</f>
        <v>0</v>
      </c>
      <c r="AP743" t="s">
        <v>14</v>
      </c>
      <c r="AQ743" t="s">
        <v>253</v>
      </c>
      <c r="BP743" t="s">
        <v>36</v>
      </c>
      <c r="BQ743" t="s">
        <v>447</v>
      </c>
      <c r="BR743">
        <f t="shared" si="111"/>
        <v>8</v>
      </c>
      <c r="BS743">
        <f t="shared" si="105"/>
        <v>2024</v>
      </c>
      <c r="BT743">
        <v>7</v>
      </c>
      <c r="BU743" t="str">
        <f t="shared" si="106"/>
        <v>2024-8</v>
      </c>
      <c r="BV743">
        <f t="shared" si="107"/>
        <v>1</v>
      </c>
      <c r="BX743" t="s">
        <v>17</v>
      </c>
      <c r="BY743" t="s">
        <v>387</v>
      </c>
      <c r="BZ743">
        <v>22991</v>
      </c>
      <c r="CA743">
        <f t="shared" si="108"/>
        <v>5</v>
      </c>
      <c r="CB743">
        <f t="shared" si="109"/>
        <v>2024</v>
      </c>
      <c r="CC743" t="str">
        <f t="shared" si="110"/>
        <v>2024-5</v>
      </c>
    </row>
    <row r="744" spans="1:81" x14ac:dyDescent="0.25">
      <c r="A744" t="s">
        <v>33</v>
      </c>
      <c r="B744" t="s">
        <v>263</v>
      </c>
      <c r="C744" t="s">
        <v>387</v>
      </c>
      <c r="D744">
        <v>23211</v>
      </c>
      <c r="E744">
        <v>9</v>
      </c>
      <c r="P744" t="s">
        <v>23</v>
      </c>
      <c r="Q744" t="s">
        <v>180</v>
      </c>
      <c r="R744">
        <v>0</v>
      </c>
      <c r="AI744" t="s">
        <v>183</v>
      </c>
      <c r="AJ744">
        <v>87578</v>
      </c>
      <c r="AL744">
        <f>COUNTIF(AI:AI,AK744)</f>
        <v>0</v>
      </c>
      <c r="AM744">
        <f>SUMIF(AI:AI,AK744,AJ:AJ)</f>
        <v>0</v>
      </c>
      <c r="AP744" t="s">
        <v>23</v>
      </c>
      <c r="AQ744" t="s">
        <v>37</v>
      </c>
      <c r="BP744" t="s">
        <v>36</v>
      </c>
      <c r="BQ744" t="s">
        <v>448</v>
      </c>
      <c r="BR744">
        <f t="shared" si="111"/>
        <v>8</v>
      </c>
      <c r="BS744">
        <f t="shared" si="105"/>
        <v>2024</v>
      </c>
      <c r="BT744">
        <v>9</v>
      </c>
      <c r="BU744" t="str">
        <f t="shared" si="106"/>
        <v>2024-8</v>
      </c>
      <c r="BV744">
        <f t="shared" si="107"/>
        <v>2</v>
      </c>
      <c r="BX744" t="s">
        <v>33</v>
      </c>
      <c r="BY744" t="s">
        <v>387</v>
      </c>
      <c r="BZ744">
        <v>23211</v>
      </c>
      <c r="CA744">
        <f t="shared" si="108"/>
        <v>5</v>
      </c>
      <c r="CB744">
        <f t="shared" si="109"/>
        <v>2024</v>
      </c>
      <c r="CC744" t="str">
        <f t="shared" si="110"/>
        <v>2024-5</v>
      </c>
    </row>
    <row r="745" spans="1:81" x14ac:dyDescent="0.25">
      <c r="A745" t="s">
        <v>23</v>
      </c>
      <c r="B745" t="s">
        <v>183</v>
      </c>
      <c r="C745" t="s">
        <v>387</v>
      </c>
      <c r="D745">
        <v>87578</v>
      </c>
      <c r="E745">
        <v>10</v>
      </c>
      <c r="P745" t="s">
        <v>36</v>
      </c>
      <c r="Q745" t="s">
        <v>392</v>
      </c>
      <c r="R745">
        <v>8</v>
      </c>
      <c r="AI745" t="s">
        <v>9</v>
      </c>
      <c r="AJ745">
        <v>86279</v>
      </c>
      <c r="AL745">
        <f>COUNTIF(AI:AI,AK745)</f>
        <v>0</v>
      </c>
      <c r="AM745">
        <f>SUMIF(AI:AI,AK745,AJ:AJ)</f>
        <v>0</v>
      </c>
      <c r="AP745" t="s">
        <v>32</v>
      </c>
      <c r="AQ745" t="s">
        <v>197</v>
      </c>
      <c r="BP745" t="s">
        <v>17</v>
      </c>
      <c r="BQ745" t="s">
        <v>16</v>
      </c>
      <c r="BR745">
        <f t="shared" si="111"/>
        <v>9</v>
      </c>
      <c r="BS745">
        <f t="shared" si="105"/>
        <v>2023</v>
      </c>
      <c r="BT745">
        <v>10</v>
      </c>
      <c r="BU745" t="str">
        <f t="shared" si="106"/>
        <v>2023-9</v>
      </c>
      <c r="BV745">
        <f t="shared" si="107"/>
        <v>2</v>
      </c>
      <c r="BX745" t="s">
        <v>23</v>
      </c>
      <c r="BY745" t="s">
        <v>387</v>
      </c>
      <c r="BZ745">
        <v>87578</v>
      </c>
      <c r="CA745">
        <f t="shared" si="108"/>
        <v>5</v>
      </c>
      <c r="CB745">
        <f t="shared" si="109"/>
        <v>2024</v>
      </c>
      <c r="CC745" t="str">
        <f t="shared" si="110"/>
        <v>2024-5</v>
      </c>
    </row>
    <row r="746" spans="1:81" x14ac:dyDescent="0.25">
      <c r="A746" t="s">
        <v>12</v>
      </c>
      <c r="B746" t="s">
        <v>9</v>
      </c>
      <c r="C746" t="s">
        <v>387</v>
      </c>
      <c r="D746">
        <v>86279</v>
      </c>
      <c r="E746">
        <v>7</v>
      </c>
      <c r="P746" t="s">
        <v>20</v>
      </c>
      <c r="Q746" t="s">
        <v>393</v>
      </c>
      <c r="R746">
        <v>6</v>
      </c>
      <c r="AI746" t="s">
        <v>11</v>
      </c>
      <c r="AJ746">
        <v>28859</v>
      </c>
      <c r="AL746">
        <f>COUNTIF(AI:AI,AK746)</f>
        <v>0</v>
      </c>
      <c r="AM746">
        <f>SUMIF(AI:AI,AK746,AJ:AJ)</f>
        <v>0</v>
      </c>
      <c r="AP746" t="s">
        <v>33</v>
      </c>
      <c r="AQ746" t="s">
        <v>237</v>
      </c>
      <c r="BP746" t="s">
        <v>17</v>
      </c>
      <c r="BQ746" t="s">
        <v>31</v>
      </c>
      <c r="BR746">
        <f t="shared" si="111"/>
        <v>9</v>
      </c>
      <c r="BS746">
        <f t="shared" si="105"/>
        <v>2023</v>
      </c>
      <c r="BT746">
        <v>7</v>
      </c>
      <c r="BU746" t="str">
        <f t="shared" si="106"/>
        <v>2023-9</v>
      </c>
      <c r="BV746">
        <f t="shared" si="107"/>
        <v>1</v>
      </c>
      <c r="BX746" t="s">
        <v>12</v>
      </c>
      <c r="BY746" t="s">
        <v>387</v>
      </c>
      <c r="BZ746">
        <v>86279</v>
      </c>
      <c r="CA746">
        <f t="shared" si="108"/>
        <v>5</v>
      </c>
      <c r="CB746">
        <f t="shared" si="109"/>
        <v>2024</v>
      </c>
      <c r="CC746" t="str">
        <f t="shared" si="110"/>
        <v>2024-5</v>
      </c>
    </row>
    <row r="747" spans="1:81" x14ac:dyDescent="0.25">
      <c r="A747" t="s">
        <v>33</v>
      </c>
      <c r="B747" t="s">
        <v>11</v>
      </c>
      <c r="C747" t="s">
        <v>388</v>
      </c>
      <c r="D747">
        <v>28859</v>
      </c>
      <c r="E747">
        <v>10</v>
      </c>
      <c r="P747" t="s">
        <v>17</v>
      </c>
      <c r="Q747" t="s">
        <v>287</v>
      </c>
      <c r="R747">
        <v>3</v>
      </c>
      <c r="AI747" t="s">
        <v>53</v>
      </c>
      <c r="AJ747">
        <v>88691</v>
      </c>
      <c r="AL747">
        <f>COUNTIF(AI:AI,AK747)</f>
        <v>0</v>
      </c>
      <c r="AM747">
        <f>SUMIF(AI:AI,AK747,AJ:AJ)</f>
        <v>0</v>
      </c>
      <c r="AP747" t="s">
        <v>8</v>
      </c>
      <c r="AQ747" t="s">
        <v>53</v>
      </c>
      <c r="BP747" t="s">
        <v>17</v>
      </c>
      <c r="BQ747" t="s">
        <v>59</v>
      </c>
      <c r="BR747">
        <f t="shared" si="111"/>
        <v>9</v>
      </c>
      <c r="BS747">
        <f t="shared" si="105"/>
        <v>2023</v>
      </c>
      <c r="BT747">
        <v>10</v>
      </c>
      <c r="BU747" t="str">
        <f t="shared" si="106"/>
        <v>2023-9</v>
      </c>
      <c r="BV747">
        <f t="shared" si="107"/>
        <v>2</v>
      </c>
      <c r="BX747" t="s">
        <v>33</v>
      </c>
      <c r="BY747" t="s">
        <v>388</v>
      </c>
      <c r="BZ747">
        <v>28859</v>
      </c>
      <c r="CA747">
        <f t="shared" si="108"/>
        <v>5</v>
      </c>
      <c r="CB747">
        <f t="shared" si="109"/>
        <v>2024</v>
      </c>
      <c r="CC747" t="str">
        <f t="shared" si="110"/>
        <v>2024-5</v>
      </c>
    </row>
    <row r="748" spans="1:81" x14ac:dyDescent="0.25">
      <c r="A748" t="s">
        <v>20</v>
      </c>
      <c r="B748" t="s">
        <v>53</v>
      </c>
      <c r="C748" t="s">
        <v>389</v>
      </c>
      <c r="D748">
        <v>88691</v>
      </c>
      <c r="E748">
        <v>5</v>
      </c>
      <c r="P748" t="s">
        <v>8</v>
      </c>
      <c r="Q748" t="s">
        <v>220</v>
      </c>
      <c r="R748">
        <v>8</v>
      </c>
      <c r="AI748" t="s">
        <v>19</v>
      </c>
      <c r="AJ748">
        <v>31673</v>
      </c>
      <c r="AL748">
        <f>COUNTIF(AI:AI,AK748)</f>
        <v>0</v>
      </c>
      <c r="AM748">
        <f>SUMIF(AI:AI,AK748,AJ:AJ)</f>
        <v>0</v>
      </c>
      <c r="AP748" t="s">
        <v>36</v>
      </c>
      <c r="AQ748" t="s">
        <v>144</v>
      </c>
      <c r="BP748" t="s">
        <v>17</v>
      </c>
      <c r="BQ748" t="s">
        <v>80</v>
      </c>
      <c r="BR748">
        <f t="shared" si="111"/>
        <v>9</v>
      </c>
      <c r="BS748">
        <f t="shared" si="105"/>
        <v>2023</v>
      </c>
      <c r="BT748">
        <v>5</v>
      </c>
      <c r="BU748" t="str">
        <f t="shared" si="106"/>
        <v>2023-9</v>
      </c>
      <c r="BV748">
        <f t="shared" si="107"/>
        <v>0</v>
      </c>
      <c r="BX748" t="s">
        <v>20</v>
      </c>
      <c r="BY748" t="s">
        <v>389</v>
      </c>
      <c r="BZ748">
        <v>88691</v>
      </c>
      <c r="CA748">
        <f t="shared" si="108"/>
        <v>6</v>
      </c>
      <c r="CB748">
        <f t="shared" si="109"/>
        <v>2024</v>
      </c>
      <c r="CC748" t="str">
        <f t="shared" si="110"/>
        <v>2024-6</v>
      </c>
    </row>
    <row r="749" spans="1:81" x14ac:dyDescent="0.25">
      <c r="A749" t="s">
        <v>20</v>
      </c>
      <c r="B749" t="s">
        <v>19</v>
      </c>
      <c r="C749" t="s">
        <v>389</v>
      </c>
      <c r="D749">
        <v>31673</v>
      </c>
      <c r="E749">
        <v>5</v>
      </c>
      <c r="P749" t="s">
        <v>5</v>
      </c>
      <c r="Q749" t="s">
        <v>89</v>
      </c>
      <c r="R749">
        <v>8</v>
      </c>
      <c r="AI749" t="s">
        <v>114</v>
      </c>
      <c r="AJ749">
        <v>66405</v>
      </c>
      <c r="AL749">
        <f>COUNTIF(AI:AI,AK749)</f>
        <v>0</v>
      </c>
      <c r="AM749">
        <f>SUMIF(AI:AI,AK749,AJ:AJ)</f>
        <v>0</v>
      </c>
      <c r="AP749" t="s">
        <v>23</v>
      </c>
      <c r="AQ749" t="s">
        <v>87</v>
      </c>
      <c r="BP749" t="s">
        <v>17</v>
      </c>
      <c r="BQ749" t="s">
        <v>99</v>
      </c>
      <c r="BR749">
        <f t="shared" si="111"/>
        <v>9</v>
      </c>
      <c r="BS749">
        <f t="shared" si="105"/>
        <v>2023</v>
      </c>
      <c r="BT749">
        <v>5</v>
      </c>
      <c r="BU749" t="str">
        <f t="shared" si="106"/>
        <v>2023-9</v>
      </c>
      <c r="BV749">
        <f t="shared" si="107"/>
        <v>0</v>
      </c>
      <c r="BX749" t="s">
        <v>20</v>
      </c>
      <c r="BY749" t="s">
        <v>389</v>
      </c>
      <c r="BZ749">
        <v>31673</v>
      </c>
      <c r="CA749">
        <f t="shared" si="108"/>
        <v>6</v>
      </c>
      <c r="CB749">
        <f t="shared" si="109"/>
        <v>2024</v>
      </c>
      <c r="CC749" t="str">
        <f t="shared" si="110"/>
        <v>2024-6</v>
      </c>
    </row>
    <row r="750" spans="1:81" x14ac:dyDescent="0.25">
      <c r="A750" t="s">
        <v>17</v>
      </c>
      <c r="B750" t="s">
        <v>114</v>
      </c>
      <c r="C750" t="s">
        <v>389</v>
      </c>
      <c r="D750">
        <v>66405</v>
      </c>
      <c r="E750">
        <v>5</v>
      </c>
      <c r="P750" t="s">
        <v>5</v>
      </c>
      <c r="Q750" t="s">
        <v>215</v>
      </c>
      <c r="R750">
        <v>9</v>
      </c>
      <c r="AI750" t="s">
        <v>81</v>
      </c>
      <c r="AJ750">
        <v>39671</v>
      </c>
      <c r="AL750">
        <f>COUNTIF(AI:AI,AK750)</f>
        <v>0</v>
      </c>
      <c r="AM750">
        <f>SUMIF(AI:AI,AK750,AJ:AJ)</f>
        <v>0</v>
      </c>
      <c r="AP750" t="s">
        <v>20</v>
      </c>
      <c r="AQ750" t="s">
        <v>196</v>
      </c>
      <c r="BP750" t="s">
        <v>17</v>
      </c>
      <c r="BQ750" t="s">
        <v>105</v>
      </c>
      <c r="BR750">
        <f t="shared" si="111"/>
        <v>10</v>
      </c>
      <c r="BS750">
        <f t="shared" si="105"/>
        <v>2023</v>
      </c>
      <c r="BT750">
        <v>5</v>
      </c>
      <c r="BU750" t="str">
        <f t="shared" si="106"/>
        <v>2023-10</v>
      </c>
      <c r="BV750">
        <f t="shared" si="107"/>
        <v>0</v>
      </c>
      <c r="BX750" t="s">
        <v>17</v>
      </c>
      <c r="BY750" t="s">
        <v>389</v>
      </c>
      <c r="BZ750">
        <v>66405</v>
      </c>
      <c r="CA750">
        <f t="shared" si="108"/>
        <v>6</v>
      </c>
      <c r="CB750">
        <f t="shared" si="109"/>
        <v>2024</v>
      </c>
      <c r="CC750" t="str">
        <f t="shared" si="110"/>
        <v>2024-6</v>
      </c>
    </row>
    <row r="751" spans="1:81" x14ac:dyDescent="0.25">
      <c r="A751" t="s">
        <v>14</v>
      </c>
      <c r="B751" t="s">
        <v>81</v>
      </c>
      <c r="C751" t="s">
        <v>389</v>
      </c>
      <c r="D751">
        <v>39671</v>
      </c>
      <c r="E751">
        <v>6</v>
      </c>
      <c r="P751" t="s">
        <v>5</v>
      </c>
      <c r="Q751" t="s">
        <v>325</v>
      </c>
      <c r="R751">
        <v>9</v>
      </c>
      <c r="AI751" t="s">
        <v>72</v>
      </c>
      <c r="AJ751">
        <v>73560</v>
      </c>
      <c r="AL751">
        <f>COUNTIF(AI:AI,AK751)</f>
        <v>0</v>
      </c>
      <c r="AM751">
        <f>SUMIF(AI:AI,AK751,AJ:AJ)</f>
        <v>0</v>
      </c>
      <c r="AP751" t="s">
        <v>17</v>
      </c>
      <c r="AQ751" t="s">
        <v>228</v>
      </c>
      <c r="BP751" t="s">
        <v>17</v>
      </c>
      <c r="BQ751" t="s">
        <v>115</v>
      </c>
      <c r="BR751">
        <f t="shared" si="111"/>
        <v>10</v>
      </c>
      <c r="BS751">
        <f t="shared" si="105"/>
        <v>2023</v>
      </c>
      <c r="BT751">
        <v>6</v>
      </c>
      <c r="BU751" t="str">
        <f t="shared" si="106"/>
        <v>2023-10</v>
      </c>
      <c r="BV751">
        <f t="shared" si="107"/>
        <v>0</v>
      </c>
      <c r="BX751" t="s">
        <v>14</v>
      </c>
      <c r="BY751" t="s">
        <v>389</v>
      </c>
      <c r="BZ751">
        <v>39671</v>
      </c>
      <c r="CA751">
        <f t="shared" si="108"/>
        <v>6</v>
      </c>
      <c r="CB751">
        <f t="shared" si="109"/>
        <v>2024</v>
      </c>
      <c r="CC751" t="str">
        <f t="shared" si="110"/>
        <v>2024-6</v>
      </c>
    </row>
    <row r="752" spans="1:81" x14ac:dyDescent="0.25">
      <c r="A752" t="s">
        <v>8</v>
      </c>
      <c r="B752" t="s">
        <v>72</v>
      </c>
      <c r="C752" t="s">
        <v>389</v>
      </c>
      <c r="D752">
        <v>73560</v>
      </c>
      <c r="E752">
        <v>7</v>
      </c>
      <c r="P752" t="s">
        <v>12</v>
      </c>
      <c r="Q752" t="s">
        <v>296</v>
      </c>
      <c r="R752">
        <v>9</v>
      </c>
      <c r="AI752" t="s">
        <v>319</v>
      </c>
      <c r="AJ752">
        <v>18405</v>
      </c>
      <c r="AL752">
        <f>COUNTIF(AI:AI,AK752)</f>
        <v>0</v>
      </c>
      <c r="AM752">
        <f>SUMIF(AI:AI,AK752,AJ:AJ)</f>
        <v>0</v>
      </c>
      <c r="AP752" t="s">
        <v>27</v>
      </c>
      <c r="AQ752" t="s">
        <v>56</v>
      </c>
      <c r="BP752" t="s">
        <v>17</v>
      </c>
      <c r="BQ752" t="s">
        <v>117</v>
      </c>
      <c r="BR752">
        <f t="shared" si="111"/>
        <v>10</v>
      </c>
      <c r="BS752">
        <f t="shared" si="105"/>
        <v>2023</v>
      </c>
      <c r="BT752">
        <v>7</v>
      </c>
      <c r="BU752" t="str">
        <f t="shared" si="106"/>
        <v>2023-10</v>
      </c>
      <c r="BV752">
        <f t="shared" si="107"/>
        <v>1</v>
      </c>
      <c r="BX752" t="s">
        <v>8</v>
      </c>
      <c r="BY752" t="s">
        <v>389</v>
      </c>
      <c r="BZ752">
        <v>73560</v>
      </c>
      <c r="CA752">
        <f t="shared" si="108"/>
        <v>6</v>
      </c>
      <c r="CB752">
        <f t="shared" si="109"/>
        <v>2024</v>
      </c>
      <c r="CC752" t="str">
        <f t="shared" si="110"/>
        <v>2024-6</v>
      </c>
    </row>
    <row r="753" spans="1:81" x14ac:dyDescent="0.25">
      <c r="A753" t="s">
        <v>20</v>
      </c>
      <c r="B753" t="s">
        <v>319</v>
      </c>
      <c r="C753" t="s">
        <v>389</v>
      </c>
      <c r="D753">
        <v>18405</v>
      </c>
      <c r="E753">
        <v>10</v>
      </c>
      <c r="P753" t="s">
        <v>23</v>
      </c>
      <c r="Q753" t="s">
        <v>213</v>
      </c>
      <c r="R753">
        <v>9</v>
      </c>
      <c r="AI753" t="s">
        <v>174</v>
      </c>
      <c r="AJ753">
        <v>28117</v>
      </c>
      <c r="AL753">
        <f>COUNTIF(AI:AI,AK753)</f>
        <v>0</v>
      </c>
      <c r="AM753">
        <f>SUMIF(AI:AI,AK753,AJ:AJ)</f>
        <v>0</v>
      </c>
      <c r="AP753" t="s">
        <v>27</v>
      </c>
      <c r="AQ753" t="s">
        <v>259</v>
      </c>
      <c r="BP753" t="s">
        <v>17</v>
      </c>
      <c r="BQ753" t="s">
        <v>130</v>
      </c>
      <c r="BR753">
        <f t="shared" si="111"/>
        <v>10</v>
      </c>
      <c r="BS753">
        <f t="shared" si="105"/>
        <v>2023</v>
      </c>
      <c r="BT753">
        <v>10</v>
      </c>
      <c r="BU753" t="str">
        <f t="shared" si="106"/>
        <v>2023-10</v>
      </c>
      <c r="BV753">
        <f t="shared" si="107"/>
        <v>2</v>
      </c>
      <c r="BX753" t="s">
        <v>20</v>
      </c>
      <c r="BY753" t="s">
        <v>389</v>
      </c>
      <c r="BZ753">
        <v>18405</v>
      </c>
      <c r="CA753">
        <f t="shared" si="108"/>
        <v>6</v>
      </c>
      <c r="CB753">
        <f t="shared" si="109"/>
        <v>2024</v>
      </c>
      <c r="CC753" t="str">
        <f t="shared" si="110"/>
        <v>2024-6</v>
      </c>
    </row>
    <row r="754" spans="1:81" x14ac:dyDescent="0.25">
      <c r="A754" t="s">
        <v>33</v>
      </c>
      <c r="B754" t="s">
        <v>174</v>
      </c>
      <c r="C754" t="s">
        <v>389</v>
      </c>
      <c r="D754">
        <v>28117</v>
      </c>
      <c r="E754">
        <v>4</v>
      </c>
      <c r="P754" t="s">
        <v>32</v>
      </c>
      <c r="Q754" t="s">
        <v>274</v>
      </c>
      <c r="R754">
        <v>9</v>
      </c>
      <c r="AI754" t="s">
        <v>41</v>
      </c>
      <c r="AJ754">
        <v>28682</v>
      </c>
      <c r="AL754">
        <f>COUNTIF(AI:AI,AK754)</f>
        <v>0</v>
      </c>
      <c r="AM754">
        <f>SUMIF(AI:AI,AK754,AJ:AJ)</f>
        <v>0</v>
      </c>
      <c r="AP754" t="s">
        <v>14</v>
      </c>
      <c r="AQ754" t="s">
        <v>396</v>
      </c>
      <c r="BP754" t="s">
        <v>17</v>
      </c>
      <c r="BQ754" t="s">
        <v>141</v>
      </c>
      <c r="BR754">
        <f t="shared" si="111"/>
        <v>10</v>
      </c>
      <c r="BS754">
        <f t="shared" si="105"/>
        <v>2023</v>
      </c>
      <c r="BT754">
        <v>4</v>
      </c>
      <c r="BU754" t="str">
        <f t="shared" si="106"/>
        <v>2023-10</v>
      </c>
      <c r="BV754">
        <f t="shared" si="107"/>
        <v>0</v>
      </c>
      <c r="BX754" t="s">
        <v>33</v>
      </c>
      <c r="BY754" t="s">
        <v>389</v>
      </c>
      <c r="BZ754">
        <v>28117</v>
      </c>
      <c r="CA754">
        <f t="shared" si="108"/>
        <v>6</v>
      </c>
      <c r="CB754">
        <f t="shared" si="109"/>
        <v>2024</v>
      </c>
      <c r="CC754" t="str">
        <f t="shared" si="110"/>
        <v>2024-6</v>
      </c>
    </row>
    <row r="755" spans="1:81" x14ac:dyDescent="0.25">
      <c r="A755" t="s">
        <v>12</v>
      </c>
      <c r="B755" t="s">
        <v>41</v>
      </c>
      <c r="C755" t="s">
        <v>389</v>
      </c>
      <c r="D755">
        <v>28682</v>
      </c>
      <c r="E755">
        <v>2</v>
      </c>
      <c r="P755" t="s">
        <v>27</v>
      </c>
      <c r="Q755" t="s">
        <v>190</v>
      </c>
      <c r="R755">
        <v>4</v>
      </c>
      <c r="AI755" t="s">
        <v>29</v>
      </c>
      <c r="AJ755">
        <v>33149</v>
      </c>
      <c r="AL755">
        <f>COUNTIF(AI:AI,AK755)</f>
        <v>0</v>
      </c>
      <c r="AM755">
        <f>SUMIF(AI:AI,AK755,AJ:AJ)</f>
        <v>0</v>
      </c>
      <c r="AP755" t="s">
        <v>14</v>
      </c>
      <c r="AQ755" t="s">
        <v>34</v>
      </c>
      <c r="BP755" t="s">
        <v>17</v>
      </c>
      <c r="BQ755" t="s">
        <v>145</v>
      </c>
      <c r="BR755">
        <f t="shared" si="111"/>
        <v>10</v>
      </c>
      <c r="BS755">
        <f t="shared" si="105"/>
        <v>2023</v>
      </c>
      <c r="BT755">
        <v>2</v>
      </c>
      <c r="BU755" t="str">
        <f t="shared" si="106"/>
        <v>2023-10</v>
      </c>
      <c r="BV755">
        <f t="shared" si="107"/>
        <v>0</v>
      </c>
      <c r="BX755" t="s">
        <v>12</v>
      </c>
      <c r="BY755" t="s">
        <v>389</v>
      </c>
      <c r="BZ755">
        <v>28682</v>
      </c>
      <c r="CA755">
        <f t="shared" si="108"/>
        <v>6</v>
      </c>
      <c r="CB755">
        <f t="shared" si="109"/>
        <v>2024</v>
      </c>
      <c r="CC755" t="str">
        <f t="shared" si="110"/>
        <v>2024-6</v>
      </c>
    </row>
    <row r="756" spans="1:81" x14ac:dyDescent="0.25">
      <c r="A756" t="s">
        <v>12</v>
      </c>
      <c r="B756" t="s">
        <v>29</v>
      </c>
      <c r="C756" t="s">
        <v>389</v>
      </c>
      <c r="D756">
        <v>33149</v>
      </c>
      <c r="E756">
        <v>8</v>
      </c>
      <c r="P756" t="s">
        <v>17</v>
      </c>
      <c r="Q756" t="s">
        <v>136</v>
      </c>
      <c r="R756">
        <v>6</v>
      </c>
      <c r="AI756" t="s">
        <v>215</v>
      </c>
      <c r="AJ756">
        <v>43100</v>
      </c>
      <c r="AL756">
        <f>COUNTIF(AI:AI,AK756)</f>
        <v>0</v>
      </c>
      <c r="AM756">
        <f>SUMIF(AI:AI,AK756,AJ:AJ)</f>
        <v>0</v>
      </c>
      <c r="AP756" t="s">
        <v>23</v>
      </c>
      <c r="AQ756" t="s">
        <v>369</v>
      </c>
      <c r="BP756" t="s">
        <v>17</v>
      </c>
      <c r="BQ756" t="s">
        <v>146</v>
      </c>
      <c r="BR756">
        <f t="shared" si="111"/>
        <v>10</v>
      </c>
      <c r="BS756">
        <f t="shared" si="105"/>
        <v>2023</v>
      </c>
      <c r="BT756">
        <v>8</v>
      </c>
      <c r="BU756" t="str">
        <f t="shared" si="106"/>
        <v>2023-10</v>
      </c>
      <c r="BV756">
        <f t="shared" si="107"/>
        <v>1</v>
      </c>
      <c r="BX756" t="s">
        <v>12</v>
      </c>
      <c r="BY756" t="s">
        <v>389</v>
      </c>
      <c r="BZ756">
        <v>33149</v>
      </c>
      <c r="CA756">
        <f t="shared" si="108"/>
        <v>6</v>
      </c>
      <c r="CB756">
        <f t="shared" si="109"/>
        <v>2024</v>
      </c>
      <c r="CC756" t="str">
        <f t="shared" si="110"/>
        <v>2024-6</v>
      </c>
    </row>
    <row r="757" spans="1:81" x14ac:dyDescent="0.25">
      <c r="A757" t="s">
        <v>10</v>
      </c>
      <c r="B757" t="s">
        <v>215</v>
      </c>
      <c r="C757" t="s">
        <v>389</v>
      </c>
      <c r="D757">
        <v>43100</v>
      </c>
      <c r="E757">
        <v>6</v>
      </c>
      <c r="P757" t="s">
        <v>27</v>
      </c>
      <c r="Q757" t="s">
        <v>396</v>
      </c>
      <c r="R757">
        <v>5</v>
      </c>
      <c r="AI757" t="s">
        <v>143</v>
      </c>
      <c r="AJ757">
        <v>69158</v>
      </c>
      <c r="AL757">
        <f>COUNTIF(AI:AI,AK757)</f>
        <v>0</v>
      </c>
      <c r="AM757">
        <f>SUMIF(AI:AI,AK757,AJ:AJ)</f>
        <v>0</v>
      </c>
      <c r="AP757" t="s">
        <v>12</v>
      </c>
      <c r="AQ757" t="s">
        <v>51</v>
      </c>
      <c r="BP757" t="s">
        <v>17</v>
      </c>
      <c r="BQ757" t="s">
        <v>153</v>
      </c>
      <c r="BR757">
        <f t="shared" si="111"/>
        <v>10</v>
      </c>
      <c r="BS757">
        <f t="shared" si="105"/>
        <v>2023</v>
      </c>
      <c r="BT757">
        <v>6</v>
      </c>
      <c r="BU757" t="str">
        <f t="shared" si="106"/>
        <v>2023-10</v>
      </c>
      <c r="BV757">
        <f t="shared" si="107"/>
        <v>0</v>
      </c>
      <c r="BX757" t="s">
        <v>10</v>
      </c>
      <c r="BY757" t="s">
        <v>389</v>
      </c>
      <c r="BZ757">
        <v>43100</v>
      </c>
      <c r="CA757">
        <f t="shared" si="108"/>
        <v>6</v>
      </c>
      <c r="CB757">
        <f t="shared" si="109"/>
        <v>2024</v>
      </c>
      <c r="CC757" t="str">
        <f t="shared" si="110"/>
        <v>2024-6</v>
      </c>
    </row>
    <row r="758" spans="1:81" x14ac:dyDescent="0.25">
      <c r="A758" t="s">
        <v>8</v>
      </c>
      <c r="B758" t="s">
        <v>143</v>
      </c>
      <c r="C758" t="s">
        <v>389</v>
      </c>
      <c r="D758">
        <v>69158</v>
      </c>
      <c r="E758">
        <v>5</v>
      </c>
      <c r="P758" t="s">
        <v>5</v>
      </c>
      <c r="Q758" t="s">
        <v>202</v>
      </c>
      <c r="R758">
        <v>4</v>
      </c>
      <c r="AI758" t="s">
        <v>21</v>
      </c>
      <c r="AJ758">
        <v>37096</v>
      </c>
      <c r="AL758">
        <f>COUNTIF(AI:AI,AK758)</f>
        <v>0</v>
      </c>
      <c r="AM758">
        <f>SUMIF(AI:AI,AK758,AJ:AJ)</f>
        <v>0</v>
      </c>
      <c r="AP758" t="s">
        <v>10</v>
      </c>
      <c r="AQ758" t="s">
        <v>104</v>
      </c>
      <c r="BP758" t="s">
        <v>17</v>
      </c>
      <c r="BQ758" t="s">
        <v>160</v>
      </c>
      <c r="BR758">
        <f t="shared" si="111"/>
        <v>11</v>
      </c>
      <c r="BS758">
        <f t="shared" si="105"/>
        <v>2023</v>
      </c>
      <c r="BT758">
        <v>5</v>
      </c>
      <c r="BU758" t="str">
        <f t="shared" si="106"/>
        <v>2023-11</v>
      </c>
      <c r="BV758">
        <f t="shared" si="107"/>
        <v>0</v>
      </c>
      <c r="BX758" t="s">
        <v>8</v>
      </c>
      <c r="BY758" t="s">
        <v>389</v>
      </c>
      <c r="BZ758">
        <v>69158</v>
      </c>
      <c r="CA758">
        <f t="shared" si="108"/>
        <v>6</v>
      </c>
      <c r="CB758">
        <f t="shared" si="109"/>
        <v>2024</v>
      </c>
      <c r="CC758" t="str">
        <f t="shared" si="110"/>
        <v>2024-6</v>
      </c>
    </row>
    <row r="759" spans="1:81" x14ac:dyDescent="0.25">
      <c r="A759" t="s">
        <v>33</v>
      </c>
      <c r="B759" t="s">
        <v>21</v>
      </c>
      <c r="C759" t="s">
        <v>389</v>
      </c>
      <c r="D759">
        <v>37096</v>
      </c>
      <c r="E759">
        <v>5</v>
      </c>
      <c r="P759" t="s">
        <v>17</v>
      </c>
      <c r="Q759" t="s">
        <v>72</v>
      </c>
      <c r="R759">
        <v>7</v>
      </c>
      <c r="AI759" t="s">
        <v>158</v>
      </c>
      <c r="AJ759">
        <v>16739</v>
      </c>
      <c r="AL759">
        <f>COUNTIF(AI:AI,AK759)</f>
        <v>0</v>
      </c>
      <c r="AM759">
        <f>SUMIF(AI:AI,AK759,AJ:AJ)</f>
        <v>0</v>
      </c>
      <c r="AP759" t="s">
        <v>12</v>
      </c>
      <c r="AQ759" t="s">
        <v>54</v>
      </c>
      <c r="BP759" t="s">
        <v>17</v>
      </c>
      <c r="BQ759" t="s">
        <v>179</v>
      </c>
      <c r="BR759">
        <f t="shared" si="111"/>
        <v>11</v>
      </c>
      <c r="BS759">
        <f t="shared" si="105"/>
        <v>2023</v>
      </c>
      <c r="BT759">
        <v>5</v>
      </c>
      <c r="BU759" t="str">
        <f t="shared" si="106"/>
        <v>2023-11</v>
      </c>
      <c r="BV759">
        <f t="shared" si="107"/>
        <v>0</v>
      </c>
      <c r="BX759" t="s">
        <v>33</v>
      </c>
      <c r="BY759" t="s">
        <v>389</v>
      </c>
      <c r="BZ759">
        <v>37096</v>
      </c>
      <c r="CA759">
        <f t="shared" si="108"/>
        <v>6</v>
      </c>
      <c r="CB759">
        <f t="shared" si="109"/>
        <v>2024</v>
      </c>
      <c r="CC759" t="str">
        <f t="shared" si="110"/>
        <v>2024-6</v>
      </c>
    </row>
    <row r="760" spans="1:81" x14ac:dyDescent="0.25">
      <c r="A760" t="s">
        <v>5</v>
      </c>
      <c r="B760" t="s">
        <v>158</v>
      </c>
      <c r="C760" t="s">
        <v>390</v>
      </c>
      <c r="D760">
        <v>16739</v>
      </c>
      <c r="E760">
        <v>2</v>
      </c>
      <c r="P760" t="s">
        <v>10</v>
      </c>
      <c r="Q760" t="s">
        <v>13</v>
      </c>
      <c r="R760">
        <v>7</v>
      </c>
      <c r="AI760" t="s">
        <v>29</v>
      </c>
      <c r="AJ760">
        <v>42741</v>
      </c>
      <c r="AL760">
        <f>COUNTIF(AI:AI,AK760)</f>
        <v>0</v>
      </c>
      <c r="AM760">
        <f>SUMIF(AI:AI,AK760,AJ:AJ)</f>
        <v>0</v>
      </c>
      <c r="AP760" t="s">
        <v>33</v>
      </c>
      <c r="AQ760" t="s">
        <v>434</v>
      </c>
      <c r="BP760" t="s">
        <v>17</v>
      </c>
      <c r="BQ760" t="s">
        <v>179</v>
      </c>
      <c r="BR760">
        <f t="shared" si="111"/>
        <v>11</v>
      </c>
      <c r="BS760">
        <f t="shared" si="105"/>
        <v>2023</v>
      </c>
      <c r="BT760">
        <v>2</v>
      </c>
      <c r="BU760" t="str">
        <f t="shared" si="106"/>
        <v>2023-11</v>
      </c>
      <c r="BV760">
        <f t="shared" si="107"/>
        <v>0</v>
      </c>
      <c r="BX760" t="s">
        <v>5</v>
      </c>
      <c r="BY760" t="s">
        <v>390</v>
      </c>
      <c r="BZ760">
        <v>16739</v>
      </c>
      <c r="CA760">
        <f t="shared" si="108"/>
        <v>6</v>
      </c>
      <c r="CB760">
        <f t="shared" si="109"/>
        <v>2024</v>
      </c>
      <c r="CC760" t="str">
        <f t="shared" si="110"/>
        <v>2024-6</v>
      </c>
    </row>
    <row r="761" spans="1:81" x14ac:dyDescent="0.25">
      <c r="A761" t="s">
        <v>8</v>
      </c>
      <c r="B761" t="s">
        <v>29</v>
      </c>
      <c r="C761" t="s">
        <v>390</v>
      </c>
      <c r="D761">
        <v>42741</v>
      </c>
      <c r="E761">
        <v>4</v>
      </c>
      <c r="P761" t="s">
        <v>27</v>
      </c>
      <c r="Q761" t="s">
        <v>111</v>
      </c>
      <c r="R761">
        <v>7</v>
      </c>
      <c r="AI761" t="s">
        <v>26</v>
      </c>
      <c r="AJ761">
        <v>28153</v>
      </c>
      <c r="AL761">
        <f>COUNTIF(AI:AI,AK761)</f>
        <v>0</v>
      </c>
      <c r="AM761">
        <f>SUMIF(AI:AI,AK761,AJ:AJ)</f>
        <v>0</v>
      </c>
      <c r="AP761" t="s">
        <v>5</v>
      </c>
      <c r="AQ761" t="s">
        <v>296</v>
      </c>
      <c r="BP761" t="s">
        <v>17</v>
      </c>
      <c r="BQ761" t="s">
        <v>198</v>
      </c>
      <c r="BR761">
        <f t="shared" si="111"/>
        <v>11</v>
      </c>
      <c r="BS761">
        <f t="shared" si="105"/>
        <v>2023</v>
      </c>
      <c r="BT761">
        <v>4</v>
      </c>
      <c r="BU761" t="str">
        <f t="shared" si="106"/>
        <v>2023-11</v>
      </c>
      <c r="BV761">
        <f t="shared" si="107"/>
        <v>0</v>
      </c>
      <c r="BX761" t="s">
        <v>8</v>
      </c>
      <c r="BY761" t="s">
        <v>390</v>
      </c>
      <c r="BZ761">
        <v>42741</v>
      </c>
      <c r="CA761">
        <f t="shared" si="108"/>
        <v>6</v>
      </c>
      <c r="CB761">
        <f t="shared" si="109"/>
        <v>2024</v>
      </c>
      <c r="CC761" t="str">
        <f t="shared" si="110"/>
        <v>2024-6</v>
      </c>
    </row>
    <row r="762" spans="1:81" x14ac:dyDescent="0.25">
      <c r="A762" t="s">
        <v>32</v>
      </c>
      <c r="B762" t="s">
        <v>26</v>
      </c>
      <c r="C762" t="s">
        <v>390</v>
      </c>
      <c r="D762">
        <v>28153</v>
      </c>
      <c r="E762">
        <v>6</v>
      </c>
      <c r="P762" t="s">
        <v>14</v>
      </c>
      <c r="Q762" t="s">
        <v>104</v>
      </c>
      <c r="R762">
        <v>8</v>
      </c>
      <c r="AI762" t="s">
        <v>180</v>
      </c>
      <c r="AJ762">
        <v>19559</v>
      </c>
      <c r="AL762">
        <f>COUNTIF(AI:AI,AK762)</f>
        <v>0</v>
      </c>
      <c r="AM762">
        <f>SUMIF(AI:AI,AK762,AJ:AJ)</f>
        <v>0</v>
      </c>
      <c r="AP762" t="s">
        <v>20</v>
      </c>
      <c r="AQ762" t="s">
        <v>114</v>
      </c>
      <c r="BP762" t="s">
        <v>17</v>
      </c>
      <c r="BQ762" t="s">
        <v>207</v>
      </c>
      <c r="BR762">
        <f t="shared" si="111"/>
        <v>11</v>
      </c>
      <c r="BS762">
        <f t="shared" si="105"/>
        <v>2023</v>
      </c>
      <c r="BT762">
        <v>6</v>
      </c>
      <c r="BU762" t="str">
        <f t="shared" si="106"/>
        <v>2023-11</v>
      </c>
      <c r="BV762">
        <f t="shared" si="107"/>
        <v>0</v>
      </c>
      <c r="BX762" t="s">
        <v>32</v>
      </c>
      <c r="BY762" t="s">
        <v>390</v>
      </c>
      <c r="BZ762">
        <v>28153</v>
      </c>
      <c r="CA762">
        <f t="shared" si="108"/>
        <v>6</v>
      </c>
      <c r="CB762">
        <f t="shared" si="109"/>
        <v>2024</v>
      </c>
      <c r="CC762" t="str">
        <f t="shared" si="110"/>
        <v>2024-6</v>
      </c>
    </row>
    <row r="763" spans="1:81" x14ac:dyDescent="0.25">
      <c r="A763" t="s">
        <v>23</v>
      </c>
      <c r="B763" t="s">
        <v>180</v>
      </c>
      <c r="C763" t="s">
        <v>391</v>
      </c>
      <c r="D763">
        <v>19559</v>
      </c>
      <c r="E763">
        <v>0</v>
      </c>
      <c r="P763" t="s">
        <v>14</v>
      </c>
      <c r="Q763" t="s">
        <v>131</v>
      </c>
      <c r="R763">
        <v>6</v>
      </c>
      <c r="AI763" t="s">
        <v>392</v>
      </c>
      <c r="AJ763">
        <v>55148</v>
      </c>
      <c r="AL763">
        <f>COUNTIF(AI:AI,AK763)</f>
        <v>0</v>
      </c>
      <c r="AM763">
        <f>SUMIF(AI:AI,AK763,AJ:AJ)</f>
        <v>0</v>
      </c>
      <c r="AP763" t="s">
        <v>23</v>
      </c>
      <c r="AQ763" t="s">
        <v>72</v>
      </c>
      <c r="BP763" t="s">
        <v>17</v>
      </c>
      <c r="BQ763" t="s">
        <v>210</v>
      </c>
      <c r="BR763">
        <f t="shared" si="111"/>
        <v>12</v>
      </c>
      <c r="BS763">
        <f t="shared" si="105"/>
        <v>2023</v>
      </c>
      <c r="BT763">
        <v>0</v>
      </c>
      <c r="BU763" t="str">
        <f t="shared" si="106"/>
        <v>2023-12</v>
      </c>
      <c r="BV763">
        <f t="shared" si="107"/>
        <v>0</v>
      </c>
      <c r="BX763" t="s">
        <v>23</v>
      </c>
      <c r="BY763" t="s">
        <v>391</v>
      </c>
      <c r="BZ763">
        <v>19559</v>
      </c>
      <c r="CA763">
        <f t="shared" si="108"/>
        <v>6</v>
      </c>
      <c r="CB763">
        <f t="shared" si="109"/>
        <v>2024</v>
      </c>
      <c r="CC763" t="str">
        <f t="shared" si="110"/>
        <v>2024-6</v>
      </c>
    </row>
    <row r="764" spans="1:81" x14ac:dyDescent="0.25">
      <c r="A764" t="s">
        <v>36</v>
      </c>
      <c r="B764" t="s">
        <v>392</v>
      </c>
      <c r="C764" t="s">
        <v>391</v>
      </c>
      <c r="D764">
        <v>55148</v>
      </c>
      <c r="E764">
        <v>8</v>
      </c>
      <c r="P764" t="s">
        <v>10</v>
      </c>
      <c r="Q764" t="s">
        <v>196</v>
      </c>
      <c r="R764">
        <v>10</v>
      </c>
      <c r="AI764" t="s">
        <v>393</v>
      </c>
      <c r="AJ764">
        <v>87879</v>
      </c>
      <c r="AL764">
        <f>COUNTIF(AI:AI,AK764)</f>
        <v>0</v>
      </c>
      <c r="AM764">
        <f>SUMIF(AI:AI,AK764,AJ:AJ)</f>
        <v>0</v>
      </c>
      <c r="AP764" t="s">
        <v>10</v>
      </c>
      <c r="AQ764" t="s">
        <v>109</v>
      </c>
      <c r="BP764" t="s">
        <v>17</v>
      </c>
      <c r="BQ764" t="s">
        <v>211</v>
      </c>
      <c r="BR764">
        <f t="shared" si="111"/>
        <v>12</v>
      </c>
      <c r="BS764">
        <f t="shared" si="105"/>
        <v>2023</v>
      </c>
      <c r="BT764">
        <v>8</v>
      </c>
      <c r="BU764" t="str">
        <f t="shared" si="106"/>
        <v>2023-12</v>
      </c>
      <c r="BV764">
        <f t="shared" si="107"/>
        <v>1</v>
      </c>
      <c r="BX764" t="s">
        <v>36</v>
      </c>
      <c r="BY764" t="s">
        <v>391</v>
      </c>
      <c r="BZ764">
        <v>55148</v>
      </c>
      <c r="CA764">
        <f t="shared" si="108"/>
        <v>6</v>
      </c>
      <c r="CB764">
        <f t="shared" si="109"/>
        <v>2024</v>
      </c>
      <c r="CC764" t="str">
        <f t="shared" si="110"/>
        <v>2024-6</v>
      </c>
    </row>
    <row r="765" spans="1:81" x14ac:dyDescent="0.25">
      <c r="A765" t="s">
        <v>20</v>
      </c>
      <c r="B765" t="s">
        <v>393</v>
      </c>
      <c r="C765" t="s">
        <v>391</v>
      </c>
      <c r="D765">
        <v>87879</v>
      </c>
      <c r="E765">
        <v>6</v>
      </c>
      <c r="P765" t="s">
        <v>32</v>
      </c>
      <c r="Q765" t="s">
        <v>131</v>
      </c>
      <c r="R765">
        <v>5</v>
      </c>
      <c r="AI765" t="s">
        <v>287</v>
      </c>
      <c r="AJ765">
        <v>75381</v>
      </c>
      <c r="AL765">
        <f>COUNTIF(AI:AI,AK765)</f>
        <v>0</v>
      </c>
      <c r="AM765">
        <f>SUMIF(AI:AI,AK765,AJ:AJ)</f>
        <v>0</v>
      </c>
      <c r="AP765" t="s">
        <v>27</v>
      </c>
      <c r="AQ765" t="s">
        <v>266</v>
      </c>
      <c r="BP765" t="s">
        <v>17</v>
      </c>
      <c r="BQ765" t="s">
        <v>219</v>
      </c>
      <c r="BR765">
        <f t="shared" si="111"/>
        <v>12</v>
      </c>
      <c r="BS765">
        <f t="shared" si="105"/>
        <v>2023</v>
      </c>
      <c r="BT765">
        <v>6</v>
      </c>
      <c r="BU765" t="str">
        <f t="shared" si="106"/>
        <v>2023-12</v>
      </c>
      <c r="BV765">
        <f t="shared" si="107"/>
        <v>0</v>
      </c>
      <c r="BX765" t="s">
        <v>20</v>
      </c>
      <c r="BY765" t="s">
        <v>391</v>
      </c>
      <c r="BZ765">
        <v>87879</v>
      </c>
      <c r="CA765">
        <f t="shared" si="108"/>
        <v>6</v>
      </c>
      <c r="CB765">
        <f t="shared" si="109"/>
        <v>2024</v>
      </c>
      <c r="CC765" t="str">
        <f t="shared" si="110"/>
        <v>2024-6</v>
      </c>
    </row>
    <row r="766" spans="1:81" x14ac:dyDescent="0.25">
      <c r="A766" t="s">
        <v>17</v>
      </c>
      <c r="B766" t="s">
        <v>287</v>
      </c>
      <c r="C766" t="s">
        <v>391</v>
      </c>
      <c r="D766">
        <v>75381</v>
      </c>
      <c r="E766">
        <v>3</v>
      </c>
      <c r="P766" t="s">
        <v>17</v>
      </c>
      <c r="Q766" t="s">
        <v>42</v>
      </c>
      <c r="R766">
        <v>5</v>
      </c>
      <c r="AI766" t="s">
        <v>220</v>
      </c>
      <c r="AJ766">
        <v>14939</v>
      </c>
      <c r="AL766">
        <f>COUNTIF(AI:AI,AK766)</f>
        <v>0</v>
      </c>
      <c r="AM766">
        <f>SUMIF(AI:AI,AK766,AJ:AJ)</f>
        <v>0</v>
      </c>
      <c r="AP766" t="s">
        <v>12</v>
      </c>
      <c r="AQ766" t="s">
        <v>131</v>
      </c>
      <c r="BP766" t="s">
        <v>17</v>
      </c>
      <c r="BQ766" t="s">
        <v>224</v>
      </c>
      <c r="BR766">
        <f t="shared" si="111"/>
        <v>12</v>
      </c>
      <c r="BS766">
        <f t="shared" si="105"/>
        <v>2023</v>
      </c>
      <c r="BT766">
        <v>3</v>
      </c>
      <c r="BU766" t="str">
        <f t="shared" si="106"/>
        <v>2023-12</v>
      </c>
      <c r="BV766">
        <f t="shared" si="107"/>
        <v>0</v>
      </c>
      <c r="BX766" t="s">
        <v>17</v>
      </c>
      <c r="BY766" t="s">
        <v>391</v>
      </c>
      <c r="BZ766">
        <v>75381</v>
      </c>
      <c r="CA766">
        <f t="shared" si="108"/>
        <v>6</v>
      </c>
      <c r="CB766">
        <f t="shared" si="109"/>
        <v>2024</v>
      </c>
      <c r="CC766" t="str">
        <f t="shared" si="110"/>
        <v>2024-6</v>
      </c>
    </row>
    <row r="767" spans="1:81" x14ac:dyDescent="0.25">
      <c r="A767" t="s">
        <v>8</v>
      </c>
      <c r="B767" t="s">
        <v>220</v>
      </c>
      <c r="C767" t="s">
        <v>391</v>
      </c>
      <c r="D767">
        <v>14939</v>
      </c>
      <c r="E767">
        <v>8</v>
      </c>
      <c r="P767" t="s">
        <v>27</v>
      </c>
      <c r="Q767" t="s">
        <v>294</v>
      </c>
      <c r="R767">
        <v>8</v>
      </c>
      <c r="AI767" t="s">
        <v>89</v>
      </c>
      <c r="AJ767">
        <v>23001</v>
      </c>
      <c r="AL767">
        <f>COUNTIF(AI:AI,AK767)</f>
        <v>0</v>
      </c>
      <c r="AM767">
        <f>SUMIF(AI:AI,AK767,AJ:AJ)</f>
        <v>0</v>
      </c>
      <c r="AP767" t="s">
        <v>32</v>
      </c>
      <c r="AQ767" t="s">
        <v>112</v>
      </c>
      <c r="BP767" t="s">
        <v>17</v>
      </c>
      <c r="BQ767" t="s">
        <v>230</v>
      </c>
      <c r="BR767">
        <f t="shared" si="111"/>
        <v>12</v>
      </c>
      <c r="BS767">
        <f t="shared" si="105"/>
        <v>2023</v>
      </c>
      <c r="BT767">
        <v>8</v>
      </c>
      <c r="BU767" t="str">
        <f t="shared" si="106"/>
        <v>2023-12</v>
      </c>
      <c r="BV767">
        <f t="shared" si="107"/>
        <v>1</v>
      </c>
      <c r="BX767" t="s">
        <v>8</v>
      </c>
      <c r="BY767" t="s">
        <v>391</v>
      </c>
      <c r="BZ767">
        <v>14939</v>
      </c>
      <c r="CA767">
        <f t="shared" si="108"/>
        <v>6</v>
      </c>
      <c r="CB767">
        <f t="shared" si="109"/>
        <v>2024</v>
      </c>
      <c r="CC767" t="str">
        <f t="shared" si="110"/>
        <v>2024-6</v>
      </c>
    </row>
    <row r="768" spans="1:81" x14ac:dyDescent="0.25">
      <c r="A768" t="s">
        <v>5</v>
      </c>
      <c r="B768" t="s">
        <v>89</v>
      </c>
      <c r="C768" t="s">
        <v>394</v>
      </c>
      <c r="D768">
        <v>23001</v>
      </c>
      <c r="E768">
        <v>8</v>
      </c>
      <c r="P768" t="s">
        <v>8</v>
      </c>
      <c r="Q768" t="s">
        <v>195</v>
      </c>
      <c r="R768">
        <v>10</v>
      </c>
      <c r="AI768" t="s">
        <v>215</v>
      </c>
      <c r="AJ768">
        <v>16803</v>
      </c>
      <c r="AL768">
        <f>COUNTIF(AI:AI,AK768)</f>
        <v>0</v>
      </c>
      <c r="AM768">
        <f>SUMIF(AI:AI,AK768,AJ:AJ)</f>
        <v>0</v>
      </c>
      <c r="AP768" t="s">
        <v>23</v>
      </c>
      <c r="AQ768" t="s">
        <v>396</v>
      </c>
      <c r="BP768" t="s">
        <v>17</v>
      </c>
      <c r="BQ768" t="s">
        <v>232</v>
      </c>
      <c r="BR768">
        <f t="shared" si="111"/>
        <v>12</v>
      </c>
      <c r="BS768">
        <f t="shared" si="105"/>
        <v>2023</v>
      </c>
      <c r="BT768">
        <v>8</v>
      </c>
      <c r="BU768" t="str">
        <f t="shared" si="106"/>
        <v>2023-12</v>
      </c>
      <c r="BV768">
        <f t="shared" si="107"/>
        <v>1</v>
      </c>
      <c r="BX768" t="s">
        <v>5</v>
      </c>
      <c r="BY768" t="s">
        <v>394</v>
      </c>
      <c r="BZ768">
        <v>23001</v>
      </c>
      <c r="CA768">
        <f t="shared" si="108"/>
        <v>6</v>
      </c>
      <c r="CB768">
        <f t="shared" si="109"/>
        <v>2024</v>
      </c>
      <c r="CC768" t="str">
        <f t="shared" si="110"/>
        <v>2024-6</v>
      </c>
    </row>
    <row r="769" spans="1:81" x14ac:dyDescent="0.25">
      <c r="A769" t="s">
        <v>5</v>
      </c>
      <c r="B769" t="s">
        <v>215</v>
      </c>
      <c r="C769" t="s">
        <v>394</v>
      </c>
      <c r="D769">
        <v>16803</v>
      </c>
      <c r="E769">
        <v>9</v>
      </c>
      <c r="P769" t="s">
        <v>32</v>
      </c>
      <c r="Q769" t="s">
        <v>180</v>
      </c>
      <c r="R769">
        <v>3</v>
      </c>
      <c r="AI769" t="s">
        <v>30</v>
      </c>
      <c r="AJ769">
        <v>62877</v>
      </c>
      <c r="AL769">
        <f>COUNTIF(AI:AI,AK769)</f>
        <v>0</v>
      </c>
      <c r="AM769">
        <f>SUMIF(AI:AI,AK769,AJ:AJ)</f>
        <v>0</v>
      </c>
      <c r="AP769" t="s">
        <v>5</v>
      </c>
      <c r="AQ769" t="s">
        <v>127</v>
      </c>
      <c r="BP769" t="s">
        <v>17</v>
      </c>
      <c r="BQ769" t="s">
        <v>243</v>
      </c>
      <c r="BR769">
        <f t="shared" si="111"/>
        <v>12</v>
      </c>
      <c r="BS769">
        <f t="shared" si="105"/>
        <v>2023</v>
      </c>
      <c r="BT769">
        <v>9</v>
      </c>
      <c r="BU769" t="str">
        <f t="shared" si="106"/>
        <v>2023-12</v>
      </c>
      <c r="BV769">
        <f t="shared" si="107"/>
        <v>2</v>
      </c>
      <c r="BX769" t="s">
        <v>5</v>
      </c>
      <c r="BY769" t="s">
        <v>394</v>
      </c>
      <c r="BZ769">
        <v>16803</v>
      </c>
      <c r="CA769">
        <f t="shared" si="108"/>
        <v>6</v>
      </c>
      <c r="CB769">
        <f t="shared" si="109"/>
        <v>2024</v>
      </c>
      <c r="CC769" t="str">
        <f t="shared" si="110"/>
        <v>2024-6</v>
      </c>
    </row>
    <row r="770" spans="1:81" x14ac:dyDescent="0.25">
      <c r="A770" t="s">
        <v>10</v>
      </c>
      <c r="B770" t="s">
        <v>30</v>
      </c>
      <c r="C770" t="s">
        <v>394</v>
      </c>
      <c r="D770">
        <v>62877</v>
      </c>
      <c r="E770">
        <v>7</v>
      </c>
      <c r="P770" t="s">
        <v>8</v>
      </c>
      <c r="Q770" t="s">
        <v>147</v>
      </c>
      <c r="R770">
        <v>9</v>
      </c>
      <c r="AI770" t="s">
        <v>325</v>
      </c>
      <c r="AJ770">
        <v>88880</v>
      </c>
      <c r="AL770">
        <f>COUNTIF(AI:AI,AK770)</f>
        <v>0</v>
      </c>
      <c r="AM770">
        <f>SUMIF(AI:AI,AK770,AJ:AJ)</f>
        <v>0</v>
      </c>
      <c r="AP770" t="s">
        <v>12</v>
      </c>
      <c r="AQ770" t="s">
        <v>396</v>
      </c>
      <c r="BP770" t="s">
        <v>17</v>
      </c>
      <c r="BQ770" t="s">
        <v>250</v>
      </c>
      <c r="BR770">
        <f t="shared" si="111"/>
        <v>1</v>
      </c>
      <c r="BS770">
        <f t="shared" si="105"/>
        <v>2024</v>
      </c>
      <c r="BT770">
        <v>7</v>
      </c>
      <c r="BU770" t="str">
        <f t="shared" si="106"/>
        <v>2024-1</v>
      </c>
      <c r="BV770">
        <f t="shared" si="107"/>
        <v>1</v>
      </c>
      <c r="BX770" t="s">
        <v>10</v>
      </c>
      <c r="BY770" t="s">
        <v>394</v>
      </c>
      <c r="BZ770">
        <v>62877</v>
      </c>
      <c r="CA770">
        <f t="shared" si="108"/>
        <v>6</v>
      </c>
      <c r="CB770">
        <f t="shared" si="109"/>
        <v>2024</v>
      </c>
      <c r="CC770" t="str">
        <f t="shared" si="110"/>
        <v>2024-6</v>
      </c>
    </row>
    <row r="771" spans="1:81" x14ac:dyDescent="0.25">
      <c r="A771" t="s">
        <v>5</v>
      </c>
      <c r="B771" t="s">
        <v>325</v>
      </c>
      <c r="C771" t="s">
        <v>394</v>
      </c>
      <c r="D771">
        <v>88880</v>
      </c>
      <c r="E771">
        <v>9</v>
      </c>
      <c r="P771" t="s">
        <v>8</v>
      </c>
      <c r="Q771" t="s">
        <v>28</v>
      </c>
      <c r="R771">
        <v>8</v>
      </c>
      <c r="AI771" t="s">
        <v>296</v>
      </c>
      <c r="AJ771">
        <v>61021</v>
      </c>
      <c r="AL771">
        <f>COUNTIF(AI:AI,AK771)</f>
        <v>0</v>
      </c>
      <c r="AM771">
        <f>SUMIF(AI:AI,AK771,AJ:AJ)</f>
        <v>0</v>
      </c>
      <c r="AP771" t="s">
        <v>8</v>
      </c>
      <c r="AQ771" t="s">
        <v>131</v>
      </c>
      <c r="BP771" t="s">
        <v>17</v>
      </c>
      <c r="BQ771" t="s">
        <v>258</v>
      </c>
      <c r="BR771">
        <f t="shared" si="111"/>
        <v>1</v>
      </c>
      <c r="BS771">
        <f t="shared" ref="BS771:BS834" si="112">YEAR(BQ771)</f>
        <v>2024</v>
      </c>
      <c r="BT771">
        <v>9</v>
      </c>
      <c r="BU771" t="str">
        <f t="shared" ref="BU771:BU834" si="113">BS771&amp;"-"&amp;BR771</f>
        <v>2024-1</v>
      </c>
      <c r="BV771">
        <f t="shared" ref="BV771:BV834" si="114">IF(BT771&lt;7,0,IF(BT771&lt;9,1,2))</f>
        <v>2</v>
      </c>
      <c r="BX771" t="s">
        <v>5</v>
      </c>
      <c r="BY771" t="s">
        <v>394</v>
      </c>
      <c r="BZ771">
        <v>88880</v>
      </c>
      <c r="CA771">
        <f t="shared" ref="CA771:CA834" si="115">MONTH(BY771)</f>
        <v>6</v>
      </c>
      <c r="CB771">
        <f t="shared" ref="CB771:CB834" si="116">YEAR(BY771)</f>
        <v>2024</v>
      </c>
      <c r="CC771" t="str">
        <f t="shared" ref="CC771:CC834" si="117">CB771&amp;"-"&amp;CA771</f>
        <v>2024-6</v>
      </c>
    </row>
    <row r="772" spans="1:81" x14ac:dyDescent="0.25">
      <c r="A772" t="s">
        <v>12</v>
      </c>
      <c r="B772" t="s">
        <v>296</v>
      </c>
      <c r="C772" t="s">
        <v>395</v>
      </c>
      <c r="D772">
        <v>61021</v>
      </c>
      <c r="E772">
        <v>9</v>
      </c>
      <c r="P772" t="s">
        <v>36</v>
      </c>
      <c r="Q772" t="s">
        <v>188</v>
      </c>
      <c r="R772">
        <v>6</v>
      </c>
      <c r="AI772" t="s">
        <v>213</v>
      </c>
      <c r="AJ772">
        <v>12350</v>
      </c>
      <c r="AL772">
        <f>COUNTIF(AI:AI,AK772)</f>
        <v>0</v>
      </c>
      <c r="AM772">
        <f>SUMIF(AI:AI,AK772,AJ:AJ)</f>
        <v>0</v>
      </c>
      <c r="AP772" t="s">
        <v>20</v>
      </c>
      <c r="AQ772" t="s">
        <v>197</v>
      </c>
      <c r="BP772" t="s">
        <v>17</v>
      </c>
      <c r="BQ772" t="s">
        <v>268</v>
      </c>
      <c r="BR772">
        <f t="shared" si="111"/>
        <v>1</v>
      </c>
      <c r="BS772">
        <f t="shared" si="112"/>
        <v>2024</v>
      </c>
      <c r="BT772">
        <v>9</v>
      </c>
      <c r="BU772" t="str">
        <f t="shared" si="113"/>
        <v>2024-1</v>
      </c>
      <c r="BV772">
        <f t="shared" si="114"/>
        <v>2</v>
      </c>
      <c r="BX772" t="s">
        <v>12</v>
      </c>
      <c r="BY772" t="s">
        <v>395</v>
      </c>
      <c r="BZ772">
        <v>61021</v>
      </c>
      <c r="CA772">
        <f t="shared" si="115"/>
        <v>6</v>
      </c>
      <c r="CB772">
        <f t="shared" si="116"/>
        <v>2024</v>
      </c>
      <c r="CC772" t="str">
        <f t="shared" si="117"/>
        <v>2024-6</v>
      </c>
    </row>
    <row r="773" spans="1:81" x14ac:dyDescent="0.25">
      <c r="A773" t="s">
        <v>23</v>
      </c>
      <c r="B773" t="s">
        <v>213</v>
      </c>
      <c r="C773" t="s">
        <v>395</v>
      </c>
      <c r="D773">
        <v>12350</v>
      </c>
      <c r="E773">
        <v>9</v>
      </c>
      <c r="P773" t="s">
        <v>17</v>
      </c>
      <c r="Q773" t="s">
        <v>308</v>
      </c>
      <c r="R773">
        <v>9</v>
      </c>
      <c r="AI773" t="s">
        <v>274</v>
      </c>
      <c r="AJ773">
        <v>37128</v>
      </c>
      <c r="AL773">
        <f>COUNTIF(AI:AI,AK773)</f>
        <v>0</v>
      </c>
      <c r="AM773">
        <f>SUMIF(AI:AI,AK773,AJ:AJ)</f>
        <v>0</v>
      </c>
      <c r="AP773" t="s">
        <v>14</v>
      </c>
      <c r="AQ773" t="s">
        <v>336</v>
      </c>
      <c r="BP773" t="s">
        <v>17</v>
      </c>
      <c r="BQ773" t="s">
        <v>272</v>
      </c>
      <c r="BR773">
        <f t="shared" si="111"/>
        <v>1</v>
      </c>
      <c r="BS773">
        <f t="shared" si="112"/>
        <v>2024</v>
      </c>
      <c r="BT773">
        <v>9</v>
      </c>
      <c r="BU773" t="str">
        <f t="shared" si="113"/>
        <v>2024-1</v>
      </c>
      <c r="BV773">
        <f t="shared" si="114"/>
        <v>2</v>
      </c>
      <c r="BX773" t="s">
        <v>23</v>
      </c>
      <c r="BY773" t="s">
        <v>395</v>
      </c>
      <c r="BZ773">
        <v>12350</v>
      </c>
      <c r="CA773">
        <f t="shared" si="115"/>
        <v>6</v>
      </c>
      <c r="CB773">
        <f t="shared" si="116"/>
        <v>2024</v>
      </c>
      <c r="CC773" t="str">
        <f t="shared" si="117"/>
        <v>2024-6</v>
      </c>
    </row>
    <row r="774" spans="1:81" x14ac:dyDescent="0.25">
      <c r="A774" t="s">
        <v>32</v>
      </c>
      <c r="B774" t="s">
        <v>274</v>
      </c>
      <c r="C774" t="s">
        <v>395</v>
      </c>
      <c r="D774">
        <v>37128</v>
      </c>
      <c r="E774">
        <v>9</v>
      </c>
      <c r="P774" t="s">
        <v>17</v>
      </c>
      <c r="Q774" t="s">
        <v>58</v>
      </c>
      <c r="R774">
        <v>8</v>
      </c>
      <c r="AI774" t="s">
        <v>190</v>
      </c>
      <c r="AJ774">
        <v>15196</v>
      </c>
      <c r="AL774">
        <f>COUNTIF(AI:AI,AK774)</f>
        <v>0</v>
      </c>
      <c r="AM774">
        <f>SUMIF(AI:AI,AK774,AJ:AJ)</f>
        <v>0</v>
      </c>
      <c r="AP774" t="s">
        <v>23</v>
      </c>
      <c r="AQ774" t="s">
        <v>81</v>
      </c>
      <c r="BP774" t="s">
        <v>17</v>
      </c>
      <c r="BQ774" t="s">
        <v>272</v>
      </c>
      <c r="BR774">
        <f t="shared" si="111"/>
        <v>1</v>
      </c>
      <c r="BS774">
        <f t="shared" si="112"/>
        <v>2024</v>
      </c>
      <c r="BT774">
        <v>9</v>
      </c>
      <c r="BU774" t="str">
        <f t="shared" si="113"/>
        <v>2024-1</v>
      </c>
      <c r="BV774">
        <f t="shared" si="114"/>
        <v>2</v>
      </c>
      <c r="BX774" t="s">
        <v>32</v>
      </c>
      <c r="BY774" t="s">
        <v>395</v>
      </c>
      <c r="BZ774">
        <v>37128</v>
      </c>
      <c r="CA774">
        <f t="shared" si="115"/>
        <v>6</v>
      </c>
      <c r="CB774">
        <f t="shared" si="116"/>
        <v>2024</v>
      </c>
      <c r="CC774" t="str">
        <f t="shared" si="117"/>
        <v>2024-6</v>
      </c>
    </row>
    <row r="775" spans="1:81" x14ac:dyDescent="0.25">
      <c r="A775" t="s">
        <v>27</v>
      </c>
      <c r="B775" t="s">
        <v>190</v>
      </c>
      <c r="C775" t="s">
        <v>395</v>
      </c>
      <c r="D775">
        <v>15196</v>
      </c>
      <c r="E775">
        <v>4</v>
      </c>
      <c r="P775" t="s">
        <v>20</v>
      </c>
      <c r="Q775" t="s">
        <v>191</v>
      </c>
      <c r="R775">
        <v>3</v>
      </c>
      <c r="AI775" t="s">
        <v>136</v>
      </c>
      <c r="AJ775">
        <v>43231</v>
      </c>
      <c r="AL775">
        <f>COUNTIF(AI:AI,AK775)</f>
        <v>0</v>
      </c>
      <c r="AM775">
        <f>SUMIF(AI:AI,AK775,AJ:AJ)</f>
        <v>0</v>
      </c>
      <c r="AP775" t="s">
        <v>12</v>
      </c>
      <c r="AQ775" t="s">
        <v>92</v>
      </c>
      <c r="BP775" t="s">
        <v>17</v>
      </c>
      <c r="BQ775" t="s">
        <v>273</v>
      </c>
      <c r="BR775">
        <f t="shared" si="111"/>
        <v>1</v>
      </c>
      <c r="BS775">
        <f t="shared" si="112"/>
        <v>2024</v>
      </c>
      <c r="BT775">
        <v>4</v>
      </c>
      <c r="BU775" t="str">
        <f t="shared" si="113"/>
        <v>2024-1</v>
      </c>
      <c r="BV775">
        <f t="shared" si="114"/>
        <v>0</v>
      </c>
      <c r="BX775" t="s">
        <v>27</v>
      </c>
      <c r="BY775" t="s">
        <v>395</v>
      </c>
      <c r="BZ775">
        <v>15196</v>
      </c>
      <c r="CA775">
        <f t="shared" si="115"/>
        <v>6</v>
      </c>
      <c r="CB775">
        <f t="shared" si="116"/>
        <v>2024</v>
      </c>
      <c r="CC775" t="str">
        <f t="shared" si="117"/>
        <v>2024-6</v>
      </c>
    </row>
    <row r="776" spans="1:81" x14ac:dyDescent="0.25">
      <c r="A776" t="s">
        <v>17</v>
      </c>
      <c r="B776" t="s">
        <v>136</v>
      </c>
      <c r="C776" t="s">
        <v>395</v>
      </c>
      <c r="D776">
        <v>43231</v>
      </c>
      <c r="E776">
        <v>6</v>
      </c>
      <c r="P776" t="s">
        <v>12</v>
      </c>
      <c r="Q776" t="s">
        <v>41</v>
      </c>
      <c r="R776">
        <v>6</v>
      </c>
      <c r="AI776" t="s">
        <v>396</v>
      </c>
      <c r="AJ776">
        <v>10858</v>
      </c>
      <c r="AL776">
        <f>COUNTIF(AI:AI,AK776)</f>
        <v>0</v>
      </c>
      <c r="AM776">
        <f>SUMIF(AI:AI,AK776,AJ:AJ)</f>
        <v>0</v>
      </c>
      <c r="AP776" t="s">
        <v>5</v>
      </c>
      <c r="AQ776" t="s">
        <v>61</v>
      </c>
      <c r="BP776" t="s">
        <v>17</v>
      </c>
      <c r="BQ776" t="s">
        <v>275</v>
      </c>
      <c r="BR776">
        <f t="shared" si="111"/>
        <v>1</v>
      </c>
      <c r="BS776">
        <f t="shared" si="112"/>
        <v>2024</v>
      </c>
      <c r="BT776">
        <v>6</v>
      </c>
      <c r="BU776" t="str">
        <f t="shared" si="113"/>
        <v>2024-1</v>
      </c>
      <c r="BV776">
        <f t="shared" si="114"/>
        <v>0</v>
      </c>
      <c r="BX776" t="s">
        <v>17</v>
      </c>
      <c r="BY776" t="s">
        <v>395</v>
      </c>
      <c r="BZ776">
        <v>43231</v>
      </c>
      <c r="CA776">
        <f t="shared" si="115"/>
        <v>6</v>
      </c>
      <c r="CB776">
        <f t="shared" si="116"/>
        <v>2024</v>
      </c>
      <c r="CC776" t="str">
        <f t="shared" si="117"/>
        <v>2024-6</v>
      </c>
    </row>
    <row r="777" spans="1:81" x14ac:dyDescent="0.25">
      <c r="A777" t="s">
        <v>27</v>
      </c>
      <c r="B777" t="s">
        <v>396</v>
      </c>
      <c r="C777" t="s">
        <v>397</v>
      </c>
      <c r="D777">
        <v>10858</v>
      </c>
      <c r="E777">
        <v>5</v>
      </c>
      <c r="P777" t="s">
        <v>10</v>
      </c>
      <c r="Q777" t="s">
        <v>171</v>
      </c>
      <c r="R777">
        <v>10</v>
      </c>
      <c r="AI777" t="s">
        <v>202</v>
      </c>
      <c r="AJ777">
        <v>78715</v>
      </c>
      <c r="AL777">
        <f>COUNTIF(AI:AI,AK777)</f>
        <v>0</v>
      </c>
      <c r="AM777">
        <f>SUMIF(AI:AI,AK777,AJ:AJ)</f>
        <v>0</v>
      </c>
      <c r="AP777" t="s">
        <v>20</v>
      </c>
      <c r="AQ777" t="s">
        <v>242</v>
      </c>
      <c r="BP777" t="s">
        <v>17</v>
      </c>
      <c r="BQ777" t="s">
        <v>282</v>
      </c>
      <c r="BR777">
        <f t="shared" si="111"/>
        <v>1</v>
      </c>
      <c r="BS777">
        <f t="shared" si="112"/>
        <v>2024</v>
      </c>
      <c r="BT777">
        <v>5</v>
      </c>
      <c r="BU777" t="str">
        <f t="shared" si="113"/>
        <v>2024-1</v>
      </c>
      <c r="BV777">
        <f t="shared" si="114"/>
        <v>0</v>
      </c>
      <c r="BX777" t="s">
        <v>27</v>
      </c>
      <c r="BY777" t="s">
        <v>397</v>
      </c>
      <c r="BZ777">
        <v>10858</v>
      </c>
      <c r="CA777">
        <f t="shared" si="115"/>
        <v>6</v>
      </c>
      <c r="CB777">
        <f t="shared" si="116"/>
        <v>2024</v>
      </c>
      <c r="CC777" t="str">
        <f t="shared" si="117"/>
        <v>2024-6</v>
      </c>
    </row>
    <row r="778" spans="1:81" x14ac:dyDescent="0.25">
      <c r="A778" t="s">
        <v>5</v>
      </c>
      <c r="B778" t="s">
        <v>202</v>
      </c>
      <c r="C778" t="s">
        <v>397</v>
      </c>
      <c r="D778">
        <v>78715</v>
      </c>
      <c r="E778">
        <v>4</v>
      </c>
      <c r="P778" t="s">
        <v>36</v>
      </c>
      <c r="Q778" t="s">
        <v>13</v>
      </c>
      <c r="R778">
        <v>9</v>
      </c>
      <c r="AI778" t="s">
        <v>72</v>
      </c>
      <c r="AJ778">
        <v>59956</v>
      </c>
      <c r="AL778">
        <f>COUNTIF(AI:AI,AK778)</f>
        <v>0</v>
      </c>
      <c r="AM778">
        <f>SUMIF(AI:AI,AK778,AJ:AJ)</f>
        <v>0</v>
      </c>
      <c r="AP778" t="s">
        <v>10</v>
      </c>
      <c r="AQ778" t="s">
        <v>67</v>
      </c>
      <c r="BP778" t="s">
        <v>17</v>
      </c>
      <c r="BQ778" t="s">
        <v>282</v>
      </c>
      <c r="BR778">
        <f t="shared" si="111"/>
        <v>1</v>
      </c>
      <c r="BS778">
        <f t="shared" si="112"/>
        <v>2024</v>
      </c>
      <c r="BT778">
        <v>4</v>
      </c>
      <c r="BU778" t="str">
        <f t="shared" si="113"/>
        <v>2024-1</v>
      </c>
      <c r="BV778">
        <f t="shared" si="114"/>
        <v>0</v>
      </c>
      <c r="BX778" t="s">
        <v>5</v>
      </c>
      <c r="BY778" t="s">
        <v>397</v>
      </c>
      <c r="BZ778">
        <v>78715</v>
      </c>
      <c r="CA778">
        <f t="shared" si="115"/>
        <v>6</v>
      </c>
      <c r="CB778">
        <f t="shared" si="116"/>
        <v>2024</v>
      </c>
      <c r="CC778" t="str">
        <f t="shared" si="117"/>
        <v>2024-6</v>
      </c>
    </row>
    <row r="779" spans="1:81" x14ac:dyDescent="0.25">
      <c r="A779" t="s">
        <v>17</v>
      </c>
      <c r="B779" t="s">
        <v>72</v>
      </c>
      <c r="C779" t="s">
        <v>397</v>
      </c>
      <c r="D779">
        <v>59956</v>
      </c>
      <c r="E779">
        <v>7</v>
      </c>
      <c r="P779" t="s">
        <v>5</v>
      </c>
      <c r="Q779" t="s">
        <v>77</v>
      </c>
      <c r="R779">
        <v>9</v>
      </c>
      <c r="AI779" t="s">
        <v>13</v>
      </c>
      <c r="AJ779">
        <v>78348</v>
      </c>
      <c r="AL779">
        <f>COUNTIF(AI:AI,AK779)</f>
        <v>0</v>
      </c>
      <c r="AM779">
        <f>SUMIF(AI:AI,AK779,AJ:AJ)</f>
        <v>0</v>
      </c>
      <c r="AP779" t="s">
        <v>14</v>
      </c>
      <c r="AQ779" t="s">
        <v>171</v>
      </c>
      <c r="BP779" t="s">
        <v>17</v>
      </c>
      <c r="BQ779" t="s">
        <v>282</v>
      </c>
      <c r="BR779">
        <f t="shared" si="111"/>
        <v>1</v>
      </c>
      <c r="BS779">
        <f t="shared" si="112"/>
        <v>2024</v>
      </c>
      <c r="BT779">
        <v>7</v>
      </c>
      <c r="BU779" t="str">
        <f t="shared" si="113"/>
        <v>2024-1</v>
      </c>
      <c r="BV779">
        <f t="shared" si="114"/>
        <v>1</v>
      </c>
      <c r="BX779" t="s">
        <v>17</v>
      </c>
      <c r="BY779" t="s">
        <v>397</v>
      </c>
      <c r="BZ779">
        <v>59956</v>
      </c>
      <c r="CA779">
        <f t="shared" si="115"/>
        <v>6</v>
      </c>
      <c r="CB779">
        <f t="shared" si="116"/>
        <v>2024</v>
      </c>
      <c r="CC779" t="str">
        <f t="shared" si="117"/>
        <v>2024-6</v>
      </c>
    </row>
    <row r="780" spans="1:81" x14ac:dyDescent="0.25">
      <c r="A780" t="s">
        <v>10</v>
      </c>
      <c r="B780" t="s">
        <v>13</v>
      </c>
      <c r="C780" t="s">
        <v>397</v>
      </c>
      <c r="D780">
        <v>78348</v>
      </c>
      <c r="E780">
        <v>7</v>
      </c>
      <c r="P780" t="s">
        <v>33</v>
      </c>
      <c r="Q780" t="s">
        <v>166</v>
      </c>
      <c r="R780">
        <v>3</v>
      </c>
      <c r="AI780" t="s">
        <v>111</v>
      </c>
      <c r="AJ780">
        <v>19726</v>
      </c>
      <c r="AL780">
        <f>COUNTIF(AI:AI,AK780)</f>
        <v>0</v>
      </c>
      <c r="AM780">
        <f>SUMIF(AI:AI,AK780,AJ:AJ)</f>
        <v>0</v>
      </c>
      <c r="AP780" t="s">
        <v>5</v>
      </c>
      <c r="AQ780" t="s">
        <v>195</v>
      </c>
      <c r="BP780" t="s">
        <v>17</v>
      </c>
      <c r="BQ780" t="s">
        <v>282</v>
      </c>
      <c r="BR780">
        <f t="shared" si="111"/>
        <v>1</v>
      </c>
      <c r="BS780">
        <f t="shared" si="112"/>
        <v>2024</v>
      </c>
      <c r="BT780">
        <v>7</v>
      </c>
      <c r="BU780" t="str">
        <f t="shared" si="113"/>
        <v>2024-1</v>
      </c>
      <c r="BV780">
        <f t="shared" si="114"/>
        <v>1</v>
      </c>
      <c r="BX780" t="s">
        <v>10</v>
      </c>
      <c r="BY780" t="s">
        <v>397</v>
      </c>
      <c r="BZ780">
        <v>78348</v>
      </c>
      <c r="CA780">
        <f t="shared" si="115"/>
        <v>6</v>
      </c>
      <c r="CB780">
        <f t="shared" si="116"/>
        <v>2024</v>
      </c>
      <c r="CC780" t="str">
        <f t="shared" si="117"/>
        <v>2024-6</v>
      </c>
    </row>
    <row r="781" spans="1:81" x14ac:dyDescent="0.25">
      <c r="A781" t="s">
        <v>27</v>
      </c>
      <c r="B781" t="s">
        <v>111</v>
      </c>
      <c r="C781" t="s">
        <v>397</v>
      </c>
      <c r="D781">
        <v>19726</v>
      </c>
      <c r="E781">
        <v>7</v>
      </c>
      <c r="P781" t="s">
        <v>12</v>
      </c>
      <c r="Q781" t="s">
        <v>101</v>
      </c>
      <c r="R781">
        <v>1</v>
      </c>
      <c r="AI781" t="s">
        <v>104</v>
      </c>
      <c r="AJ781">
        <v>43160</v>
      </c>
      <c r="AL781">
        <f>COUNTIF(AI:AI,AK781)</f>
        <v>0</v>
      </c>
      <c r="AM781">
        <f>SUMIF(AI:AI,AK781,AJ:AJ)</f>
        <v>0</v>
      </c>
      <c r="AP781" t="s">
        <v>8</v>
      </c>
      <c r="AQ781" t="s">
        <v>296</v>
      </c>
      <c r="BP781" t="s">
        <v>17</v>
      </c>
      <c r="BQ781" t="s">
        <v>288</v>
      </c>
      <c r="BR781">
        <f t="shared" si="111"/>
        <v>2</v>
      </c>
      <c r="BS781">
        <f t="shared" si="112"/>
        <v>2024</v>
      </c>
      <c r="BT781">
        <v>7</v>
      </c>
      <c r="BU781" t="str">
        <f t="shared" si="113"/>
        <v>2024-2</v>
      </c>
      <c r="BV781">
        <f t="shared" si="114"/>
        <v>1</v>
      </c>
      <c r="BX781" t="s">
        <v>27</v>
      </c>
      <c r="BY781" t="s">
        <v>397</v>
      </c>
      <c r="BZ781">
        <v>19726</v>
      </c>
      <c r="CA781">
        <f t="shared" si="115"/>
        <v>6</v>
      </c>
      <c r="CB781">
        <f t="shared" si="116"/>
        <v>2024</v>
      </c>
      <c r="CC781" t="str">
        <f t="shared" si="117"/>
        <v>2024-6</v>
      </c>
    </row>
    <row r="782" spans="1:81" x14ac:dyDescent="0.25">
      <c r="A782" t="s">
        <v>14</v>
      </c>
      <c r="B782" t="s">
        <v>104</v>
      </c>
      <c r="C782" t="s">
        <v>397</v>
      </c>
      <c r="D782">
        <v>43160</v>
      </c>
      <c r="E782">
        <v>8</v>
      </c>
      <c r="P782" t="s">
        <v>8</v>
      </c>
      <c r="Q782" t="s">
        <v>352</v>
      </c>
      <c r="R782">
        <v>7</v>
      </c>
      <c r="AI782" t="s">
        <v>131</v>
      </c>
      <c r="AJ782">
        <v>53071</v>
      </c>
      <c r="AL782">
        <f>COUNTIF(AI:AI,AK782)</f>
        <v>0</v>
      </c>
      <c r="AM782">
        <f>SUMIF(AI:AI,AK782,AJ:AJ)</f>
        <v>0</v>
      </c>
      <c r="AP782" t="s">
        <v>8</v>
      </c>
      <c r="AQ782" t="s">
        <v>327</v>
      </c>
      <c r="BP782" t="s">
        <v>17</v>
      </c>
      <c r="BQ782" t="s">
        <v>293</v>
      </c>
      <c r="BR782">
        <f t="shared" si="111"/>
        <v>2</v>
      </c>
      <c r="BS782">
        <f t="shared" si="112"/>
        <v>2024</v>
      </c>
      <c r="BT782">
        <v>8</v>
      </c>
      <c r="BU782" t="str">
        <f t="shared" si="113"/>
        <v>2024-2</v>
      </c>
      <c r="BV782">
        <f t="shared" si="114"/>
        <v>1</v>
      </c>
      <c r="BX782" t="s">
        <v>14</v>
      </c>
      <c r="BY782" t="s">
        <v>397</v>
      </c>
      <c r="BZ782">
        <v>43160</v>
      </c>
      <c r="CA782">
        <f t="shared" si="115"/>
        <v>6</v>
      </c>
      <c r="CB782">
        <f t="shared" si="116"/>
        <v>2024</v>
      </c>
      <c r="CC782" t="str">
        <f t="shared" si="117"/>
        <v>2024-6</v>
      </c>
    </row>
    <row r="783" spans="1:81" x14ac:dyDescent="0.25">
      <c r="A783" t="s">
        <v>14</v>
      </c>
      <c r="B783" t="s">
        <v>131</v>
      </c>
      <c r="C783" t="s">
        <v>398</v>
      </c>
      <c r="D783">
        <v>53071</v>
      </c>
      <c r="E783">
        <v>6</v>
      </c>
      <c r="P783" t="s">
        <v>5</v>
      </c>
      <c r="Q783" t="s">
        <v>214</v>
      </c>
      <c r="R783">
        <v>9</v>
      </c>
      <c r="AI783" t="s">
        <v>196</v>
      </c>
      <c r="AJ783">
        <v>98953</v>
      </c>
      <c r="AL783">
        <f>COUNTIF(AI:AI,AK783)</f>
        <v>0</v>
      </c>
      <c r="AM783">
        <f>SUMIF(AI:AI,AK783,AJ:AJ)</f>
        <v>0</v>
      </c>
      <c r="AP783" t="s">
        <v>17</v>
      </c>
      <c r="AQ783" t="s">
        <v>39</v>
      </c>
      <c r="BP783" t="s">
        <v>17</v>
      </c>
      <c r="BQ783" t="s">
        <v>298</v>
      </c>
      <c r="BR783">
        <f t="shared" si="111"/>
        <v>2</v>
      </c>
      <c r="BS783">
        <f t="shared" si="112"/>
        <v>2024</v>
      </c>
      <c r="BT783">
        <v>6</v>
      </c>
      <c r="BU783" t="str">
        <f t="shared" si="113"/>
        <v>2024-2</v>
      </c>
      <c r="BV783">
        <f t="shared" si="114"/>
        <v>0</v>
      </c>
      <c r="BX783" t="s">
        <v>14</v>
      </c>
      <c r="BY783" t="s">
        <v>398</v>
      </c>
      <c r="BZ783">
        <v>53071</v>
      </c>
      <c r="CA783">
        <f t="shared" si="115"/>
        <v>6</v>
      </c>
      <c r="CB783">
        <f t="shared" si="116"/>
        <v>2024</v>
      </c>
      <c r="CC783" t="str">
        <f t="shared" si="117"/>
        <v>2024-6</v>
      </c>
    </row>
    <row r="784" spans="1:81" x14ac:dyDescent="0.25">
      <c r="A784" t="s">
        <v>10</v>
      </c>
      <c r="B784" t="s">
        <v>196</v>
      </c>
      <c r="C784" t="s">
        <v>399</v>
      </c>
      <c r="D784">
        <v>98953</v>
      </c>
      <c r="E784">
        <v>10</v>
      </c>
      <c r="P784" t="s">
        <v>10</v>
      </c>
      <c r="Q784" t="s">
        <v>184</v>
      </c>
      <c r="R784">
        <v>7</v>
      </c>
      <c r="AI784" t="s">
        <v>131</v>
      </c>
      <c r="AJ784">
        <v>16191</v>
      </c>
      <c r="AL784">
        <f>COUNTIF(AI:AI,AK784)</f>
        <v>0</v>
      </c>
      <c r="AM784">
        <f>SUMIF(AI:AI,AK784,AJ:AJ)</f>
        <v>0</v>
      </c>
      <c r="AP784" t="s">
        <v>33</v>
      </c>
      <c r="AQ784" t="s">
        <v>65</v>
      </c>
      <c r="BP784" t="s">
        <v>17</v>
      </c>
      <c r="BQ784" t="s">
        <v>300</v>
      </c>
      <c r="BR784">
        <f t="shared" si="111"/>
        <v>2</v>
      </c>
      <c r="BS784">
        <f t="shared" si="112"/>
        <v>2024</v>
      </c>
      <c r="BT784">
        <v>10</v>
      </c>
      <c r="BU784" t="str">
        <f t="shared" si="113"/>
        <v>2024-2</v>
      </c>
      <c r="BV784">
        <f t="shared" si="114"/>
        <v>2</v>
      </c>
      <c r="BX784" t="s">
        <v>10</v>
      </c>
      <c r="BY784" t="s">
        <v>399</v>
      </c>
      <c r="BZ784">
        <v>98953</v>
      </c>
      <c r="CA784">
        <f t="shared" si="115"/>
        <v>6</v>
      </c>
      <c r="CB784">
        <f t="shared" si="116"/>
        <v>2024</v>
      </c>
      <c r="CC784" t="str">
        <f t="shared" si="117"/>
        <v>2024-6</v>
      </c>
    </row>
    <row r="785" spans="1:81" x14ac:dyDescent="0.25">
      <c r="A785" t="s">
        <v>32</v>
      </c>
      <c r="B785" t="s">
        <v>131</v>
      </c>
      <c r="C785" t="s">
        <v>399</v>
      </c>
      <c r="D785">
        <v>16191</v>
      </c>
      <c r="E785">
        <v>5</v>
      </c>
      <c r="P785" t="s">
        <v>20</v>
      </c>
      <c r="Q785" t="s">
        <v>18</v>
      </c>
      <c r="R785">
        <v>5</v>
      </c>
      <c r="AI785" t="s">
        <v>42</v>
      </c>
      <c r="AJ785">
        <v>11703</v>
      </c>
      <c r="AL785">
        <f>COUNTIF(AI:AI,AK785)</f>
        <v>0</v>
      </c>
      <c r="AM785">
        <f>SUMIF(AI:AI,AK785,AJ:AJ)</f>
        <v>0</v>
      </c>
      <c r="AP785" t="s">
        <v>17</v>
      </c>
      <c r="AQ785" t="s">
        <v>118</v>
      </c>
      <c r="BP785" t="s">
        <v>17</v>
      </c>
      <c r="BQ785" t="s">
        <v>300</v>
      </c>
      <c r="BR785">
        <f t="shared" si="111"/>
        <v>2</v>
      </c>
      <c r="BS785">
        <f t="shared" si="112"/>
        <v>2024</v>
      </c>
      <c r="BT785">
        <v>5</v>
      </c>
      <c r="BU785" t="str">
        <f t="shared" si="113"/>
        <v>2024-2</v>
      </c>
      <c r="BV785">
        <f t="shared" si="114"/>
        <v>0</v>
      </c>
      <c r="BX785" t="s">
        <v>32</v>
      </c>
      <c r="BY785" t="s">
        <v>399</v>
      </c>
      <c r="BZ785">
        <v>16191</v>
      </c>
      <c r="CA785">
        <f t="shared" si="115"/>
        <v>6</v>
      </c>
      <c r="CB785">
        <f t="shared" si="116"/>
        <v>2024</v>
      </c>
      <c r="CC785" t="str">
        <f t="shared" si="117"/>
        <v>2024-6</v>
      </c>
    </row>
    <row r="786" spans="1:81" x14ac:dyDescent="0.25">
      <c r="A786" t="s">
        <v>17</v>
      </c>
      <c r="B786" t="s">
        <v>42</v>
      </c>
      <c r="C786" t="s">
        <v>399</v>
      </c>
      <c r="D786">
        <v>11703</v>
      </c>
      <c r="E786">
        <v>5</v>
      </c>
      <c r="P786" t="s">
        <v>8</v>
      </c>
      <c r="Q786" t="s">
        <v>364</v>
      </c>
      <c r="R786">
        <v>3</v>
      </c>
      <c r="AI786" t="s">
        <v>294</v>
      </c>
      <c r="AJ786">
        <v>38535</v>
      </c>
      <c r="AL786">
        <f>COUNTIF(AI:AI,AK786)</f>
        <v>0</v>
      </c>
      <c r="AM786">
        <f>SUMIF(AI:AI,AK786,AJ:AJ)</f>
        <v>0</v>
      </c>
      <c r="AP786" t="s">
        <v>32</v>
      </c>
      <c r="AQ786" t="s">
        <v>212</v>
      </c>
      <c r="BP786" t="s">
        <v>17</v>
      </c>
      <c r="BQ786" t="s">
        <v>302</v>
      </c>
      <c r="BR786">
        <f t="shared" si="111"/>
        <v>2</v>
      </c>
      <c r="BS786">
        <f t="shared" si="112"/>
        <v>2024</v>
      </c>
      <c r="BT786">
        <v>5</v>
      </c>
      <c r="BU786" t="str">
        <f t="shared" si="113"/>
        <v>2024-2</v>
      </c>
      <c r="BV786">
        <f t="shared" si="114"/>
        <v>0</v>
      </c>
      <c r="BX786" t="s">
        <v>17</v>
      </c>
      <c r="BY786" t="s">
        <v>399</v>
      </c>
      <c r="BZ786">
        <v>11703</v>
      </c>
      <c r="CA786">
        <f t="shared" si="115"/>
        <v>6</v>
      </c>
      <c r="CB786">
        <f t="shared" si="116"/>
        <v>2024</v>
      </c>
      <c r="CC786" t="str">
        <f t="shared" si="117"/>
        <v>2024-6</v>
      </c>
    </row>
    <row r="787" spans="1:81" x14ac:dyDescent="0.25">
      <c r="A787" t="s">
        <v>27</v>
      </c>
      <c r="B787" t="s">
        <v>294</v>
      </c>
      <c r="C787" t="s">
        <v>400</v>
      </c>
      <c r="D787">
        <v>38535</v>
      </c>
      <c r="E787">
        <v>8</v>
      </c>
      <c r="P787" t="s">
        <v>8</v>
      </c>
      <c r="Q787" t="s">
        <v>190</v>
      </c>
      <c r="R787">
        <v>7</v>
      </c>
      <c r="AI787" t="s">
        <v>195</v>
      </c>
      <c r="AJ787">
        <v>87749</v>
      </c>
      <c r="AL787">
        <f>COUNTIF(AI:AI,AK787)</f>
        <v>0</v>
      </c>
      <c r="AM787">
        <f>SUMIF(AI:AI,AK787,AJ:AJ)</f>
        <v>0</v>
      </c>
      <c r="AP787" t="s">
        <v>14</v>
      </c>
      <c r="AQ787" t="s">
        <v>85</v>
      </c>
      <c r="BP787" t="s">
        <v>17</v>
      </c>
      <c r="BQ787" t="s">
        <v>304</v>
      </c>
      <c r="BR787">
        <f t="shared" si="111"/>
        <v>2</v>
      </c>
      <c r="BS787">
        <f t="shared" si="112"/>
        <v>2024</v>
      </c>
      <c r="BT787">
        <v>8</v>
      </c>
      <c r="BU787" t="str">
        <f t="shared" si="113"/>
        <v>2024-2</v>
      </c>
      <c r="BV787">
        <f t="shared" si="114"/>
        <v>1</v>
      </c>
      <c r="BX787" t="s">
        <v>27</v>
      </c>
      <c r="BY787" t="s">
        <v>400</v>
      </c>
      <c r="BZ787">
        <v>38535</v>
      </c>
      <c r="CA787">
        <f t="shared" si="115"/>
        <v>6</v>
      </c>
      <c r="CB787">
        <f t="shared" si="116"/>
        <v>2024</v>
      </c>
      <c r="CC787" t="str">
        <f t="shared" si="117"/>
        <v>2024-6</v>
      </c>
    </row>
    <row r="788" spans="1:81" x14ac:dyDescent="0.25">
      <c r="A788" t="s">
        <v>8</v>
      </c>
      <c r="B788" t="s">
        <v>195</v>
      </c>
      <c r="C788" t="s">
        <v>400</v>
      </c>
      <c r="D788">
        <v>87749</v>
      </c>
      <c r="E788">
        <v>10</v>
      </c>
      <c r="P788" t="s">
        <v>17</v>
      </c>
      <c r="Q788" t="s">
        <v>249</v>
      </c>
      <c r="R788">
        <v>7</v>
      </c>
      <c r="AI788" t="s">
        <v>180</v>
      </c>
      <c r="AJ788">
        <v>48951</v>
      </c>
      <c r="AL788">
        <f>COUNTIF(AI:AI,AK788)</f>
        <v>0</v>
      </c>
      <c r="AM788">
        <f>SUMIF(AI:AI,AK788,AJ:AJ)</f>
        <v>0</v>
      </c>
      <c r="AP788" t="s">
        <v>8</v>
      </c>
      <c r="AQ788" t="s">
        <v>158</v>
      </c>
      <c r="BP788" t="s">
        <v>17</v>
      </c>
      <c r="BQ788" t="s">
        <v>305</v>
      </c>
      <c r="BR788">
        <f t="shared" si="111"/>
        <v>2</v>
      </c>
      <c r="BS788">
        <f t="shared" si="112"/>
        <v>2024</v>
      </c>
      <c r="BT788">
        <v>10</v>
      </c>
      <c r="BU788" t="str">
        <f t="shared" si="113"/>
        <v>2024-2</v>
      </c>
      <c r="BV788">
        <f t="shared" si="114"/>
        <v>2</v>
      </c>
      <c r="BX788" t="s">
        <v>8</v>
      </c>
      <c r="BY788" t="s">
        <v>400</v>
      </c>
      <c r="BZ788">
        <v>87749</v>
      </c>
      <c r="CA788">
        <f t="shared" si="115"/>
        <v>6</v>
      </c>
      <c r="CB788">
        <f t="shared" si="116"/>
        <v>2024</v>
      </c>
      <c r="CC788" t="str">
        <f t="shared" si="117"/>
        <v>2024-6</v>
      </c>
    </row>
    <row r="789" spans="1:81" x14ac:dyDescent="0.25">
      <c r="A789" t="s">
        <v>32</v>
      </c>
      <c r="B789" t="s">
        <v>180</v>
      </c>
      <c r="C789" t="s">
        <v>400</v>
      </c>
      <c r="D789">
        <v>48951</v>
      </c>
      <c r="E789">
        <v>3</v>
      </c>
      <c r="P789" t="s">
        <v>10</v>
      </c>
      <c r="Q789" t="s">
        <v>256</v>
      </c>
      <c r="R789">
        <v>7</v>
      </c>
      <c r="AI789" t="s">
        <v>147</v>
      </c>
      <c r="AJ789">
        <v>94737</v>
      </c>
      <c r="AL789">
        <f>COUNTIF(AI:AI,AK789)</f>
        <v>0</v>
      </c>
      <c r="AM789">
        <f>SUMIF(AI:AI,AK789,AJ:AJ)</f>
        <v>0</v>
      </c>
      <c r="AP789" t="s">
        <v>27</v>
      </c>
      <c r="AQ789" t="s">
        <v>174</v>
      </c>
      <c r="BP789" t="s">
        <v>17</v>
      </c>
      <c r="BQ789" t="s">
        <v>309</v>
      </c>
      <c r="BR789">
        <f t="shared" si="111"/>
        <v>2</v>
      </c>
      <c r="BS789">
        <f t="shared" si="112"/>
        <v>2024</v>
      </c>
      <c r="BT789">
        <v>3</v>
      </c>
      <c r="BU789" t="str">
        <f t="shared" si="113"/>
        <v>2024-2</v>
      </c>
      <c r="BV789">
        <f t="shared" si="114"/>
        <v>0</v>
      </c>
      <c r="BX789" t="s">
        <v>32</v>
      </c>
      <c r="BY789" t="s">
        <v>400</v>
      </c>
      <c r="BZ789">
        <v>48951</v>
      </c>
      <c r="CA789">
        <f t="shared" si="115"/>
        <v>6</v>
      </c>
      <c r="CB789">
        <f t="shared" si="116"/>
        <v>2024</v>
      </c>
      <c r="CC789" t="str">
        <f t="shared" si="117"/>
        <v>2024-6</v>
      </c>
    </row>
    <row r="790" spans="1:81" x14ac:dyDescent="0.25">
      <c r="A790" t="s">
        <v>8</v>
      </c>
      <c r="B790" t="s">
        <v>147</v>
      </c>
      <c r="C790" t="s">
        <v>400</v>
      </c>
      <c r="D790">
        <v>94737</v>
      </c>
      <c r="E790">
        <v>9</v>
      </c>
      <c r="P790" t="s">
        <v>17</v>
      </c>
      <c r="Q790" t="s">
        <v>296</v>
      </c>
      <c r="R790">
        <v>2</v>
      </c>
      <c r="AI790" t="s">
        <v>28</v>
      </c>
      <c r="AJ790">
        <v>66190</v>
      </c>
      <c r="AL790">
        <f>COUNTIF(AI:AI,AK790)</f>
        <v>0</v>
      </c>
      <c r="AM790">
        <f>SUMIF(AI:AI,AK790,AJ:AJ)</f>
        <v>0</v>
      </c>
      <c r="AP790" t="s">
        <v>5</v>
      </c>
      <c r="AQ790" t="s">
        <v>135</v>
      </c>
      <c r="BP790" t="s">
        <v>17</v>
      </c>
      <c r="BQ790" t="s">
        <v>313</v>
      </c>
      <c r="BR790">
        <f t="shared" si="111"/>
        <v>2</v>
      </c>
      <c r="BS790">
        <f t="shared" si="112"/>
        <v>2024</v>
      </c>
      <c r="BT790">
        <v>9</v>
      </c>
      <c r="BU790" t="str">
        <f t="shared" si="113"/>
        <v>2024-2</v>
      </c>
      <c r="BV790">
        <f t="shared" si="114"/>
        <v>2</v>
      </c>
      <c r="BX790" t="s">
        <v>8</v>
      </c>
      <c r="BY790" t="s">
        <v>400</v>
      </c>
      <c r="BZ790">
        <v>94737</v>
      </c>
      <c r="CA790">
        <f t="shared" si="115"/>
        <v>6</v>
      </c>
      <c r="CB790">
        <f t="shared" si="116"/>
        <v>2024</v>
      </c>
      <c r="CC790" t="str">
        <f t="shared" si="117"/>
        <v>2024-6</v>
      </c>
    </row>
    <row r="791" spans="1:81" x14ac:dyDescent="0.25">
      <c r="A791" t="s">
        <v>8</v>
      </c>
      <c r="B791" t="s">
        <v>28</v>
      </c>
      <c r="C791" t="s">
        <v>400</v>
      </c>
      <c r="D791">
        <v>66190</v>
      </c>
      <c r="E791">
        <v>8</v>
      </c>
      <c r="P791" t="s">
        <v>36</v>
      </c>
      <c r="Q791" t="s">
        <v>169</v>
      </c>
      <c r="R791">
        <v>7</v>
      </c>
      <c r="AI791" t="s">
        <v>188</v>
      </c>
      <c r="AJ791">
        <v>57544</v>
      </c>
      <c r="AL791">
        <f>COUNTIF(AI:AI,AK791)</f>
        <v>0</v>
      </c>
      <c r="AM791">
        <f>SUMIF(AI:AI,AK791,AJ:AJ)</f>
        <v>0</v>
      </c>
      <c r="AP791" t="s">
        <v>8</v>
      </c>
      <c r="AQ791" t="s">
        <v>253</v>
      </c>
      <c r="BP791" t="s">
        <v>17</v>
      </c>
      <c r="BQ791" t="s">
        <v>313</v>
      </c>
      <c r="BR791">
        <f t="shared" ref="BR791:BR854" si="118">MONTH(BQ791)</f>
        <v>2</v>
      </c>
      <c r="BS791">
        <f t="shared" si="112"/>
        <v>2024</v>
      </c>
      <c r="BT791">
        <v>8</v>
      </c>
      <c r="BU791" t="str">
        <f t="shared" si="113"/>
        <v>2024-2</v>
      </c>
      <c r="BV791">
        <f t="shared" si="114"/>
        <v>1</v>
      </c>
      <c r="BX791" t="s">
        <v>8</v>
      </c>
      <c r="BY791" t="s">
        <v>400</v>
      </c>
      <c r="BZ791">
        <v>66190</v>
      </c>
      <c r="CA791">
        <f t="shared" si="115"/>
        <v>6</v>
      </c>
      <c r="CB791">
        <f t="shared" si="116"/>
        <v>2024</v>
      </c>
      <c r="CC791" t="str">
        <f t="shared" si="117"/>
        <v>2024-6</v>
      </c>
    </row>
    <row r="792" spans="1:81" x14ac:dyDescent="0.25">
      <c r="A792" t="s">
        <v>36</v>
      </c>
      <c r="B792" t="s">
        <v>188</v>
      </c>
      <c r="C792" t="s">
        <v>400</v>
      </c>
      <c r="D792">
        <v>57544</v>
      </c>
      <c r="E792">
        <v>6</v>
      </c>
      <c r="P792" t="s">
        <v>12</v>
      </c>
      <c r="Q792" t="s">
        <v>42</v>
      </c>
      <c r="R792">
        <v>5</v>
      </c>
      <c r="AI792" t="s">
        <v>308</v>
      </c>
      <c r="AJ792">
        <v>44493</v>
      </c>
      <c r="AL792">
        <f>COUNTIF(AI:AI,AK792)</f>
        <v>0</v>
      </c>
      <c r="AM792">
        <f>SUMIF(AI:AI,AK792,AJ:AJ)</f>
        <v>0</v>
      </c>
      <c r="AP792" t="s">
        <v>27</v>
      </c>
      <c r="AQ792" t="s">
        <v>184</v>
      </c>
      <c r="BP792" t="s">
        <v>17</v>
      </c>
      <c r="BQ792" t="s">
        <v>315</v>
      </c>
      <c r="BR792">
        <f t="shared" si="118"/>
        <v>3</v>
      </c>
      <c r="BS792">
        <f t="shared" si="112"/>
        <v>2024</v>
      </c>
      <c r="BT792">
        <v>6</v>
      </c>
      <c r="BU792" t="str">
        <f t="shared" si="113"/>
        <v>2024-3</v>
      </c>
      <c r="BV792">
        <f t="shared" si="114"/>
        <v>0</v>
      </c>
      <c r="BX792" t="s">
        <v>36</v>
      </c>
      <c r="BY792" t="s">
        <v>400</v>
      </c>
      <c r="BZ792">
        <v>57544</v>
      </c>
      <c r="CA792">
        <f t="shared" si="115"/>
        <v>6</v>
      </c>
      <c r="CB792">
        <f t="shared" si="116"/>
        <v>2024</v>
      </c>
      <c r="CC792" t="str">
        <f t="shared" si="117"/>
        <v>2024-6</v>
      </c>
    </row>
    <row r="793" spans="1:81" x14ac:dyDescent="0.25">
      <c r="A793" t="s">
        <v>17</v>
      </c>
      <c r="B793" t="s">
        <v>308</v>
      </c>
      <c r="C793" t="s">
        <v>400</v>
      </c>
      <c r="D793">
        <v>44493</v>
      </c>
      <c r="E793">
        <v>9</v>
      </c>
      <c r="P793" t="s">
        <v>32</v>
      </c>
      <c r="Q793" t="s">
        <v>21</v>
      </c>
      <c r="R793">
        <v>6</v>
      </c>
      <c r="AI793" t="s">
        <v>58</v>
      </c>
      <c r="AJ793">
        <v>62582</v>
      </c>
      <c r="AL793">
        <f>COUNTIF(AI:AI,AK793)</f>
        <v>0</v>
      </c>
      <c r="AM793">
        <f>SUMIF(AI:AI,AK793,AJ:AJ)</f>
        <v>0</v>
      </c>
      <c r="AP793" t="s">
        <v>14</v>
      </c>
      <c r="AQ793" t="s">
        <v>100</v>
      </c>
      <c r="BP793" t="s">
        <v>17</v>
      </c>
      <c r="BQ793" t="s">
        <v>315</v>
      </c>
      <c r="BR793">
        <f t="shared" si="118"/>
        <v>3</v>
      </c>
      <c r="BS793">
        <f t="shared" si="112"/>
        <v>2024</v>
      </c>
      <c r="BT793">
        <v>9</v>
      </c>
      <c r="BU793" t="str">
        <f t="shared" si="113"/>
        <v>2024-3</v>
      </c>
      <c r="BV793">
        <f t="shared" si="114"/>
        <v>2</v>
      </c>
      <c r="BX793" t="s">
        <v>17</v>
      </c>
      <c r="BY793" t="s">
        <v>400</v>
      </c>
      <c r="BZ793">
        <v>44493</v>
      </c>
      <c r="CA793">
        <f t="shared" si="115"/>
        <v>6</v>
      </c>
      <c r="CB793">
        <f t="shared" si="116"/>
        <v>2024</v>
      </c>
      <c r="CC793" t="str">
        <f t="shared" si="117"/>
        <v>2024-6</v>
      </c>
    </row>
    <row r="794" spans="1:81" x14ac:dyDescent="0.25">
      <c r="A794" t="s">
        <v>17</v>
      </c>
      <c r="B794" t="s">
        <v>58</v>
      </c>
      <c r="C794" t="s">
        <v>400</v>
      </c>
      <c r="D794">
        <v>62582</v>
      </c>
      <c r="E794">
        <v>8</v>
      </c>
      <c r="P794" t="s">
        <v>5</v>
      </c>
      <c r="Q794" t="s">
        <v>53</v>
      </c>
      <c r="R794">
        <v>4</v>
      </c>
      <c r="AI794" t="s">
        <v>191</v>
      </c>
      <c r="AJ794">
        <v>73805</v>
      </c>
      <c r="AL794">
        <f>COUNTIF(AI:AI,AK794)</f>
        <v>0</v>
      </c>
      <c r="AM794">
        <f>SUMIF(AI:AI,AK794,AJ:AJ)</f>
        <v>0</v>
      </c>
      <c r="AP794" t="s">
        <v>27</v>
      </c>
      <c r="AQ794" t="s">
        <v>124</v>
      </c>
      <c r="BP794" t="s">
        <v>17</v>
      </c>
      <c r="BQ794" t="s">
        <v>318</v>
      </c>
      <c r="BR794">
        <f t="shared" si="118"/>
        <v>3</v>
      </c>
      <c r="BS794">
        <f t="shared" si="112"/>
        <v>2024</v>
      </c>
      <c r="BT794">
        <v>8</v>
      </c>
      <c r="BU794" t="str">
        <f t="shared" si="113"/>
        <v>2024-3</v>
      </c>
      <c r="BV794">
        <f t="shared" si="114"/>
        <v>1</v>
      </c>
      <c r="BX794" t="s">
        <v>17</v>
      </c>
      <c r="BY794" t="s">
        <v>400</v>
      </c>
      <c r="BZ794">
        <v>62582</v>
      </c>
      <c r="CA794">
        <f t="shared" si="115"/>
        <v>6</v>
      </c>
      <c r="CB794">
        <f t="shared" si="116"/>
        <v>2024</v>
      </c>
      <c r="CC794" t="str">
        <f t="shared" si="117"/>
        <v>2024-6</v>
      </c>
    </row>
    <row r="795" spans="1:81" x14ac:dyDescent="0.25">
      <c r="A795" t="s">
        <v>20</v>
      </c>
      <c r="B795" t="s">
        <v>191</v>
      </c>
      <c r="C795" t="s">
        <v>400</v>
      </c>
      <c r="D795">
        <v>73805</v>
      </c>
      <c r="E795">
        <v>3</v>
      </c>
      <c r="P795" t="s">
        <v>36</v>
      </c>
      <c r="Q795" t="s">
        <v>35</v>
      </c>
      <c r="R795">
        <v>8</v>
      </c>
      <c r="AI795" t="s">
        <v>41</v>
      </c>
      <c r="AJ795">
        <v>58861</v>
      </c>
      <c r="AL795">
        <f>COUNTIF(AI:AI,AK795)</f>
        <v>0</v>
      </c>
      <c r="AM795">
        <f>SUMIF(AI:AI,AK795,AJ:AJ)</f>
        <v>0</v>
      </c>
      <c r="AP795" t="s">
        <v>23</v>
      </c>
      <c r="AQ795" t="s">
        <v>334</v>
      </c>
      <c r="BP795" t="s">
        <v>17</v>
      </c>
      <c r="BQ795" t="s">
        <v>321</v>
      </c>
      <c r="BR795">
        <f t="shared" si="118"/>
        <v>3</v>
      </c>
      <c r="BS795">
        <f t="shared" si="112"/>
        <v>2024</v>
      </c>
      <c r="BT795">
        <v>3</v>
      </c>
      <c r="BU795" t="str">
        <f t="shared" si="113"/>
        <v>2024-3</v>
      </c>
      <c r="BV795">
        <f t="shared" si="114"/>
        <v>0</v>
      </c>
      <c r="BX795" t="s">
        <v>20</v>
      </c>
      <c r="BY795" t="s">
        <v>400</v>
      </c>
      <c r="BZ795">
        <v>73805</v>
      </c>
      <c r="CA795">
        <f t="shared" si="115"/>
        <v>6</v>
      </c>
      <c r="CB795">
        <f t="shared" si="116"/>
        <v>2024</v>
      </c>
      <c r="CC795" t="str">
        <f t="shared" si="117"/>
        <v>2024-6</v>
      </c>
    </row>
    <row r="796" spans="1:81" x14ac:dyDescent="0.25">
      <c r="A796" t="s">
        <v>12</v>
      </c>
      <c r="B796" t="s">
        <v>41</v>
      </c>
      <c r="C796" t="s">
        <v>400</v>
      </c>
      <c r="D796">
        <v>58861</v>
      </c>
      <c r="E796">
        <v>6</v>
      </c>
      <c r="P796" t="s">
        <v>23</v>
      </c>
      <c r="Q796" t="s">
        <v>25</v>
      </c>
      <c r="R796">
        <v>8</v>
      </c>
      <c r="AI796" t="s">
        <v>171</v>
      </c>
      <c r="AJ796">
        <v>33349</v>
      </c>
      <c r="AL796">
        <f>COUNTIF(AI:AI,AK796)</f>
        <v>0</v>
      </c>
      <c r="AM796">
        <f>SUMIF(AI:AI,AK796,AJ:AJ)</f>
        <v>0</v>
      </c>
      <c r="AP796" t="s">
        <v>17</v>
      </c>
      <c r="AQ796" t="s">
        <v>173</v>
      </c>
      <c r="BP796" t="s">
        <v>17</v>
      </c>
      <c r="BQ796" t="s">
        <v>328</v>
      </c>
      <c r="BR796">
        <f t="shared" si="118"/>
        <v>3</v>
      </c>
      <c r="BS796">
        <f t="shared" si="112"/>
        <v>2024</v>
      </c>
      <c r="BT796">
        <v>6</v>
      </c>
      <c r="BU796" t="str">
        <f t="shared" si="113"/>
        <v>2024-3</v>
      </c>
      <c r="BV796">
        <f t="shared" si="114"/>
        <v>0</v>
      </c>
      <c r="BX796" t="s">
        <v>12</v>
      </c>
      <c r="BY796" t="s">
        <v>400</v>
      </c>
      <c r="BZ796">
        <v>58861</v>
      </c>
      <c r="CA796">
        <f t="shared" si="115"/>
        <v>6</v>
      </c>
      <c r="CB796">
        <f t="shared" si="116"/>
        <v>2024</v>
      </c>
      <c r="CC796" t="str">
        <f t="shared" si="117"/>
        <v>2024-6</v>
      </c>
    </row>
    <row r="797" spans="1:81" x14ac:dyDescent="0.25">
      <c r="A797" t="s">
        <v>10</v>
      </c>
      <c r="B797" t="s">
        <v>171</v>
      </c>
      <c r="C797" t="s">
        <v>401</v>
      </c>
      <c r="D797">
        <v>33349</v>
      </c>
      <c r="E797">
        <v>10</v>
      </c>
      <c r="P797" t="s">
        <v>27</v>
      </c>
      <c r="Q797" t="s">
        <v>220</v>
      </c>
      <c r="R797">
        <v>8</v>
      </c>
      <c r="AI797" t="s">
        <v>13</v>
      </c>
      <c r="AJ797">
        <v>82732</v>
      </c>
      <c r="AL797">
        <f>COUNTIF(AI:AI,AK797)</f>
        <v>0</v>
      </c>
      <c r="AM797">
        <f>SUMIF(AI:AI,AK797,AJ:AJ)</f>
        <v>0</v>
      </c>
      <c r="AP797" t="s">
        <v>23</v>
      </c>
      <c r="AQ797" t="s">
        <v>445</v>
      </c>
      <c r="BP797" t="s">
        <v>17</v>
      </c>
      <c r="BQ797" t="s">
        <v>329</v>
      </c>
      <c r="BR797">
        <f t="shared" si="118"/>
        <v>3</v>
      </c>
      <c r="BS797">
        <f t="shared" si="112"/>
        <v>2024</v>
      </c>
      <c r="BT797">
        <v>10</v>
      </c>
      <c r="BU797" t="str">
        <f t="shared" si="113"/>
        <v>2024-3</v>
      </c>
      <c r="BV797">
        <f t="shared" si="114"/>
        <v>2</v>
      </c>
      <c r="BX797" t="s">
        <v>10</v>
      </c>
      <c r="BY797" t="s">
        <v>401</v>
      </c>
      <c r="BZ797">
        <v>33349</v>
      </c>
      <c r="CA797">
        <f t="shared" si="115"/>
        <v>6</v>
      </c>
      <c r="CB797">
        <f t="shared" si="116"/>
        <v>2024</v>
      </c>
      <c r="CC797" t="str">
        <f t="shared" si="117"/>
        <v>2024-6</v>
      </c>
    </row>
    <row r="798" spans="1:81" x14ac:dyDescent="0.25">
      <c r="A798" t="s">
        <v>36</v>
      </c>
      <c r="B798" t="s">
        <v>13</v>
      </c>
      <c r="C798" t="s">
        <v>401</v>
      </c>
      <c r="D798">
        <v>82732</v>
      </c>
      <c r="E798">
        <v>9</v>
      </c>
      <c r="P798" t="s">
        <v>36</v>
      </c>
      <c r="Q798" t="s">
        <v>281</v>
      </c>
      <c r="R798">
        <v>9</v>
      </c>
      <c r="AI798" t="s">
        <v>77</v>
      </c>
      <c r="AJ798">
        <v>62698</v>
      </c>
      <c r="AL798">
        <f>COUNTIF(AI:AI,AK798)</f>
        <v>0</v>
      </c>
      <c r="AM798">
        <f>SUMIF(AI:AI,AK798,AJ:AJ)</f>
        <v>0</v>
      </c>
      <c r="AP798" t="s">
        <v>8</v>
      </c>
      <c r="AQ798" t="s">
        <v>319</v>
      </c>
      <c r="BP798" t="s">
        <v>17</v>
      </c>
      <c r="BQ798" t="s">
        <v>329</v>
      </c>
      <c r="BR798">
        <f t="shared" si="118"/>
        <v>3</v>
      </c>
      <c r="BS798">
        <f t="shared" si="112"/>
        <v>2024</v>
      </c>
      <c r="BT798">
        <v>9</v>
      </c>
      <c r="BU798" t="str">
        <f t="shared" si="113"/>
        <v>2024-3</v>
      </c>
      <c r="BV798">
        <f t="shared" si="114"/>
        <v>2</v>
      </c>
      <c r="BX798" t="s">
        <v>36</v>
      </c>
      <c r="BY798" t="s">
        <v>401</v>
      </c>
      <c r="BZ798">
        <v>82732</v>
      </c>
      <c r="CA798">
        <f t="shared" si="115"/>
        <v>6</v>
      </c>
      <c r="CB798">
        <f t="shared" si="116"/>
        <v>2024</v>
      </c>
      <c r="CC798" t="str">
        <f t="shared" si="117"/>
        <v>2024-6</v>
      </c>
    </row>
    <row r="799" spans="1:81" x14ac:dyDescent="0.25">
      <c r="A799" t="s">
        <v>5</v>
      </c>
      <c r="B799" t="s">
        <v>77</v>
      </c>
      <c r="C799" t="s">
        <v>401</v>
      </c>
      <c r="D799">
        <v>62698</v>
      </c>
      <c r="E799">
        <v>9</v>
      </c>
      <c r="P799" t="s">
        <v>8</v>
      </c>
      <c r="Q799" t="s">
        <v>174</v>
      </c>
      <c r="R799">
        <v>5</v>
      </c>
      <c r="AI799" t="s">
        <v>53</v>
      </c>
      <c r="AJ799">
        <v>57155</v>
      </c>
      <c r="AL799">
        <f>COUNTIF(AI:AI,AK799)</f>
        <v>0</v>
      </c>
      <c r="AM799">
        <f>SUMIF(AI:AI,AK799,AJ:AJ)</f>
        <v>0</v>
      </c>
      <c r="AP799" t="s">
        <v>33</v>
      </c>
      <c r="AQ799" t="s">
        <v>206</v>
      </c>
      <c r="BP799" t="s">
        <v>17</v>
      </c>
      <c r="BQ799" t="s">
        <v>329</v>
      </c>
      <c r="BR799">
        <f t="shared" si="118"/>
        <v>3</v>
      </c>
      <c r="BS799">
        <f t="shared" si="112"/>
        <v>2024</v>
      </c>
      <c r="BT799">
        <v>9</v>
      </c>
      <c r="BU799" t="str">
        <f t="shared" si="113"/>
        <v>2024-3</v>
      </c>
      <c r="BV799">
        <f t="shared" si="114"/>
        <v>2</v>
      </c>
      <c r="BX799" t="s">
        <v>5</v>
      </c>
      <c r="BY799" t="s">
        <v>401</v>
      </c>
      <c r="BZ799">
        <v>62698</v>
      </c>
      <c r="CA799">
        <f t="shared" si="115"/>
        <v>6</v>
      </c>
      <c r="CB799">
        <f t="shared" si="116"/>
        <v>2024</v>
      </c>
      <c r="CC799" t="str">
        <f t="shared" si="117"/>
        <v>2024-6</v>
      </c>
    </row>
    <row r="800" spans="1:81" x14ac:dyDescent="0.25">
      <c r="A800" t="s">
        <v>20</v>
      </c>
      <c r="B800" t="s">
        <v>53</v>
      </c>
      <c r="C800" t="s">
        <v>401</v>
      </c>
      <c r="D800">
        <v>57155</v>
      </c>
      <c r="E800">
        <v>5</v>
      </c>
      <c r="P800" t="s">
        <v>23</v>
      </c>
      <c r="Q800" t="s">
        <v>215</v>
      </c>
      <c r="R800">
        <v>7</v>
      </c>
      <c r="AI800" t="s">
        <v>166</v>
      </c>
      <c r="AJ800">
        <v>77005</v>
      </c>
      <c r="AL800">
        <f>COUNTIF(AI:AI,AK800)</f>
        <v>0</v>
      </c>
      <c r="AM800">
        <f>SUMIF(AI:AI,AK800,AJ:AJ)</f>
        <v>0</v>
      </c>
      <c r="AP800" t="s">
        <v>10</v>
      </c>
      <c r="AQ800" t="s">
        <v>61</v>
      </c>
      <c r="BP800" t="s">
        <v>17</v>
      </c>
      <c r="BQ800" t="s">
        <v>330</v>
      </c>
      <c r="BR800">
        <f t="shared" si="118"/>
        <v>3</v>
      </c>
      <c r="BS800">
        <f t="shared" si="112"/>
        <v>2024</v>
      </c>
      <c r="BT800">
        <v>5</v>
      </c>
      <c r="BU800" t="str">
        <f t="shared" si="113"/>
        <v>2024-3</v>
      </c>
      <c r="BV800">
        <f t="shared" si="114"/>
        <v>0</v>
      </c>
      <c r="BX800" t="s">
        <v>20</v>
      </c>
      <c r="BY800" t="s">
        <v>401</v>
      </c>
      <c r="BZ800">
        <v>57155</v>
      </c>
      <c r="CA800">
        <f t="shared" si="115"/>
        <v>6</v>
      </c>
      <c r="CB800">
        <f t="shared" si="116"/>
        <v>2024</v>
      </c>
      <c r="CC800" t="str">
        <f t="shared" si="117"/>
        <v>2024-6</v>
      </c>
    </row>
    <row r="801" spans="1:81" x14ac:dyDescent="0.25">
      <c r="A801" t="s">
        <v>33</v>
      </c>
      <c r="B801" t="s">
        <v>166</v>
      </c>
      <c r="C801" t="s">
        <v>401</v>
      </c>
      <c r="D801">
        <v>77005</v>
      </c>
      <c r="E801">
        <v>3</v>
      </c>
      <c r="P801" t="s">
        <v>14</v>
      </c>
      <c r="Q801" t="s">
        <v>81</v>
      </c>
      <c r="R801">
        <v>7</v>
      </c>
      <c r="AI801" t="s">
        <v>101</v>
      </c>
      <c r="AJ801">
        <v>40101</v>
      </c>
      <c r="AL801">
        <f>COUNTIF(AI:AI,AK801)</f>
        <v>0</v>
      </c>
      <c r="AM801">
        <f>SUMIF(AI:AI,AK801,AJ:AJ)</f>
        <v>0</v>
      </c>
      <c r="AP801" t="s">
        <v>10</v>
      </c>
      <c r="AQ801" t="s">
        <v>133</v>
      </c>
      <c r="BP801" t="s">
        <v>17</v>
      </c>
      <c r="BQ801" t="s">
        <v>331</v>
      </c>
      <c r="BR801">
        <f t="shared" si="118"/>
        <v>3</v>
      </c>
      <c r="BS801">
        <f t="shared" si="112"/>
        <v>2024</v>
      </c>
      <c r="BT801">
        <v>3</v>
      </c>
      <c r="BU801" t="str">
        <f t="shared" si="113"/>
        <v>2024-3</v>
      </c>
      <c r="BV801">
        <f t="shared" si="114"/>
        <v>0</v>
      </c>
      <c r="BX801" t="s">
        <v>33</v>
      </c>
      <c r="BY801" t="s">
        <v>401</v>
      </c>
      <c r="BZ801">
        <v>77005</v>
      </c>
      <c r="CA801">
        <f t="shared" si="115"/>
        <v>6</v>
      </c>
      <c r="CB801">
        <f t="shared" si="116"/>
        <v>2024</v>
      </c>
      <c r="CC801" t="str">
        <f t="shared" si="117"/>
        <v>2024-6</v>
      </c>
    </row>
    <row r="802" spans="1:81" x14ac:dyDescent="0.25">
      <c r="A802" t="s">
        <v>12</v>
      </c>
      <c r="B802" t="s">
        <v>101</v>
      </c>
      <c r="C802" t="s">
        <v>402</v>
      </c>
      <c r="D802">
        <v>40101</v>
      </c>
      <c r="E802">
        <v>1</v>
      </c>
      <c r="P802" t="s">
        <v>12</v>
      </c>
      <c r="Q802" t="s">
        <v>82</v>
      </c>
      <c r="R802">
        <v>4</v>
      </c>
      <c r="AI802" t="s">
        <v>352</v>
      </c>
      <c r="AJ802">
        <v>93379</v>
      </c>
      <c r="AL802">
        <f>COUNTIF(AI:AI,AK802)</f>
        <v>0</v>
      </c>
      <c r="AM802">
        <f>SUMIF(AI:AI,AK802,AJ:AJ)</f>
        <v>0</v>
      </c>
      <c r="AP802" t="s">
        <v>33</v>
      </c>
      <c r="AQ802" t="s">
        <v>180</v>
      </c>
      <c r="BP802" t="s">
        <v>17</v>
      </c>
      <c r="BQ802" t="s">
        <v>346</v>
      </c>
      <c r="BR802">
        <f t="shared" si="118"/>
        <v>4</v>
      </c>
      <c r="BS802">
        <f t="shared" si="112"/>
        <v>2024</v>
      </c>
      <c r="BT802">
        <v>1</v>
      </c>
      <c r="BU802" t="str">
        <f t="shared" si="113"/>
        <v>2024-4</v>
      </c>
      <c r="BV802">
        <f t="shared" si="114"/>
        <v>0</v>
      </c>
      <c r="BX802" t="s">
        <v>12</v>
      </c>
      <c r="BY802" t="s">
        <v>402</v>
      </c>
      <c r="BZ802">
        <v>40101</v>
      </c>
      <c r="CA802">
        <f t="shared" si="115"/>
        <v>6</v>
      </c>
      <c r="CB802">
        <f t="shared" si="116"/>
        <v>2024</v>
      </c>
      <c r="CC802" t="str">
        <f t="shared" si="117"/>
        <v>2024-6</v>
      </c>
    </row>
    <row r="803" spans="1:81" x14ac:dyDescent="0.25">
      <c r="A803" t="s">
        <v>8</v>
      </c>
      <c r="B803" t="s">
        <v>352</v>
      </c>
      <c r="C803" t="s">
        <v>402</v>
      </c>
      <c r="D803">
        <v>93379</v>
      </c>
      <c r="E803">
        <v>7</v>
      </c>
      <c r="P803" t="s">
        <v>36</v>
      </c>
      <c r="Q803" t="s">
        <v>111</v>
      </c>
      <c r="R803">
        <v>7</v>
      </c>
      <c r="AI803" t="s">
        <v>35</v>
      </c>
      <c r="AJ803">
        <v>93098</v>
      </c>
      <c r="AL803">
        <f>COUNTIF(AI:AI,AK803)</f>
        <v>0</v>
      </c>
      <c r="AM803">
        <f>SUMIF(AI:AI,AK803,AJ:AJ)</f>
        <v>0</v>
      </c>
      <c r="AP803" t="s">
        <v>33</v>
      </c>
      <c r="AQ803" t="s">
        <v>29</v>
      </c>
      <c r="BP803" t="s">
        <v>17</v>
      </c>
      <c r="BQ803" t="s">
        <v>346</v>
      </c>
      <c r="BR803">
        <f t="shared" si="118"/>
        <v>4</v>
      </c>
      <c r="BS803">
        <f t="shared" si="112"/>
        <v>2024</v>
      </c>
      <c r="BT803">
        <v>7</v>
      </c>
      <c r="BU803" t="str">
        <f t="shared" si="113"/>
        <v>2024-4</v>
      </c>
      <c r="BV803">
        <f t="shared" si="114"/>
        <v>1</v>
      </c>
      <c r="BX803" t="s">
        <v>8</v>
      </c>
      <c r="BY803" t="s">
        <v>402</v>
      </c>
      <c r="BZ803">
        <v>93379</v>
      </c>
      <c r="CA803">
        <f t="shared" si="115"/>
        <v>6</v>
      </c>
      <c r="CB803">
        <f t="shared" si="116"/>
        <v>2024</v>
      </c>
      <c r="CC803" t="str">
        <f t="shared" si="117"/>
        <v>2024-6</v>
      </c>
    </row>
    <row r="804" spans="1:81" x14ac:dyDescent="0.25">
      <c r="A804" t="s">
        <v>32</v>
      </c>
      <c r="B804" t="s">
        <v>35</v>
      </c>
      <c r="C804" t="s">
        <v>403</v>
      </c>
      <c r="D804">
        <v>93098</v>
      </c>
      <c r="E804">
        <v>8</v>
      </c>
      <c r="P804" t="s">
        <v>32</v>
      </c>
      <c r="Q804" t="s">
        <v>231</v>
      </c>
      <c r="R804">
        <v>7</v>
      </c>
      <c r="AI804" t="s">
        <v>214</v>
      </c>
      <c r="AJ804">
        <v>80794</v>
      </c>
      <c r="AL804">
        <f>COUNTIF(AI:AI,AK804)</f>
        <v>0</v>
      </c>
      <c r="AM804">
        <f>SUMIF(AI:AI,AK804,AJ:AJ)</f>
        <v>0</v>
      </c>
      <c r="AP804" t="s">
        <v>12</v>
      </c>
      <c r="AQ804" t="s">
        <v>352</v>
      </c>
      <c r="BP804" t="s">
        <v>17</v>
      </c>
      <c r="BQ804" t="s">
        <v>346</v>
      </c>
      <c r="BR804">
        <f t="shared" si="118"/>
        <v>4</v>
      </c>
      <c r="BS804">
        <f t="shared" si="112"/>
        <v>2024</v>
      </c>
      <c r="BT804">
        <v>8</v>
      </c>
      <c r="BU804" t="str">
        <f t="shared" si="113"/>
        <v>2024-4</v>
      </c>
      <c r="BV804">
        <f t="shared" si="114"/>
        <v>1</v>
      </c>
      <c r="BX804" t="s">
        <v>32</v>
      </c>
      <c r="BY804" t="s">
        <v>403</v>
      </c>
      <c r="BZ804">
        <v>93098</v>
      </c>
      <c r="CA804">
        <f t="shared" si="115"/>
        <v>6</v>
      </c>
      <c r="CB804">
        <f t="shared" si="116"/>
        <v>2024</v>
      </c>
      <c r="CC804" t="str">
        <f t="shared" si="117"/>
        <v>2024-6</v>
      </c>
    </row>
    <row r="805" spans="1:81" x14ac:dyDescent="0.25">
      <c r="A805" t="s">
        <v>5</v>
      </c>
      <c r="B805" t="s">
        <v>214</v>
      </c>
      <c r="C805" t="s">
        <v>403</v>
      </c>
      <c r="D805">
        <v>80794</v>
      </c>
      <c r="E805">
        <v>9</v>
      </c>
      <c r="P805" t="s">
        <v>32</v>
      </c>
      <c r="Q805" t="s">
        <v>157</v>
      </c>
      <c r="R805">
        <v>6</v>
      </c>
      <c r="AI805" t="s">
        <v>184</v>
      </c>
      <c r="AJ805">
        <v>42334</v>
      </c>
      <c r="AL805">
        <f>COUNTIF(AI:AI,AK805)</f>
        <v>0</v>
      </c>
      <c r="AM805">
        <f>SUMIF(AI:AI,AK805,AJ:AJ)</f>
        <v>0</v>
      </c>
      <c r="AP805" t="s">
        <v>8</v>
      </c>
      <c r="AQ805" t="s">
        <v>325</v>
      </c>
      <c r="BP805" t="s">
        <v>17</v>
      </c>
      <c r="BQ805" t="s">
        <v>347</v>
      </c>
      <c r="BR805">
        <f t="shared" si="118"/>
        <v>4</v>
      </c>
      <c r="BS805">
        <f t="shared" si="112"/>
        <v>2024</v>
      </c>
      <c r="BT805">
        <v>9</v>
      </c>
      <c r="BU805" t="str">
        <f t="shared" si="113"/>
        <v>2024-4</v>
      </c>
      <c r="BV805">
        <f t="shared" si="114"/>
        <v>2</v>
      </c>
      <c r="BX805" t="s">
        <v>5</v>
      </c>
      <c r="BY805" t="s">
        <v>403</v>
      </c>
      <c r="BZ805">
        <v>80794</v>
      </c>
      <c r="CA805">
        <f t="shared" si="115"/>
        <v>6</v>
      </c>
      <c r="CB805">
        <f t="shared" si="116"/>
        <v>2024</v>
      </c>
      <c r="CC805" t="str">
        <f t="shared" si="117"/>
        <v>2024-6</v>
      </c>
    </row>
    <row r="806" spans="1:81" x14ac:dyDescent="0.25">
      <c r="A806" t="s">
        <v>10</v>
      </c>
      <c r="B806" t="s">
        <v>184</v>
      </c>
      <c r="C806" t="s">
        <v>403</v>
      </c>
      <c r="D806">
        <v>42334</v>
      </c>
      <c r="E806">
        <v>7</v>
      </c>
      <c r="P806" t="s">
        <v>33</v>
      </c>
      <c r="Q806" t="s">
        <v>341</v>
      </c>
      <c r="R806">
        <v>3</v>
      </c>
      <c r="AI806" t="s">
        <v>18</v>
      </c>
      <c r="AJ806">
        <v>53858</v>
      </c>
      <c r="AL806">
        <f>COUNTIF(AI:AI,AK806)</f>
        <v>0</v>
      </c>
      <c r="AM806">
        <f>SUMIF(AI:AI,AK806,AJ:AJ)</f>
        <v>0</v>
      </c>
      <c r="AP806" t="s">
        <v>12</v>
      </c>
      <c r="AQ806" t="s">
        <v>327</v>
      </c>
      <c r="BP806" t="s">
        <v>17</v>
      </c>
      <c r="BQ806" t="s">
        <v>360</v>
      </c>
      <c r="BR806">
        <f t="shared" si="118"/>
        <v>4</v>
      </c>
      <c r="BS806">
        <f t="shared" si="112"/>
        <v>2024</v>
      </c>
      <c r="BT806">
        <v>7</v>
      </c>
      <c r="BU806" t="str">
        <f t="shared" si="113"/>
        <v>2024-4</v>
      </c>
      <c r="BV806">
        <f t="shared" si="114"/>
        <v>1</v>
      </c>
      <c r="BX806" t="s">
        <v>10</v>
      </c>
      <c r="BY806" t="s">
        <v>403</v>
      </c>
      <c r="BZ806">
        <v>42334</v>
      </c>
      <c r="CA806">
        <f t="shared" si="115"/>
        <v>6</v>
      </c>
      <c r="CB806">
        <f t="shared" si="116"/>
        <v>2024</v>
      </c>
      <c r="CC806" t="str">
        <f t="shared" si="117"/>
        <v>2024-6</v>
      </c>
    </row>
    <row r="807" spans="1:81" x14ac:dyDescent="0.25">
      <c r="A807" t="s">
        <v>20</v>
      </c>
      <c r="B807" t="s">
        <v>18</v>
      </c>
      <c r="C807" t="s">
        <v>403</v>
      </c>
      <c r="D807">
        <v>53858</v>
      </c>
      <c r="E807">
        <v>5</v>
      </c>
      <c r="P807" t="s">
        <v>20</v>
      </c>
      <c r="Q807" t="s">
        <v>19</v>
      </c>
      <c r="R807">
        <v>8</v>
      </c>
      <c r="AI807" t="s">
        <v>364</v>
      </c>
      <c r="AJ807">
        <v>12451</v>
      </c>
      <c r="AL807">
        <f>COUNTIF(AI:AI,AK807)</f>
        <v>0</v>
      </c>
      <c r="AM807">
        <f>SUMIF(AI:AI,AK807,AJ:AJ)</f>
        <v>0</v>
      </c>
      <c r="AP807" t="s">
        <v>33</v>
      </c>
      <c r="AQ807" t="s">
        <v>55</v>
      </c>
      <c r="BP807" t="s">
        <v>17</v>
      </c>
      <c r="BQ807" t="s">
        <v>360</v>
      </c>
      <c r="BR807">
        <f t="shared" si="118"/>
        <v>4</v>
      </c>
      <c r="BS807">
        <f t="shared" si="112"/>
        <v>2024</v>
      </c>
      <c r="BT807">
        <v>5</v>
      </c>
      <c r="BU807" t="str">
        <f t="shared" si="113"/>
        <v>2024-4</v>
      </c>
      <c r="BV807">
        <f t="shared" si="114"/>
        <v>0</v>
      </c>
      <c r="BX807" t="s">
        <v>20</v>
      </c>
      <c r="BY807" t="s">
        <v>403</v>
      </c>
      <c r="BZ807">
        <v>53858</v>
      </c>
      <c r="CA807">
        <f t="shared" si="115"/>
        <v>6</v>
      </c>
      <c r="CB807">
        <f t="shared" si="116"/>
        <v>2024</v>
      </c>
      <c r="CC807" t="str">
        <f t="shared" si="117"/>
        <v>2024-6</v>
      </c>
    </row>
    <row r="808" spans="1:81" x14ac:dyDescent="0.25">
      <c r="A808" t="s">
        <v>8</v>
      </c>
      <c r="B808" t="s">
        <v>364</v>
      </c>
      <c r="C808" t="s">
        <v>404</v>
      </c>
      <c r="D808">
        <v>12451</v>
      </c>
      <c r="E808">
        <v>3</v>
      </c>
      <c r="P808" t="s">
        <v>32</v>
      </c>
      <c r="Q808" t="s">
        <v>247</v>
      </c>
      <c r="R808">
        <v>6</v>
      </c>
      <c r="AI808" t="s">
        <v>190</v>
      </c>
      <c r="AJ808">
        <v>34136</v>
      </c>
      <c r="AL808">
        <f>COUNTIF(AI:AI,AK808)</f>
        <v>0</v>
      </c>
      <c r="AM808">
        <f>SUMIF(AI:AI,AK808,AJ:AJ)</f>
        <v>0</v>
      </c>
      <c r="AP808" t="s">
        <v>17</v>
      </c>
      <c r="AQ808" t="s">
        <v>451</v>
      </c>
      <c r="BP808" t="s">
        <v>17</v>
      </c>
      <c r="BQ808" t="s">
        <v>365</v>
      </c>
      <c r="BR808">
        <f t="shared" si="118"/>
        <v>5</v>
      </c>
      <c r="BS808">
        <f t="shared" si="112"/>
        <v>2024</v>
      </c>
      <c r="BT808">
        <v>3</v>
      </c>
      <c r="BU808" t="str">
        <f t="shared" si="113"/>
        <v>2024-5</v>
      </c>
      <c r="BV808">
        <f t="shared" si="114"/>
        <v>0</v>
      </c>
      <c r="BX808" t="s">
        <v>8</v>
      </c>
      <c r="BY808" t="s">
        <v>404</v>
      </c>
      <c r="BZ808">
        <v>12451</v>
      </c>
      <c r="CA808">
        <f t="shared" si="115"/>
        <v>6</v>
      </c>
      <c r="CB808">
        <f t="shared" si="116"/>
        <v>2024</v>
      </c>
      <c r="CC808" t="str">
        <f t="shared" si="117"/>
        <v>2024-6</v>
      </c>
    </row>
    <row r="809" spans="1:81" x14ac:dyDescent="0.25">
      <c r="A809" t="s">
        <v>8</v>
      </c>
      <c r="B809" t="s">
        <v>190</v>
      </c>
      <c r="C809" t="s">
        <v>404</v>
      </c>
      <c r="D809">
        <v>34136</v>
      </c>
      <c r="E809">
        <v>7</v>
      </c>
      <c r="P809" t="s">
        <v>23</v>
      </c>
      <c r="Q809" t="s">
        <v>173</v>
      </c>
      <c r="R809">
        <v>4</v>
      </c>
      <c r="AI809" t="s">
        <v>249</v>
      </c>
      <c r="AJ809">
        <v>13859</v>
      </c>
      <c r="AL809">
        <f>COUNTIF(AI:AI,AK809)</f>
        <v>0</v>
      </c>
      <c r="AM809">
        <f>SUMIF(AI:AI,AK809,AJ:AJ)</f>
        <v>0</v>
      </c>
      <c r="AP809" t="s">
        <v>33</v>
      </c>
      <c r="AQ809" t="s">
        <v>118</v>
      </c>
      <c r="BP809" t="s">
        <v>17</v>
      </c>
      <c r="BQ809" t="s">
        <v>367</v>
      </c>
      <c r="BR809">
        <f t="shared" si="118"/>
        <v>5</v>
      </c>
      <c r="BS809">
        <f t="shared" si="112"/>
        <v>2024</v>
      </c>
      <c r="BT809">
        <v>7</v>
      </c>
      <c r="BU809" t="str">
        <f t="shared" si="113"/>
        <v>2024-5</v>
      </c>
      <c r="BV809">
        <f t="shared" si="114"/>
        <v>1</v>
      </c>
      <c r="BX809" t="s">
        <v>8</v>
      </c>
      <c r="BY809" t="s">
        <v>404</v>
      </c>
      <c r="BZ809">
        <v>34136</v>
      </c>
      <c r="CA809">
        <f t="shared" si="115"/>
        <v>6</v>
      </c>
      <c r="CB809">
        <f t="shared" si="116"/>
        <v>2024</v>
      </c>
      <c r="CC809" t="str">
        <f t="shared" si="117"/>
        <v>2024-6</v>
      </c>
    </row>
    <row r="810" spans="1:81" x14ac:dyDescent="0.25">
      <c r="A810" t="s">
        <v>17</v>
      </c>
      <c r="B810" t="s">
        <v>249</v>
      </c>
      <c r="C810" t="s">
        <v>404</v>
      </c>
      <c r="D810">
        <v>13859</v>
      </c>
      <c r="E810">
        <v>7</v>
      </c>
      <c r="P810" t="s">
        <v>33</v>
      </c>
      <c r="Q810" t="s">
        <v>11</v>
      </c>
      <c r="R810">
        <v>3</v>
      </c>
      <c r="AI810" t="s">
        <v>256</v>
      </c>
      <c r="AJ810">
        <v>32971</v>
      </c>
      <c r="AL810">
        <f>COUNTIF(AI:AI,AK810)</f>
        <v>0</v>
      </c>
      <c r="AM810">
        <f>SUMIF(AI:AI,AK810,AJ:AJ)</f>
        <v>0</v>
      </c>
      <c r="AP810" t="s">
        <v>8</v>
      </c>
      <c r="AQ810" t="s">
        <v>279</v>
      </c>
      <c r="BP810" t="s">
        <v>17</v>
      </c>
      <c r="BQ810" t="s">
        <v>367</v>
      </c>
      <c r="BR810">
        <f t="shared" si="118"/>
        <v>5</v>
      </c>
      <c r="BS810">
        <f t="shared" si="112"/>
        <v>2024</v>
      </c>
      <c r="BT810">
        <v>7</v>
      </c>
      <c r="BU810" t="str">
        <f t="shared" si="113"/>
        <v>2024-5</v>
      </c>
      <c r="BV810">
        <f t="shared" si="114"/>
        <v>1</v>
      </c>
      <c r="BX810" t="s">
        <v>17</v>
      </c>
      <c r="BY810" t="s">
        <v>404</v>
      </c>
      <c r="BZ810">
        <v>13859</v>
      </c>
      <c r="CA810">
        <f t="shared" si="115"/>
        <v>6</v>
      </c>
      <c r="CB810">
        <f t="shared" si="116"/>
        <v>2024</v>
      </c>
      <c r="CC810" t="str">
        <f t="shared" si="117"/>
        <v>2024-6</v>
      </c>
    </row>
    <row r="811" spans="1:81" x14ac:dyDescent="0.25">
      <c r="A811" t="s">
        <v>10</v>
      </c>
      <c r="B811" t="s">
        <v>256</v>
      </c>
      <c r="C811" t="s">
        <v>404</v>
      </c>
      <c r="D811">
        <v>32971</v>
      </c>
      <c r="E811">
        <v>7</v>
      </c>
      <c r="P811" t="s">
        <v>5</v>
      </c>
      <c r="Q811" t="s">
        <v>392</v>
      </c>
      <c r="R811">
        <v>7</v>
      </c>
      <c r="AI811" t="s">
        <v>296</v>
      </c>
      <c r="AJ811">
        <v>26673</v>
      </c>
      <c r="AL811">
        <f>COUNTIF(AI:AI,AK811)</f>
        <v>0</v>
      </c>
      <c r="AM811">
        <f>SUMIF(AI:AI,AK811,AJ:AJ)</f>
        <v>0</v>
      </c>
      <c r="AP811" t="s">
        <v>33</v>
      </c>
      <c r="AQ811" t="s">
        <v>165</v>
      </c>
      <c r="BP811" t="s">
        <v>17</v>
      </c>
      <c r="BQ811" t="s">
        <v>372</v>
      </c>
      <c r="BR811">
        <f t="shared" si="118"/>
        <v>5</v>
      </c>
      <c r="BS811">
        <f t="shared" si="112"/>
        <v>2024</v>
      </c>
      <c r="BT811">
        <v>7</v>
      </c>
      <c r="BU811" t="str">
        <f t="shared" si="113"/>
        <v>2024-5</v>
      </c>
      <c r="BV811">
        <f t="shared" si="114"/>
        <v>1</v>
      </c>
      <c r="BX811" t="s">
        <v>10</v>
      </c>
      <c r="BY811" t="s">
        <v>404</v>
      </c>
      <c r="BZ811">
        <v>32971</v>
      </c>
      <c r="CA811">
        <f t="shared" si="115"/>
        <v>6</v>
      </c>
      <c r="CB811">
        <f t="shared" si="116"/>
        <v>2024</v>
      </c>
      <c r="CC811" t="str">
        <f t="shared" si="117"/>
        <v>2024-6</v>
      </c>
    </row>
    <row r="812" spans="1:81" x14ac:dyDescent="0.25">
      <c r="A812" t="s">
        <v>17</v>
      </c>
      <c r="B812" t="s">
        <v>296</v>
      </c>
      <c r="C812" t="s">
        <v>404</v>
      </c>
      <c r="D812">
        <v>26673</v>
      </c>
      <c r="E812">
        <v>2</v>
      </c>
      <c r="P812" t="s">
        <v>14</v>
      </c>
      <c r="Q812" t="s">
        <v>158</v>
      </c>
      <c r="R812">
        <v>7</v>
      </c>
      <c r="AI812" t="s">
        <v>169</v>
      </c>
      <c r="AJ812">
        <v>12479</v>
      </c>
      <c r="AL812">
        <f>COUNTIF(AI:AI,AK812)</f>
        <v>0</v>
      </c>
      <c r="AM812">
        <f>SUMIF(AI:AI,AK812,AJ:AJ)</f>
        <v>0</v>
      </c>
      <c r="AP812" t="s">
        <v>14</v>
      </c>
      <c r="AQ812" t="s">
        <v>296</v>
      </c>
      <c r="BP812" t="s">
        <v>17</v>
      </c>
      <c r="BQ812" t="s">
        <v>372</v>
      </c>
      <c r="BR812">
        <f t="shared" si="118"/>
        <v>5</v>
      </c>
      <c r="BS812">
        <f t="shared" si="112"/>
        <v>2024</v>
      </c>
      <c r="BT812">
        <v>2</v>
      </c>
      <c r="BU812" t="str">
        <f t="shared" si="113"/>
        <v>2024-5</v>
      </c>
      <c r="BV812">
        <f t="shared" si="114"/>
        <v>0</v>
      </c>
      <c r="BX812" t="s">
        <v>17</v>
      </c>
      <c r="BY812" t="s">
        <v>404</v>
      </c>
      <c r="BZ812">
        <v>26673</v>
      </c>
      <c r="CA812">
        <f t="shared" si="115"/>
        <v>6</v>
      </c>
      <c r="CB812">
        <f t="shared" si="116"/>
        <v>2024</v>
      </c>
      <c r="CC812" t="str">
        <f t="shared" si="117"/>
        <v>2024-6</v>
      </c>
    </row>
    <row r="813" spans="1:81" x14ac:dyDescent="0.25">
      <c r="A813" t="s">
        <v>36</v>
      </c>
      <c r="B813" t="s">
        <v>169</v>
      </c>
      <c r="C813" t="s">
        <v>404</v>
      </c>
      <c r="D813">
        <v>12479</v>
      </c>
      <c r="E813">
        <v>7</v>
      </c>
      <c r="P813" t="s">
        <v>10</v>
      </c>
      <c r="Q813" t="s">
        <v>11</v>
      </c>
      <c r="R813">
        <v>5</v>
      </c>
      <c r="AI813" t="s">
        <v>42</v>
      </c>
      <c r="AJ813">
        <v>14834</v>
      </c>
      <c r="AL813">
        <f>COUNTIF(AI:AI,AK813)</f>
        <v>0</v>
      </c>
      <c r="AM813">
        <f>SUMIF(AI:AI,AK813,AJ:AJ)</f>
        <v>0</v>
      </c>
      <c r="AP813" t="s">
        <v>14</v>
      </c>
      <c r="AQ813" t="s">
        <v>287</v>
      </c>
      <c r="BP813" t="s">
        <v>17</v>
      </c>
      <c r="BQ813" t="s">
        <v>374</v>
      </c>
      <c r="BR813">
        <f t="shared" si="118"/>
        <v>5</v>
      </c>
      <c r="BS813">
        <f t="shared" si="112"/>
        <v>2024</v>
      </c>
      <c r="BT813">
        <v>7</v>
      </c>
      <c r="BU813" t="str">
        <f t="shared" si="113"/>
        <v>2024-5</v>
      </c>
      <c r="BV813">
        <f t="shared" si="114"/>
        <v>1</v>
      </c>
      <c r="BX813" t="s">
        <v>36</v>
      </c>
      <c r="BY813" t="s">
        <v>404</v>
      </c>
      <c r="BZ813">
        <v>12479</v>
      </c>
      <c r="CA813">
        <f t="shared" si="115"/>
        <v>6</v>
      </c>
      <c r="CB813">
        <f t="shared" si="116"/>
        <v>2024</v>
      </c>
      <c r="CC813" t="str">
        <f t="shared" si="117"/>
        <v>2024-6</v>
      </c>
    </row>
    <row r="814" spans="1:81" x14ac:dyDescent="0.25">
      <c r="A814" t="s">
        <v>12</v>
      </c>
      <c r="B814" t="s">
        <v>42</v>
      </c>
      <c r="C814" t="s">
        <v>404</v>
      </c>
      <c r="D814">
        <v>14834</v>
      </c>
      <c r="E814">
        <v>5</v>
      </c>
      <c r="P814" t="s">
        <v>33</v>
      </c>
      <c r="Q814" t="s">
        <v>184</v>
      </c>
      <c r="R814">
        <v>8</v>
      </c>
      <c r="AI814" t="s">
        <v>21</v>
      </c>
      <c r="AJ814">
        <v>74619</v>
      </c>
      <c r="AL814">
        <f>COUNTIF(AI:AI,AK814)</f>
        <v>0</v>
      </c>
      <c r="AM814">
        <f>SUMIF(AI:AI,AK814,AJ:AJ)</f>
        <v>0</v>
      </c>
      <c r="AP814" t="s">
        <v>33</v>
      </c>
      <c r="AQ814" t="s">
        <v>220</v>
      </c>
      <c r="BP814" t="s">
        <v>17</v>
      </c>
      <c r="BQ814" t="s">
        <v>375</v>
      </c>
      <c r="BR814">
        <f t="shared" si="118"/>
        <v>5</v>
      </c>
      <c r="BS814">
        <f t="shared" si="112"/>
        <v>2024</v>
      </c>
      <c r="BT814">
        <v>5</v>
      </c>
      <c r="BU814" t="str">
        <f t="shared" si="113"/>
        <v>2024-5</v>
      </c>
      <c r="BV814">
        <f t="shared" si="114"/>
        <v>0</v>
      </c>
      <c r="BX814" t="s">
        <v>12</v>
      </c>
      <c r="BY814" t="s">
        <v>404</v>
      </c>
      <c r="BZ814">
        <v>14834</v>
      </c>
      <c r="CA814">
        <f t="shared" si="115"/>
        <v>6</v>
      </c>
      <c r="CB814">
        <f t="shared" si="116"/>
        <v>2024</v>
      </c>
      <c r="CC814" t="str">
        <f t="shared" si="117"/>
        <v>2024-6</v>
      </c>
    </row>
    <row r="815" spans="1:81" x14ac:dyDescent="0.25">
      <c r="A815" t="s">
        <v>32</v>
      </c>
      <c r="B815" t="s">
        <v>21</v>
      </c>
      <c r="C815" t="s">
        <v>405</v>
      </c>
      <c r="D815">
        <v>74619</v>
      </c>
      <c r="E815">
        <v>6</v>
      </c>
      <c r="P815" t="s">
        <v>8</v>
      </c>
      <c r="Q815" t="s">
        <v>188</v>
      </c>
      <c r="R815">
        <v>7</v>
      </c>
      <c r="AI815" t="s">
        <v>53</v>
      </c>
      <c r="AJ815">
        <v>77491</v>
      </c>
      <c r="AL815">
        <f>COUNTIF(AI:AI,AK815)</f>
        <v>0</v>
      </c>
      <c r="AM815">
        <f>SUMIF(AI:AI,AK815,AJ:AJ)</f>
        <v>0</v>
      </c>
      <c r="AP815" t="s">
        <v>17</v>
      </c>
      <c r="AQ815" t="s">
        <v>214</v>
      </c>
      <c r="BP815" t="s">
        <v>17</v>
      </c>
      <c r="BQ815" t="s">
        <v>381</v>
      </c>
      <c r="BR815">
        <f t="shared" si="118"/>
        <v>5</v>
      </c>
      <c r="BS815">
        <f t="shared" si="112"/>
        <v>2024</v>
      </c>
      <c r="BT815">
        <v>6</v>
      </c>
      <c r="BU815" t="str">
        <f t="shared" si="113"/>
        <v>2024-5</v>
      </c>
      <c r="BV815">
        <f t="shared" si="114"/>
        <v>0</v>
      </c>
      <c r="BX815" t="s">
        <v>32</v>
      </c>
      <c r="BY815" t="s">
        <v>405</v>
      </c>
      <c r="BZ815">
        <v>74619</v>
      </c>
      <c r="CA815">
        <f t="shared" si="115"/>
        <v>6</v>
      </c>
      <c r="CB815">
        <f t="shared" si="116"/>
        <v>2024</v>
      </c>
      <c r="CC815" t="str">
        <f t="shared" si="117"/>
        <v>2024-6</v>
      </c>
    </row>
    <row r="816" spans="1:81" x14ac:dyDescent="0.25">
      <c r="A816" t="s">
        <v>5</v>
      </c>
      <c r="B816" t="s">
        <v>53</v>
      </c>
      <c r="C816" t="s">
        <v>406</v>
      </c>
      <c r="D816">
        <v>77491</v>
      </c>
      <c r="E816">
        <v>4</v>
      </c>
      <c r="P816" t="s">
        <v>27</v>
      </c>
      <c r="Q816" t="s">
        <v>15</v>
      </c>
      <c r="R816">
        <v>5</v>
      </c>
      <c r="AI816" t="s">
        <v>39</v>
      </c>
      <c r="AJ816">
        <v>62725</v>
      </c>
      <c r="AL816">
        <f>COUNTIF(AI:AI,AK816)</f>
        <v>0</v>
      </c>
      <c r="AM816">
        <f>SUMIF(AI:AI,AK816,AJ:AJ)</f>
        <v>0</v>
      </c>
      <c r="AP816" t="s">
        <v>12</v>
      </c>
      <c r="AQ816" t="s">
        <v>180</v>
      </c>
      <c r="BP816" t="s">
        <v>17</v>
      </c>
      <c r="BQ816" t="s">
        <v>383</v>
      </c>
      <c r="BR816">
        <f t="shared" si="118"/>
        <v>5</v>
      </c>
      <c r="BS816">
        <f t="shared" si="112"/>
        <v>2024</v>
      </c>
      <c r="BT816">
        <v>4</v>
      </c>
      <c r="BU816" t="str">
        <f t="shared" si="113"/>
        <v>2024-5</v>
      </c>
      <c r="BV816">
        <f t="shared" si="114"/>
        <v>0</v>
      </c>
      <c r="BX816" t="s">
        <v>5</v>
      </c>
      <c r="BY816" t="s">
        <v>406</v>
      </c>
      <c r="BZ816">
        <v>77491</v>
      </c>
      <c r="CA816">
        <f t="shared" si="115"/>
        <v>6</v>
      </c>
      <c r="CB816">
        <f t="shared" si="116"/>
        <v>2024</v>
      </c>
      <c r="CC816" t="str">
        <f t="shared" si="117"/>
        <v>2024-6</v>
      </c>
    </row>
    <row r="817" spans="1:81" x14ac:dyDescent="0.25">
      <c r="A817" t="s">
        <v>5</v>
      </c>
      <c r="B817" t="s">
        <v>39</v>
      </c>
      <c r="C817" t="s">
        <v>407</v>
      </c>
      <c r="D817">
        <v>62725</v>
      </c>
      <c r="E817">
        <v>9</v>
      </c>
      <c r="P817" t="s">
        <v>27</v>
      </c>
      <c r="Q817" t="s">
        <v>319</v>
      </c>
      <c r="R817">
        <v>7</v>
      </c>
      <c r="AI817" t="s">
        <v>35</v>
      </c>
      <c r="AJ817">
        <v>25125</v>
      </c>
      <c r="AL817">
        <f>COUNTIF(AI:AI,AK817)</f>
        <v>0</v>
      </c>
      <c r="AM817">
        <f>SUMIF(AI:AI,AK817,AJ:AJ)</f>
        <v>0</v>
      </c>
      <c r="BP817" t="s">
        <v>17</v>
      </c>
      <c r="BQ817" t="s">
        <v>385</v>
      </c>
      <c r="BR817">
        <f t="shared" si="118"/>
        <v>5</v>
      </c>
      <c r="BS817">
        <f t="shared" si="112"/>
        <v>2024</v>
      </c>
      <c r="BT817">
        <v>9</v>
      </c>
      <c r="BU817" t="str">
        <f t="shared" si="113"/>
        <v>2024-5</v>
      </c>
      <c r="BV817">
        <f t="shared" si="114"/>
        <v>2</v>
      </c>
      <c r="BX817" t="s">
        <v>5</v>
      </c>
      <c r="BY817" t="s">
        <v>407</v>
      </c>
      <c r="BZ817">
        <v>62725</v>
      </c>
      <c r="CA817">
        <f t="shared" si="115"/>
        <v>6</v>
      </c>
      <c r="CB817">
        <f t="shared" si="116"/>
        <v>2024</v>
      </c>
      <c r="CC817" t="str">
        <f t="shared" si="117"/>
        <v>2024-6</v>
      </c>
    </row>
    <row r="818" spans="1:81" x14ac:dyDescent="0.25">
      <c r="A818" t="s">
        <v>36</v>
      </c>
      <c r="B818" t="s">
        <v>35</v>
      </c>
      <c r="C818" t="s">
        <v>407</v>
      </c>
      <c r="D818">
        <v>25125</v>
      </c>
      <c r="E818">
        <v>8</v>
      </c>
      <c r="P818" t="s">
        <v>36</v>
      </c>
      <c r="Q818" t="s">
        <v>287</v>
      </c>
      <c r="R818">
        <v>9</v>
      </c>
      <c r="AI818" t="s">
        <v>25</v>
      </c>
      <c r="AJ818">
        <v>84883</v>
      </c>
      <c r="AL818">
        <f>COUNTIF(AI:AI,AK818)</f>
        <v>0</v>
      </c>
      <c r="AM818">
        <f>SUMIF(AI:AI,AK818,AJ:AJ)</f>
        <v>0</v>
      </c>
      <c r="BP818" t="s">
        <v>17</v>
      </c>
      <c r="BQ818" t="s">
        <v>387</v>
      </c>
      <c r="BR818">
        <f t="shared" si="118"/>
        <v>5</v>
      </c>
      <c r="BS818">
        <f t="shared" si="112"/>
        <v>2024</v>
      </c>
      <c r="BT818">
        <v>8</v>
      </c>
      <c r="BU818" t="str">
        <f t="shared" si="113"/>
        <v>2024-5</v>
      </c>
      <c r="BV818">
        <f t="shared" si="114"/>
        <v>1</v>
      </c>
      <c r="BX818" t="s">
        <v>36</v>
      </c>
      <c r="BY818" t="s">
        <v>407</v>
      </c>
      <c r="BZ818">
        <v>25125</v>
      </c>
      <c r="CA818">
        <f t="shared" si="115"/>
        <v>6</v>
      </c>
      <c r="CB818">
        <f t="shared" si="116"/>
        <v>2024</v>
      </c>
      <c r="CC818" t="str">
        <f t="shared" si="117"/>
        <v>2024-6</v>
      </c>
    </row>
    <row r="819" spans="1:81" x14ac:dyDescent="0.25">
      <c r="A819" t="s">
        <v>23</v>
      </c>
      <c r="B819" t="s">
        <v>25</v>
      </c>
      <c r="C819" t="s">
        <v>407</v>
      </c>
      <c r="D819">
        <v>84883</v>
      </c>
      <c r="E819">
        <v>8</v>
      </c>
      <c r="P819" t="s">
        <v>27</v>
      </c>
      <c r="Q819" t="s">
        <v>104</v>
      </c>
      <c r="R819">
        <v>8</v>
      </c>
      <c r="AI819" t="s">
        <v>220</v>
      </c>
      <c r="AJ819">
        <v>40733</v>
      </c>
      <c r="AL819">
        <f>COUNTIF(AI:AI,AK819)</f>
        <v>0</v>
      </c>
      <c r="AM819">
        <f>SUMIF(AI:AI,AK819,AJ:AJ)</f>
        <v>0</v>
      </c>
      <c r="BP819" t="s">
        <v>17</v>
      </c>
      <c r="BQ819" t="s">
        <v>389</v>
      </c>
      <c r="BR819">
        <f t="shared" si="118"/>
        <v>6</v>
      </c>
      <c r="BS819">
        <f t="shared" si="112"/>
        <v>2024</v>
      </c>
      <c r="BT819">
        <v>8</v>
      </c>
      <c r="BU819" t="str">
        <f t="shared" si="113"/>
        <v>2024-6</v>
      </c>
      <c r="BV819">
        <f t="shared" si="114"/>
        <v>1</v>
      </c>
      <c r="BX819" t="s">
        <v>23</v>
      </c>
      <c r="BY819" t="s">
        <v>407</v>
      </c>
      <c r="BZ819">
        <v>84883</v>
      </c>
      <c r="CA819">
        <f t="shared" si="115"/>
        <v>6</v>
      </c>
      <c r="CB819">
        <f t="shared" si="116"/>
        <v>2024</v>
      </c>
      <c r="CC819" t="str">
        <f t="shared" si="117"/>
        <v>2024-6</v>
      </c>
    </row>
    <row r="820" spans="1:81" x14ac:dyDescent="0.25">
      <c r="A820" t="s">
        <v>27</v>
      </c>
      <c r="B820" t="s">
        <v>220</v>
      </c>
      <c r="C820" t="s">
        <v>407</v>
      </c>
      <c r="D820">
        <v>40733</v>
      </c>
      <c r="E820">
        <v>8</v>
      </c>
      <c r="P820" t="s">
        <v>32</v>
      </c>
      <c r="Q820" t="s">
        <v>82</v>
      </c>
      <c r="R820">
        <v>9</v>
      </c>
      <c r="AI820" t="s">
        <v>281</v>
      </c>
      <c r="AJ820">
        <v>70036</v>
      </c>
      <c r="AL820">
        <f>COUNTIF(AI:AI,AK820)</f>
        <v>0</v>
      </c>
      <c r="AM820">
        <f>SUMIF(AI:AI,AK820,AJ:AJ)</f>
        <v>0</v>
      </c>
      <c r="BP820" t="s">
        <v>17</v>
      </c>
      <c r="BQ820" t="s">
        <v>391</v>
      </c>
      <c r="BR820">
        <f t="shared" si="118"/>
        <v>6</v>
      </c>
      <c r="BS820">
        <f t="shared" si="112"/>
        <v>2024</v>
      </c>
      <c r="BT820">
        <v>8</v>
      </c>
      <c r="BU820" t="str">
        <f t="shared" si="113"/>
        <v>2024-6</v>
      </c>
      <c r="BV820">
        <f t="shared" si="114"/>
        <v>1</v>
      </c>
      <c r="BX820" t="s">
        <v>27</v>
      </c>
      <c r="BY820" t="s">
        <v>407</v>
      </c>
      <c r="BZ820">
        <v>40733</v>
      </c>
      <c r="CA820">
        <f t="shared" si="115"/>
        <v>6</v>
      </c>
      <c r="CB820">
        <f t="shared" si="116"/>
        <v>2024</v>
      </c>
      <c r="CC820" t="str">
        <f t="shared" si="117"/>
        <v>2024-6</v>
      </c>
    </row>
    <row r="821" spans="1:81" x14ac:dyDescent="0.25">
      <c r="A821" t="s">
        <v>36</v>
      </c>
      <c r="B821" t="s">
        <v>281</v>
      </c>
      <c r="C821" t="s">
        <v>408</v>
      </c>
      <c r="D821">
        <v>70036</v>
      </c>
      <c r="E821">
        <v>9</v>
      </c>
      <c r="P821" t="s">
        <v>8</v>
      </c>
      <c r="Q821" t="s">
        <v>92</v>
      </c>
      <c r="R821">
        <v>9</v>
      </c>
      <c r="AI821" t="s">
        <v>174</v>
      </c>
      <c r="AJ821">
        <v>97537</v>
      </c>
      <c r="AL821">
        <f>COUNTIF(AI:AI,AK821)</f>
        <v>0</v>
      </c>
      <c r="AM821">
        <f>SUMIF(AI:AI,AK821,AJ:AJ)</f>
        <v>0</v>
      </c>
      <c r="BP821" t="s">
        <v>17</v>
      </c>
      <c r="BQ821" t="s">
        <v>395</v>
      </c>
      <c r="BR821">
        <f t="shared" si="118"/>
        <v>6</v>
      </c>
      <c r="BS821">
        <f t="shared" si="112"/>
        <v>2024</v>
      </c>
      <c r="BT821">
        <v>9</v>
      </c>
      <c r="BU821" t="str">
        <f t="shared" si="113"/>
        <v>2024-6</v>
      </c>
      <c r="BV821">
        <f t="shared" si="114"/>
        <v>2</v>
      </c>
      <c r="BX821" t="s">
        <v>36</v>
      </c>
      <c r="BY821" t="s">
        <v>408</v>
      </c>
      <c r="BZ821">
        <v>70036</v>
      </c>
      <c r="CA821">
        <f t="shared" si="115"/>
        <v>6</v>
      </c>
      <c r="CB821">
        <f t="shared" si="116"/>
        <v>2024</v>
      </c>
      <c r="CC821" t="str">
        <f t="shared" si="117"/>
        <v>2024-6</v>
      </c>
    </row>
    <row r="822" spans="1:81" x14ac:dyDescent="0.25">
      <c r="A822" t="s">
        <v>8</v>
      </c>
      <c r="B822" t="s">
        <v>174</v>
      </c>
      <c r="C822" t="s">
        <v>408</v>
      </c>
      <c r="D822">
        <v>97537</v>
      </c>
      <c r="E822">
        <v>5</v>
      </c>
      <c r="P822" t="s">
        <v>32</v>
      </c>
      <c r="Q822" t="s">
        <v>60</v>
      </c>
      <c r="R822">
        <v>7</v>
      </c>
      <c r="AI822" t="s">
        <v>79</v>
      </c>
      <c r="AJ822">
        <v>46862</v>
      </c>
      <c r="AL822">
        <f>COUNTIF(AI:AI,AK822)</f>
        <v>0</v>
      </c>
      <c r="AM822">
        <f>SUMIF(AI:AI,AK822,AJ:AJ)</f>
        <v>0</v>
      </c>
      <c r="BP822" t="s">
        <v>17</v>
      </c>
      <c r="BQ822" t="s">
        <v>397</v>
      </c>
      <c r="BR822">
        <f t="shared" si="118"/>
        <v>6</v>
      </c>
      <c r="BS822">
        <f t="shared" si="112"/>
        <v>2024</v>
      </c>
      <c r="BT822">
        <v>5</v>
      </c>
      <c r="BU822" t="str">
        <f t="shared" si="113"/>
        <v>2024-6</v>
      </c>
      <c r="BV822">
        <f t="shared" si="114"/>
        <v>0</v>
      </c>
      <c r="BX822" t="s">
        <v>8</v>
      </c>
      <c r="BY822" t="s">
        <v>408</v>
      </c>
      <c r="BZ822">
        <v>97537</v>
      </c>
      <c r="CA822">
        <f t="shared" si="115"/>
        <v>6</v>
      </c>
      <c r="CB822">
        <f t="shared" si="116"/>
        <v>2024</v>
      </c>
      <c r="CC822" t="str">
        <f t="shared" si="117"/>
        <v>2024-6</v>
      </c>
    </row>
    <row r="823" spans="1:81" x14ac:dyDescent="0.25">
      <c r="A823" t="s">
        <v>14</v>
      </c>
      <c r="B823" t="s">
        <v>79</v>
      </c>
      <c r="C823" t="s">
        <v>409</v>
      </c>
      <c r="D823">
        <v>46862</v>
      </c>
      <c r="E823">
        <v>2</v>
      </c>
      <c r="P823" t="s">
        <v>17</v>
      </c>
      <c r="Q823" t="s">
        <v>85</v>
      </c>
      <c r="R823">
        <v>6</v>
      </c>
      <c r="AI823" t="s">
        <v>215</v>
      </c>
      <c r="AJ823">
        <v>67363</v>
      </c>
      <c r="AL823">
        <f>COUNTIF(AI:AI,AK823)</f>
        <v>0</v>
      </c>
      <c r="AM823">
        <f>SUMIF(AI:AI,AK823,AJ:AJ)</f>
        <v>0</v>
      </c>
      <c r="BP823" t="s">
        <v>17</v>
      </c>
      <c r="BQ823" t="s">
        <v>399</v>
      </c>
      <c r="BR823">
        <f t="shared" si="118"/>
        <v>6</v>
      </c>
      <c r="BS823">
        <f t="shared" si="112"/>
        <v>2024</v>
      </c>
      <c r="BT823">
        <v>2</v>
      </c>
      <c r="BU823" t="str">
        <f t="shared" si="113"/>
        <v>2024-6</v>
      </c>
      <c r="BV823">
        <f t="shared" si="114"/>
        <v>0</v>
      </c>
      <c r="BX823" t="s">
        <v>14</v>
      </c>
      <c r="BY823" t="s">
        <v>409</v>
      </c>
      <c r="BZ823">
        <v>46862</v>
      </c>
      <c r="CA823">
        <f t="shared" si="115"/>
        <v>7</v>
      </c>
      <c r="CB823">
        <f t="shared" si="116"/>
        <v>2024</v>
      </c>
      <c r="CC823" t="str">
        <f t="shared" si="117"/>
        <v>2024-7</v>
      </c>
    </row>
    <row r="824" spans="1:81" x14ac:dyDescent="0.25">
      <c r="A824" t="s">
        <v>23</v>
      </c>
      <c r="B824" t="s">
        <v>215</v>
      </c>
      <c r="C824" t="s">
        <v>409</v>
      </c>
      <c r="D824">
        <v>67363</v>
      </c>
      <c r="E824">
        <v>7</v>
      </c>
      <c r="P824" t="s">
        <v>5</v>
      </c>
      <c r="Q824" t="s">
        <v>48</v>
      </c>
      <c r="R824">
        <v>4</v>
      </c>
      <c r="AI824" t="s">
        <v>81</v>
      </c>
      <c r="AJ824">
        <v>34193</v>
      </c>
      <c r="AL824">
        <f>COUNTIF(AI:AI,AK824)</f>
        <v>0</v>
      </c>
      <c r="AM824">
        <f>SUMIF(AI:AI,AK824,AJ:AJ)</f>
        <v>0</v>
      </c>
      <c r="BP824" t="s">
        <v>17</v>
      </c>
      <c r="BQ824" t="s">
        <v>400</v>
      </c>
      <c r="BR824">
        <f t="shared" si="118"/>
        <v>6</v>
      </c>
      <c r="BS824">
        <f t="shared" si="112"/>
        <v>2024</v>
      </c>
      <c r="BT824">
        <v>7</v>
      </c>
      <c r="BU824" t="str">
        <f t="shared" si="113"/>
        <v>2024-6</v>
      </c>
      <c r="BV824">
        <f t="shared" si="114"/>
        <v>1</v>
      </c>
      <c r="BX824" t="s">
        <v>23</v>
      </c>
      <c r="BY824" t="s">
        <v>409</v>
      </c>
      <c r="BZ824">
        <v>67363</v>
      </c>
      <c r="CA824">
        <f t="shared" si="115"/>
        <v>7</v>
      </c>
      <c r="CB824">
        <f t="shared" si="116"/>
        <v>2024</v>
      </c>
      <c r="CC824" t="str">
        <f t="shared" si="117"/>
        <v>2024-7</v>
      </c>
    </row>
    <row r="825" spans="1:81" x14ac:dyDescent="0.25">
      <c r="A825" t="s">
        <v>14</v>
      </c>
      <c r="B825" t="s">
        <v>81</v>
      </c>
      <c r="C825" t="s">
        <v>409</v>
      </c>
      <c r="D825">
        <v>34193</v>
      </c>
      <c r="E825">
        <v>7</v>
      </c>
      <c r="P825" t="s">
        <v>10</v>
      </c>
      <c r="Q825" t="s">
        <v>119</v>
      </c>
      <c r="R825">
        <v>2</v>
      </c>
      <c r="AI825" t="s">
        <v>82</v>
      </c>
      <c r="AJ825">
        <v>52088</v>
      </c>
      <c r="AL825">
        <f>COUNTIF(AI:AI,AK825)</f>
        <v>0</v>
      </c>
      <c r="AM825">
        <f>SUMIF(AI:AI,AK825,AJ:AJ)</f>
        <v>0</v>
      </c>
      <c r="BP825" t="s">
        <v>17</v>
      </c>
      <c r="BQ825" t="s">
        <v>400</v>
      </c>
      <c r="BR825">
        <f t="shared" si="118"/>
        <v>6</v>
      </c>
      <c r="BS825">
        <f t="shared" si="112"/>
        <v>2024</v>
      </c>
      <c r="BT825">
        <v>7</v>
      </c>
      <c r="BU825" t="str">
        <f t="shared" si="113"/>
        <v>2024-6</v>
      </c>
      <c r="BV825">
        <f t="shared" si="114"/>
        <v>1</v>
      </c>
      <c r="BX825" t="s">
        <v>14</v>
      </c>
      <c r="BY825" t="s">
        <v>409</v>
      </c>
      <c r="BZ825">
        <v>34193</v>
      </c>
      <c r="CA825">
        <f t="shared" si="115"/>
        <v>7</v>
      </c>
      <c r="CB825">
        <f t="shared" si="116"/>
        <v>2024</v>
      </c>
      <c r="CC825" t="str">
        <f t="shared" si="117"/>
        <v>2024-7</v>
      </c>
    </row>
    <row r="826" spans="1:81" x14ac:dyDescent="0.25">
      <c r="A826" t="s">
        <v>12</v>
      </c>
      <c r="B826" t="s">
        <v>82</v>
      </c>
      <c r="C826" t="s">
        <v>410</v>
      </c>
      <c r="D826">
        <v>52088</v>
      </c>
      <c r="E826">
        <v>4</v>
      </c>
      <c r="P826" t="s">
        <v>33</v>
      </c>
      <c r="Q826" t="s">
        <v>89</v>
      </c>
      <c r="R826">
        <v>7</v>
      </c>
      <c r="AI826" t="s">
        <v>111</v>
      </c>
      <c r="AJ826">
        <v>12376</v>
      </c>
      <c r="AL826">
        <f>COUNTIF(AI:AI,AK826)</f>
        <v>0</v>
      </c>
      <c r="AM826">
        <f>SUMIF(AI:AI,AK826,AJ:AJ)</f>
        <v>0</v>
      </c>
      <c r="BP826" t="s">
        <v>17</v>
      </c>
      <c r="BQ826" t="s">
        <v>404</v>
      </c>
      <c r="BR826">
        <f t="shared" si="118"/>
        <v>6</v>
      </c>
      <c r="BS826">
        <f t="shared" si="112"/>
        <v>2024</v>
      </c>
      <c r="BT826">
        <v>4</v>
      </c>
      <c r="BU826" t="str">
        <f t="shared" si="113"/>
        <v>2024-6</v>
      </c>
      <c r="BV826">
        <f t="shared" si="114"/>
        <v>0</v>
      </c>
      <c r="BX826" t="s">
        <v>12</v>
      </c>
      <c r="BY826" t="s">
        <v>410</v>
      </c>
      <c r="BZ826">
        <v>52088</v>
      </c>
      <c r="CA826">
        <f t="shared" si="115"/>
        <v>7</v>
      </c>
      <c r="CB826">
        <f t="shared" si="116"/>
        <v>2024</v>
      </c>
      <c r="CC826" t="str">
        <f t="shared" si="117"/>
        <v>2024-7</v>
      </c>
    </row>
    <row r="827" spans="1:81" x14ac:dyDescent="0.25">
      <c r="A827" t="s">
        <v>36</v>
      </c>
      <c r="B827" t="s">
        <v>111</v>
      </c>
      <c r="C827" t="s">
        <v>410</v>
      </c>
      <c r="D827">
        <v>12376</v>
      </c>
      <c r="E827">
        <v>7</v>
      </c>
      <c r="P827" t="s">
        <v>5</v>
      </c>
      <c r="Q827" t="s">
        <v>286</v>
      </c>
      <c r="R827">
        <v>8</v>
      </c>
      <c r="AI827" t="s">
        <v>231</v>
      </c>
      <c r="AJ827">
        <v>60177</v>
      </c>
      <c r="AL827">
        <f>COUNTIF(AI:AI,AK827)</f>
        <v>0</v>
      </c>
      <c r="AM827">
        <f>SUMIF(AI:AI,AK827,AJ:AJ)</f>
        <v>0</v>
      </c>
      <c r="BP827" t="s">
        <v>17</v>
      </c>
      <c r="BQ827" t="s">
        <v>404</v>
      </c>
      <c r="BR827">
        <f t="shared" si="118"/>
        <v>6</v>
      </c>
      <c r="BS827">
        <f t="shared" si="112"/>
        <v>2024</v>
      </c>
      <c r="BT827">
        <v>7</v>
      </c>
      <c r="BU827" t="str">
        <f t="shared" si="113"/>
        <v>2024-6</v>
      </c>
      <c r="BV827">
        <f t="shared" si="114"/>
        <v>1</v>
      </c>
      <c r="BX827" t="s">
        <v>36</v>
      </c>
      <c r="BY827" t="s">
        <v>410</v>
      </c>
      <c r="BZ827">
        <v>12376</v>
      </c>
      <c r="CA827">
        <f t="shared" si="115"/>
        <v>7</v>
      </c>
      <c r="CB827">
        <f t="shared" si="116"/>
        <v>2024</v>
      </c>
      <c r="CC827" t="str">
        <f t="shared" si="117"/>
        <v>2024-7</v>
      </c>
    </row>
    <row r="828" spans="1:81" x14ac:dyDescent="0.25">
      <c r="A828" t="s">
        <v>32</v>
      </c>
      <c r="B828" t="s">
        <v>231</v>
      </c>
      <c r="C828" t="s">
        <v>411</v>
      </c>
      <c r="D828">
        <v>60177</v>
      </c>
      <c r="E828">
        <v>7</v>
      </c>
      <c r="P828" t="s">
        <v>33</v>
      </c>
      <c r="Q828" t="s">
        <v>352</v>
      </c>
      <c r="R828">
        <v>5</v>
      </c>
      <c r="AI828" t="s">
        <v>157</v>
      </c>
      <c r="AJ828">
        <v>51902</v>
      </c>
      <c r="AL828">
        <f>COUNTIF(AI:AI,AK828)</f>
        <v>0</v>
      </c>
      <c r="AM828">
        <f>SUMIF(AI:AI,AK828,AJ:AJ)</f>
        <v>0</v>
      </c>
      <c r="BP828" t="s">
        <v>17</v>
      </c>
      <c r="BQ828" t="s">
        <v>415</v>
      </c>
      <c r="BR828">
        <f t="shared" si="118"/>
        <v>7</v>
      </c>
      <c r="BS828">
        <f t="shared" si="112"/>
        <v>2024</v>
      </c>
      <c r="BT828">
        <v>7</v>
      </c>
      <c r="BU828" t="str">
        <f t="shared" si="113"/>
        <v>2024-7</v>
      </c>
      <c r="BV828">
        <f t="shared" si="114"/>
        <v>1</v>
      </c>
      <c r="BX828" t="s">
        <v>32</v>
      </c>
      <c r="BY828" t="s">
        <v>411</v>
      </c>
      <c r="BZ828">
        <v>60177</v>
      </c>
      <c r="CA828">
        <f t="shared" si="115"/>
        <v>7</v>
      </c>
      <c r="CB828">
        <f t="shared" si="116"/>
        <v>2024</v>
      </c>
      <c r="CC828" t="str">
        <f t="shared" si="117"/>
        <v>2024-7</v>
      </c>
    </row>
    <row r="829" spans="1:81" x14ac:dyDescent="0.25">
      <c r="A829" t="s">
        <v>32</v>
      </c>
      <c r="B829" t="s">
        <v>157</v>
      </c>
      <c r="C829" t="s">
        <v>411</v>
      </c>
      <c r="D829">
        <v>51902</v>
      </c>
      <c r="E829">
        <v>6</v>
      </c>
      <c r="P829" t="s">
        <v>10</v>
      </c>
      <c r="Q829" t="s">
        <v>25</v>
      </c>
      <c r="R829">
        <v>3</v>
      </c>
      <c r="AI829" t="s">
        <v>341</v>
      </c>
      <c r="AJ829">
        <v>85130</v>
      </c>
      <c r="AL829">
        <f>COUNTIF(AI:AI,AK829)</f>
        <v>0</v>
      </c>
      <c r="AM829">
        <f>SUMIF(AI:AI,AK829,AJ:AJ)</f>
        <v>0</v>
      </c>
      <c r="BP829" t="s">
        <v>17</v>
      </c>
      <c r="BQ829" t="s">
        <v>422</v>
      </c>
      <c r="BR829">
        <f t="shared" si="118"/>
        <v>7</v>
      </c>
      <c r="BS829">
        <f t="shared" si="112"/>
        <v>2024</v>
      </c>
      <c r="BT829">
        <v>6</v>
      </c>
      <c r="BU829" t="str">
        <f t="shared" si="113"/>
        <v>2024-7</v>
      </c>
      <c r="BV829">
        <f t="shared" si="114"/>
        <v>0</v>
      </c>
      <c r="BX829" t="s">
        <v>32</v>
      </c>
      <c r="BY829" t="s">
        <v>411</v>
      </c>
      <c r="BZ829">
        <v>51902</v>
      </c>
      <c r="CA829">
        <f t="shared" si="115"/>
        <v>7</v>
      </c>
      <c r="CB829">
        <f t="shared" si="116"/>
        <v>2024</v>
      </c>
      <c r="CC829" t="str">
        <f t="shared" si="117"/>
        <v>2024-7</v>
      </c>
    </row>
    <row r="830" spans="1:81" x14ac:dyDescent="0.25">
      <c r="A830" t="s">
        <v>33</v>
      </c>
      <c r="B830" t="s">
        <v>341</v>
      </c>
      <c r="C830" t="s">
        <v>411</v>
      </c>
      <c r="D830">
        <v>85130</v>
      </c>
      <c r="E830">
        <v>3</v>
      </c>
      <c r="P830" t="s">
        <v>10</v>
      </c>
      <c r="Q830" t="s">
        <v>247</v>
      </c>
      <c r="R830">
        <v>7</v>
      </c>
      <c r="AI830" t="s">
        <v>19</v>
      </c>
      <c r="AJ830">
        <v>86002</v>
      </c>
      <c r="AL830">
        <f>COUNTIF(AI:AI,AK830)</f>
        <v>0</v>
      </c>
      <c r="AM830">
        <f>SUMIF(AI:AI,AK830,AJ:AJ)</f>
        <v>0</v>
      </c>
      <c r="BP830" t="s">
        <v>17</v>
      </c>
      <c r="BQ830" t="s">
        <v>423</v>
      </c>
      <c r="BR830">
        <f t="shared" si="118"/>
        <v>7</v>
      </c>
      <c r="BS830">
        <f t="shared" si="112"/>
        <v>2024</v>
      </c>
      <c r="BT830">
        <v>3</v>
      </c>
      <c r="BU830" t="str">
        <f t="shared" si="113"/>
        <v>2024-7</v>
      </c>
      <c r="BV830">
        <f t="shared" si="114"/>
        <v>0</v>
      </c>
      <c r="BX830" t="s">
        <v>33</v>
      </c>
      <c r="BY830" t="s">
        <v>411</v>
      </c>
      <c r="BZ830">
        <v>85130</v>
      </c>
      <c r="CA830">
        <f t="shared" si="115"/>
        <v>7</v>
      </c>
      <c r="CB830">
        <f t="shared" si="116"/>
        <v>2024</v>
      </c>
      <c r="CC830" t="str">
        <f t="shared" si="117"/>
        <v>2024-7</v>
      </c>
    </row>
    <row r="831" spans="1:81" x14ac:dyDescent="0.25">
      <c r="A831" t="s">
        <v>20</v>
      </c>
      <c r="B831" t="s">
        <v>19</v>
      </c>
      <c r="C831" t="s">
        <v>411</v>
      </c>
      <c r="D831">
        <v>86002</v>
      </c>
      <c r="E831">
        <v>8</v>
      </c>
      <c r="P831" t="s">
        <v>12</v>
      </c>
      <c r="Q831" t="s">
        <v>9</v>
      </c>
      <c r="R831">
        <v>9</v>
      </c>
      <c r="AI831" t="s">
        <v>247</v>
      </c>
      <c r="AJ831">
        <v>95566</v>
      </c>
      <c r="AL831">
        <f>COUNTIF(AI:AI,AK831)</f>
        <v>0</v>
      </c>
      <c r="AM831">
        <f>SUMIF(AI:AI,AK831,AJ:AJ)</f>
        <v>0</v>
      </c>
      <c r="BP831" t="s">
        <v>17</v>
      </c>
      <c r="BQ831" t="s">
        <v>423</v>
      </c>
      <c r="BR831">
        <f t="shared" si="118"/>
        <v>7</v>
      </c>
      <c r="BS831">
        <f t="shared" si="112"/>
        <v>2024</v>
      </c>
      <c r="BT831">
        <v>8</v>
      </c>
      <c r="BU831" t="str">
        <f t="shared" si="113"/>
        <v>2024-7</v>
      </c>
      <c r="BV831">
        <f t="shared" si="114"/>
        <v>1</v>
      </c>
      <c r="BX831" t="s">
        <v>20</v>
      </c>
      <c r="BY831" t="s">
        <v>411</v>
      </c>
      <c r="BZ831">
        <v>86002</v>
      </c>
      <c r="CA831">
        <f t="shared" si="115"/>
        <v>7</v>
      </c>
      <c r="CB831">
        <f t="shared" si="116"/>
        <v>2024</v>
      </c>
      <c r="CC831" t="str">
        <f t="shared" si="117"/>
        <v>2024-7</v>
      </c>
    </row>
    <row r="832" spans="1:81" x14ac:dyDescent="0.25">
      <c r="A832" t="s">
        <v>32</v>
      </c>
      <c r="B832" t="s">
        <v>247</v>
      </c>
      <c r="C832" t="s">
        <v>412</v>
      </c>
      <c r="D832">
        <v>95566</v>
      </c>
      <c r="E832">
        <v>6</v>
      </c>
      <c r="P832" t="s">
        <v>5</v>
      </c>
      <c r="Q832" t="s">
        <v>183</v>
      </c>
      <c r="R832">
        <v>7</v>
      </c>
      <c r="AI832" t="s">
        <v>173</v>
      </c>
      <c r="AJ832">
        <v>92352</v>
      </c>
      <c r="AL832">
        <f>COUNTIF(AI:AI,AK832)</f>
        <v>0</v>
      </c>
      <c r="AM832">
        <f>SUMIF(AI:AI,AK832,AJ:AJ)</f>
        <v>0</v>
      </c>
      <c r="BP832" t="s">
        <v>17</v>
      </c>
      <c r="BQ832" t="s">
        <v>428</v>
      </c>
      <c r="BR832">
        <f t="shared" si="118"/>
        <v>7</v>
      </c>
      <c r="BS832">
        <f t="shared" si="112"/>
        <v>2024</v>
      </c>
      <c r="BT832">
        <v>6</v>
      </c>
      <c r="BU832" t="str">
        <f t="shared" si="113"/>
        <v>2024-7</v>
      </c>
      <c r="BV832">
        <f t="shared" si="114"/>
        <v>0</v>
      </c>
      <c r="BX832" t="s">
        <v>32</v>
      </c>
      <c r="BY832" t="s">
        <v>412</v>
      </c>
      <c r="BZ832">
        <v>95566</v>
      </c>
      <c r="CA832">
        <f t="shared" si="115"/>
        <v>7</v>
      </c>
      <c r="CB832">
        <f t="shared" si="116"/>
        <v>2024</v>
      </c>
      <c r="CC832" t="str">
        <f t="shared" si="117"/>
        <v>2024-7</v>
      </c>
    </row>
    <row r="833" spans="1:81" x14ac:dyDescent="0.25">
      <c r="A833" t="s">
        <v>23</v>
      </c>
      <c r="B833" t="s">
        <v>173</v>
      </c>
      <c r="C833" t="s">
        <v>412</v>
      </c>
      <c r="D833">
        <v>92352</v>
      </c>
      <c r="E833">
        <v>4</v>
      </c>
      <c r="P833" t="s">
        <v>5</v>
      </c>
      <c r="Q833" t="s">
        <v>307</v>
      </c>
      <c r="R833">
        <v>4</v>
      </c>
      <c r="AI833" t="s">
        <v>11</v>
      </c>
      <c r="AJ833">
        <v>28602</v>
      </c>
      <c r="AL833">
        <f>COUNTIF(AI:AI,AK833)</f>
        <v>0</v>
      </c>
      <c r="AM833">
        <f>SUMIF(AI:AI,AK833,AJ:AJ)</f>
        <v>0</v>
      </c>
      <c r="BP833" t="s">
        <v>17</v>
      </c>
      <c r="BQ833" t="s">
        <v>430</v>
      </c>
      <c r="BR833">
        <f t="shared" si="118"/>
        <v>7</v>
      </c>
      <c r="BS833">
        <f t="shared" si="112"/>
        <v>2024</v>
      </c>
      <c r="BT833">
        <v>4</v>
      </c>
      <c r="BU833" t="str">
        <f t="shared" si="113"/>
        <v>2024-7</v>
      </c>
      <c r="BV833">
        <f t="shared" si="114"/>
        <v>0</v>
      </c>
      <c r="BX833" t="s">
        <v>23</v>
      </c>
      <c r="BY833" t="s">
        <v>412</v>
      </c>
      <c r="BZ833">
        <v>92352</v>
      </c>
      <c r="CA833">
        <f t="shared" si="115"/>
        <v>7</v>
      </c>
      <c r="CB833">
        <f t="shared" si="116"/>
        <v>2024</v>
      </c>
      <c r="CC833" t="str">
        <f t="shared" si="117"/>
        <v>2024-7</v>
      </c>
    </row>
    <row r="834" spans="1:81" x14ac:dyDescent="0.25">
      <c r="A834" t="s">
        <v>33</v>
      </c>
      <c r="B834" t="s">
        <v>11</v>
      </c>
      <c r="C834" t="s">
        <v>412</v>
      </c>
      <c r="D834">
        <v>28602</v>
      </c>
      <c r="E834">
        <v>3</v>
      </c>
      <c r="P834" t="s">
        <v>23</v>
      </c>
      <c r="Q834" t="s">
        <v>127</v>
      </c>
      <c r="R834">
        <v>7</v>
      </c>
      <c r="AI834" t="s">
        <v>392</v>
      </c>
      <c r="AJ834">
        <v>36611</v>
      </c>
      <c r="AL834">
        <f>COUNTIF(AI:AI,AK834)</f>
        <v>0</v>
      </c>
      <c r="AM834">
        <f>SUMIF(AI:AI,AK834,AJ:AJ)</f>
        <v>0</v>
      </c>
      <c r="BP834" t="s">
        <v>17</v>
      </c>
      <c r="BQ834" t="s">
        <v>440</v>
      </c>
      <c r="BR834">
        <f t="shared" si="118"/>
        <v>8</v>
      </c>
      <c r="BS834">
        <f t="shared" si="112"/>
        <v>2024</v>
      </c>
      <c r="BT834">
        <v>3</v>
      </c>
      <c r="BU834" t="str">
        <f t="shared" si="113"/>
        <v>2024-8</v>
      </c>
      <c r="BV834">
        <f t="shared" si="114"/>
        <v>0</v>
      </c>
      <c r="BX834" t="s">
        <v>33</v>
      </c>
      <c r="BY834" t="s">
        <v>412</v>
      </c>
      <c r="BZ834">
        <v>28602</v>
      </c>
      <c r="CA834">
        <f t="shared" si="115"/>
        <v>7</v>
      </c>
      <c r="CB834">
        <f t="shared" si="116"/>
        <v>2024</v>
      </c>
      <c r="CC834" t="str">
        <f t="shared" si="117"/>
        <v>2024-7</v>
      </c>
    </row>
    <row r="835" spans="1:81" x14ac:dyDescent="0.25">
      <c r="A835" t="s">
        <v>5</v>
      </c>
      <c r="B835" t="s">
        <v>392</v>
      </c>
      <c r="C835" t="s">
        <v>412</v>
      </c>
      <c r="D835">
        <v>36611</v>
      </c>
      <c r="E835">
        <v>7</v>
      </c>
      <c r="P835" t="s">
        <v>36</v>
      </c>
      <c r="Q835" t="s">
        <v>161</v>
      </c>
      <c r="R835">
        <v>8</v>
      </c>
      <c r="AI835" t="s">
        <v>158</v>
      </c>
      <c r="AJ835">
        <v>77392</v>
      </c>
      <c r="AL835">
        <f>COUNTIF(AI:AI,AK835)</f>
        <v>0</v>
      </c>
      <c r="AM835">
        <f>SUMIF(AI:AI,AK835,AJ:AJ)</f>
        <v>0</v>
      </c>
      <c r="BP835" t="s">
        <v>17</v>
      </c>
      <c r="BQ835" t="s">
        <v>441</v>
      </c>
      <c r="BR835">
        <f t="shared" si="118"/>
        <v>8</v>
      </c>
      <c r="BS835">
        <f t="shared" ref="BS835:BS898" si="119">YEAR(BQ835)</f>
        <v>2024</v>
      </c>
      <c r="BT835">
        <v>7</v>
      </c>
      <c r="BU835" t="str">
        <f t="shared" ref="BU835:BU898" si="120">BS835&amp;"-"&amp;BR835</f>
        <v>2024-8</v>
      </c>
      <c r="BV835">
        <f t="shared" ref="BV835:BV898" si="121">IF(BT835&lt;7,0,IF(BT835&lt;9,1,2))</f>
        <v>1</v>
      </c>
      <c r="BX835" t="s">
        <v>5</v>
      </c>
      <c r="BY835" t="s">
        <v>412</v>
      </c>
      <c r="BZ835">
        <v>36611</v>
      </c>
      <c r="CA835">
        <f t="shared" ref="CA835:CA898" si="122">MONTH(BY835)</f>
        <v>7</v>
      </c>
      <c r="CB835">
        <f t="shared" ref="CB835:CB898" si="123">YEAR(BY835)</f>
        <v>2024</v>
      </c>
      <c r="CC835" t="str">
        <f t="shared" ref="CC835:CC898" si="124">CB835&amp;"-"&amp;CA835</f>
        <v>2024-7</v>
      </c>
    </row>
    <row r="836" spans="1:81" x14ac:dyDescent="0.25">
      <c r="A836" t="s">
        <v>14</v>
      </c>
      <c r="B836" t="s">
        <v>158</v>
      </c>
      <c r="C836" t="s">
        <v>413</v>
      </c>
      <c r="D836">
        <v>77392</v>
      </c>
      <c r="E836">
        <v>7</v>
      </c>
      <c r="P836" t="s">
        <v>12</v>
      </c>
      <c r="Q836" t="s">
        <v>173</v>
      </c>
      <c r="R836">
        <v>3</v>
      </c>
      <c r="AI836" t="s">
        <v>11</v>
      </c>
      <c r="AJ836">
        <v>78250</v>
      </c>
      <c r="AL836">
        <f>COUNTIF(AI:AI,AK836)</f>
        <v>0</v>
      </c>
      <c r="AM836">
        <f>SUMIF(AI:AI,AK836,AJ:AJ)</f>
        <v>0</v>
      </c>
      <c r="BP836" t="s">
        <v>17</v>
      </c>
      <c r="BQ836" t="s">
        <v>441</v>
      </c>
      <c r="BR836">
        <f t="shared" si="118"/>
        <v>8</v>
      </c>
      <c r="BS836">
        <f t="shared" si="119"/>
        <v>2024</v>
      </c>
      <c r="BT836">
        <v>7</v>
      </c>
      <c r="BU836" t="str">
        <f t="shared" si="120"/>
        <v>2024-8</v>
      </c>
      <c r="BV836">
        <f t="shared" si="121"/>
        <v>1</v>
      </c>
      <c r="BX836" t="s">
        <v>14</v>
      </c>
      <c r="BY836" t="s">
        <v>413</v>
      </c>
      <c r="BZ836">
        <v>77392</v>
      </c>
      <c r="CA836">
        <f t="shared" si="122"/>
        <v>7</v>
      </c>
      <c r="CB836">
        <f t="shared" si="123"/>
        <v>2024</v>
      </c>
      <c r="CC836" t="str">
        <f t="shared" si="124"/>
        <v>2024-7</v>
      </c>
    </row>
    <row r="837" spans="1:81" x14ac:dyDescent="0.25">
      <c r="A837" t="s">
        <v>10</v>
      </c>
      <c r="B837" t="s">
        <v>11</v>
      </c>
      <c r="C837" t="s">
        <v>413</v>
      </c>
      <c r="D837">
        <v>78250</v>
      </c>
      <c r="E837">
        <v>5</v>
      </c>
      <c r="P837" t="s">
        <v>8</v>
      </c>
      <c r="Q837" t="s">
        <v>41</v>
      </c>
      <c r="R837">
        <v>9</v>
      </c>
      <c r="AI837" t="s">
        <v>184</v>
      </c>
      <c r="AJ837">
        <v>23955</v>
      </c>
      <c r="AL837">
        <f>COUNTIF(AI:AI,AK837)</f>
        <v>0</v>
      </c>
      <c r="AM837">
        <f>SUMIF(AI:AI,AK837,AJ:AJ)</f>
        <v>0</v>
      </c>
      <c r="BP837" t="s">
        <v>17</v>
      </c>
      <c r="BQ837" t="s">
        <v>443</v>
      </c>
      <c r="BR837">
        <f t="shared" si="118"/>
        <v>8</v>
      </c>
      <c r="BS837">
        <f t="shared" si="119"/>
        <v>2024</v>
      </c>
      <c r="BT837">
        <v>5</v>
      </c>
      <c r="BU837" t="str">
        <f t="shared" si="120"/>
        <v>2024-8</v>
      </c>
      <c r="BV837">
        <f t="shared" si="121"/>
        <v>0</v>
      </c>
      <c r="BX837" t="s">
        <v>10</v>
      </c>
      <c r="BY837" t="s">
        <v>413</v>
      </c>
      <c r="BZ837">
        <v>78250</v>
      </c>
      <c r="CA837">
        <f t="shared" si="122"/>
        <v>7</v>
      </c>
      <c r="CB837">
        <f t="shared" si="123"/>
        <v>2024</v>
      </c>
      <c r="CC837" t="str">
        <f t="shared" si="124"/>
        <v>2024-7</v>
      </c>
    </row>
    <row r="838" spans="1:81" x14ac:dyDescent="0.25">
      <c r="A838" t="s">
        <v>33</v>
      </c>
      <c r="B838" t="s">
        <v>184</v>
      </c>
      <c r="C838" t="s">
        <v>414</v>
      </c>
      <c r="D838">
        <v>23955</v>
      </c>
      <c r="E838">
        <v>8</v>
      </c>
      <c r="P838" t="s">
        <v>17</v>
      </c>
      <c r="Q838" t="s">
        <v>131</v>
      </c>
      <c r="R838">
        <v>5</v>
      </c>
      <c r="AI838" t="s">
        <v>188</v>
      </c>
      <c r="AJ838">
        <v>68619</v>
      </c>
      <c r="AL838">
        <f>COUNTIF(AI:AI,AK838)</f>
        <v>0</v>
      </c>
      <c r="AM838">
        <f>SUMIF(AI:AI,AK838,AJ:AJ)</f>
        <v>0</v>
      </c>
      <c r="BP838" t="s">
        <v>17</v>
      </c>
      <c r="BQ838" t="s">
        <v>450</v>
      </c>
      <c r="BR838">
        <f t="shared" si="118"/>
        <v>8</v>
      </c>
      <c r="BS838">
        <f t="shared" si="119"/>
        <v>2024</v>
      </c>
      <c r="BT838">
        <v>8</v>
      </c>
      <c r="BU838" t="str">
        <f t="shared" si="120"/>
        <v>2024-8</v>
      </c>
      <c r="BV838">
        <f t="shared" si="121"/>
        <v>1</v>
      </c>
      <c r="BX838" t="s">
        <v>33</v>
      </c>
      <c r="BY838" t="s">
        <v>414</v>
      </c>
      <c r="BZ838">
        <v>23955</v>
      </c>
      <c r="CA838">
        <f t="shared" si="122"/>
        <v>7</v>
      </c>
      <c r="CB838">
        <f t="shared" si="123"/>
        <v>2024</v>
      </c>
      <c r="CC838" t="str">
        <f t="shared" si="124"/>
        <v>2024-7</v>
      </c>
    </row>
    <row r="839" spans="1:81" x14ac:dyDescent="0.25">
      <c r="A839" t="s">
        <v>8</v>
      </c>
      <c r="B839" t="s">
        <v>188</v>
      </c>
      <c r="C839" t="s">
        <v>414</v>
      </c>
      <c r="D839">
        <v>68619</v>
      </c>
      <c r="E839">
        <v>7</v>
      </c>
      <c r="P839" t="s">
        <v>14</v>
      </c>
      <c r="Q839" t="s">
        <v>184</v>
      </c>
      <c r="R839">
        <v>1</v>
      </c>
      <c r="AI839" t="s">
        <v>15</v>
      </c>
      <c r="AJ839">
        <v>72713</v>
      </c>
      <c r="AL839">
        <f>COUNTIF(AI:AI,AK839)</f>
        <v>0</v>
      </c>
      <c r="AM839">
        <f>SUMIF(AI:AI,AK839,AJ:AJ)</f>
        <v>0</v>
      </c>
      <c r="BP839" t="s">
        <v>17</v>
      </c>
      <c r="BQ839" t="s">
        <v>454</v>
      </c>
      <c r="BR839">
        <f t="shared" si="118"/>
        <v>8</v>
      </c>
      <c r="BS839">
        <f t="shared" si="119"/>
        <v>2024</v>
      </c>
      <c r="BT839">
        <v>7</v>
      </c>
      <c r="BU839" t="str">
        <f t="shared" si="120"/>
        <v>2024-8</v>
      </c>
      <c r="BV839">
        <f t="shared" si="121"/>
        <v>1</v>
      </c>
      <c r="BX839" t="s">
        <v>8</v>
      </c>
      <c r="BY839" t="s">
        <v>414</v>
      </c>
      <c r="BZ839">
        <v>68619</v>
      </c>
      <c r="CA839">
        <f t="shared" si="122"/>
        <v>7</v>
      </c>
      <c r="CB839">
        <f t="shared" si="123"/>
        <v>2024</v>
      </c>
      <c r="CC839" t="str">
        <f t="shared" si="124"/>
        <v>2024-7</v>
      </c>
    </row>
    <row r="840" spans="1:81" x14ac:dyDescent="0.25">
      <c r="A840" t="s">
        <v>27</v>
      </c>
      <c r="B840" t="s">
        <v>15</v>
      </c>
      <c r="C840" t="s">
        <v>414</v>
      </c>
      <c r="D840">
        <v>72713</v>
      </c>
      <c r="E840">
        <v>5</v>
      </c>
      <c r="P840" t="s">
        <v>27</v>
      </c>
      <c r="Q840" t="s">
        <v>181</v>
      </c>
      <c r="R840">
        <v>9</v>
      </c>
      <c r="AI840" t="s">
        <v>319</v>
      </c>
      <c r="AJ840">
        <v>10381</v>
      </c>
      <c r="AL840">
        <f>COUNTIF(AI:AI,AK840)</f>
        <v>0</v>
      </c>
      <c r="AM840">
        <f>SUMIF(AI:AI,AK840,AJ:AJ)</f>
        <v>0</v>
      </c>
      <c r="BP840" t="s">
        <v>32</v>
      </c>
      <c r="BQ840" t="s">
        <v>31</v>
      </c>
      <c r="BR840">
        <f t="shared" si="118"/>
        <v>9</v>
      </c>
      <c r="BS840">
        <f t="shared" si="119"/>
        <v>2023</v>
      </c>
      <c r="BT840">
        <v>5</v>
      </c>
      <c r="BU840" t="str">
        <f t="shared" si="120"/>
        <v>2023-9</v>
      </c>
      <c r="BV840">
        <f t="shared" si="121"/>
        <v>0</v>
      </c>
      <c r="BX840" t="s">
        <v>27</v>
      </c>
      <c r="BY840" t="s">
        <v>414</v>
      </c>
      <c r="BZ840">
        <v>72713</v>
      </c>
      <c r="CA840">
        <f t="shared" si="122"/>
        <v>7</v>
      </c>
      <c r="CB840">
        <f t="shared" si="123"/>
        <v>2024</v>
      </c>
      <c r="CC840" t="str">
        <f t="shared" si="124"/>
        <v>2024-7</v>
      </c>
    </row>
    <row r="841" spans="1:81" x14ac:dyDescent="0.25">
      <c r="A841" t="s">
        <v>27</v>
      </c>
      <c r="B841" t="s">
        <v>319</v>
      </c>
      <c r="C841" t="s">
        <v>414</v>
      </c>
      <c r="D841">
        <v>10381</v>
      </c>
      <c r="E841">
        <v>7</v>
      </c>
      <c r="P841" t="s">
        <v>17</v>
      </c>
      <c r="Q841" t="s">
        <v>104</v>
      </c>
      <c r="R841">
        <v>2</v>
      </c>
      <c r="AI841" t="s">
        <v>287</v>
      </c>
      <c r="AJ841">
        <v>75460</v>
      </c>
      <c r="AL841">
        <f>COUNTIF(AI:AI,AK841)</f>
        <v>0</v>
      </c>
      <c r="AM841">
        <f>SUMIF(AI:AI,AK841,AJ:AJ)</f>
        <v>0</v>
      </c>
      <c r="BP841" t="s">
        <v>32</v>
      </c>
      <c r="BQ841" t="s">
        <v>49</v>
      </c>
      <c r="BR841">
        <f t="shared" si="118"/>
        <v>9</v>
      </c>
      <c r="BS841">
        <f t="shared" si="119"/>
        <v>2023</v>
      </c>
      <c r="BT841">
        <v>7</v>
      </c>
      <c r="BU841" t="str">
        <f t="shared" si="120"/>
        <v>2023-9</v>
      </c>
      <c r="BV841">
        <f t="shared" si="121"/>
        <v>1</v>
      </c>
      <c r="BX841" t="s">
        <v>27</v>
      </c>
      <c r="BY841" t="s">
        <v>414</v>
      </c>
      <c r="BZ841">
        <v>10381</v>
      </c>
      <c r="CA841">
        <f t="shared" si="122"/>
        <v>7</v>
      </c>
      <c r="CB841">
        <f t="shared" si="123"/>
        <v>2024</v>
      </c>
      <c r="CC841" t="str">
        <f t="shared" si="124"/>
        <v>2024-7</v>
      </c>
    </row>
    <row r="842" spans="1:81" x14ac:dyDescent="0.25">
      <c r="A842" t="s">
        <v>36</v>
      </c>
      <c r="B842" t="s">
        <v>287</v>
      </c>
      <c r="C842" t="s">
        <v>414</v>
      </c>
      <c r="D842">
        <v>75460</v>
      </c>
      <c r="E842">
        <v>9</v>
      </c>
      <c r="P842" t="s">
        <v>17</v>
      </c>
      <c r="Q842" t="s">
        <v>216</v>
      </c>
      <c r="R842">
        <v>10</v>
      </c>
      <c r="AI842" t="s">
        <v>104</v>
      </c>
      <c r="AJ842">
        <v>19290</v>
      </c>
      <c r="AL842">
        <f>COUNTIF(AI:AI,AK842)</f>
        <v>0</v>
      </c>
      <c r="AM842">
        <f>SUMIF(AI:AI,AK842,AJ:AJ)</f>
        <v>0</v>
      </c>
      <c r="BP842" t="s">
        <v>32</v>
      </c>
      <c r="BQ842" t="s">
        <v>66</v>
      </c>
      <c r="BR842">
        <f t="shared" si="118"/>
        <v>9</v>
      </c>
      <c r="BS842">
        <f t="shared" si="119"/>
        <v>2023</v>
      </c>
      <c r="BT842">
        <v>9</v>
      </c>
      <c r="BU842" t="str">
        <f t="shared" si="120"/>
        <v>2023-9</v>
      </c>
      <c r="BV842">
        <f t="shared" si="121"/>
        <v>2</v>
      </c>
      <c r="BX842" t="s">
        <v>36</v>
      </c>
      <c r="BY842" t="s">
        <v>414</v>
      </c>
      <c r="BZ842">
        <v>75460</v>
      </c>
      <c r="CA842">
        <f t="shared" si="122"/>
        <v>7</v>
      </c>
      <c r="CB842">
        <f t="shared" si="123"/>
        <v>2024</v>
      </c>
      <c r="CC842" t="str">
        <f t="shared" si="124"/>
        <v>2024-7</v>
      </c>
    </row>
    <row r="843" spans="1:81" x14ac:dyDescent="0.25">
      <c r="A843" t="s">
        <v>27</v>
      </c>
      <c r="B843" t="s">
        <v>104</v>
      </c>
      <c r="C843" t="s">
        <v>414</v>
      </c>
      <c r="D843">
        <v>19290</v>
      </c>
      <c r="E843">
        <v>8</v>
      </c>
      <c r="P843" t="s">
        <v>27</v>
      </c>
      <c r="Q843" t="s">
        <v>229</v>
      </c>
      <c r="R843">
        <v>10</v>
      </c>
      <c r="AI843" t="s">
        <v>35</v>
      </c>
      <c r="AJ843">
        <v>45311</v>
      </c>
      <c r="AL843">
        <f>COUNTIF(AI:AI,AK843)</f>
        <v>0</v>
      </c>
      <c r="AM843">
        <f>SUMIF(AI:AI,AK843,AJ:AJ)</f>
        <v>0</v>
      </c>
      <c r="BP843" t="s">
        <v>32</v>
      </c>
      <c r="BQ843" t="s">
        <v>71</v>
      </c>
      <c r="BR843">
        <f t="shared" si="118"/>
        <v>9</v>
      </c>
      <c r="BS843">
        <f t="shared" si="119"/>
        <v>2023</v>
      </c>
      <c r="BT843">
        <v>8</v>
      </c>
      <c r="BU843" t="str">
        <f t="shared" si="120"/>
        <v>2023-9</v>
      </c>
      <c r="BV843">
        <f t="shared" si="121"/>
        <v>1</v>
      </c>
      <c r="BX843" t="s">
        <v>27</v>
      </c>
      <c r="BY843" t="s">
        <v>414</v>
      </c>
      <c r="BZ843">
        <v>19290</v>
      </c>
      <c r="CA843">
        <f t="shared" si="122"/>
        <v>7</v>
      </c>
      <c r="CB843">
        <f t="shared" si="123"/>
        <v>2024</v>
      </c>
      <c r="CC843" t="str">
        <f t="shared" si="124"/>
        <v>2024-7</v>
      </c>
    </row>
    <row r="844" spans="1:81" x14ac:dyDescent="0.25">
      <c r="A844" t="s">
        <v>23</v>
      </c>
      <c r="B844" t="s">
        <v>35</v>
      </c>
      <c r="C844" t="s">
        <v>414</v>
      </c>
      <c r="D844">
        <v>45311</v>
      </c>
      <c r="E844">
        <v>6</v>
      </c>
      <c r="P844" t="s">
        <v>8</v>
      </c>
      <c r="Q844" t="s">
        <v>233</v>
      </c>
      <c r="R844">
        <v>8</v>
      </c>
      <c r="AI844" t="s">
        <v>82</v>
      </c>
      <c r="AJ844">
        <v>38033</v>
      </c>
      <c r="AL844">
        <f>COUNTIF(AI:AI,AK844)</f>
        <v>0</v>
      </c>
      <c r="AM844">
        <f>SUMIF(AI:AI,AK844,AJ:AJ)</f>
        <v>0</v>
      </c>
      <c r="BP844" t="s">
        <v>32</v>
      </c>
      <c r="BQ844" t="s">
        <v>71</v>
      </c>
      <c r="BR844">
        <f t="shared" si="118"/>
        <v>9</v>
      </c>
      <c r="BS844">
        <f t="shared" si="119"/>
        <v>2023</v>
      </c>
      <c r="BT844">
        <v>6</v>
      </c>
      <c r="BU844" t="str">
        <f t="shared" si="120"/>
        <v>2023-9</v>
      </c>
      <c r="BV844">
        <f t="shared" si="121"/>
        <v>0</v>
      </c>
      <c r="BX844" t="s">
        <v>23</v>
      </c>
      <c r="BY844" t="s">
        <v>414</v>
      </c>
      <c r="BZ844">
        <v>45311</v>
      </c>
      <c r="CA844">
        <f t="shared" si="122"/>
        <v>7</v>
      </c>
      <c r="CB844">
        <f t="shared" si="123"/>
        <v>2024</v>
      </c>
      <c r="CC844" t="str">
        <f t="shared" si="124"/>
        <v>2024-7</v>
      </c>
    </row>
    <row r="845" spans="1:81" x14ac:dyDescent="0.25">
      <c r="A845" t="s">
        <v>32</v>
      </c>
      <c r="B845" t="s">
        <v>82</v>
      </c>
      <c r="C845" t="s">
        <v>414</v>
      </c>
      <c r="D845">
        <v>38033</v>
      </c>
      <c r="E845">
        <v>9</v>
      </c>
      <c r="P845" t="s">
        <v>5</v>
      </c>
      <c r="Q845" t="s">
        <v>266</v>
      </c>
      <c r="R845">
        <v>7</v>
      </c>
      <c r="AI845" t="s">
        <v>92</v>
      </c>
      <c r="AJ845">
        <v>12354</v>
      </c>
      <c r="AL845">
        <f>COUNTIF(AI:AI,AK845)</f>
        <v>0</v>
      </c>
      <c r="AM845">
        <f>SUMIF(AI:AI,AK845,AJ:AJ)</f>
        <v>0</v>
      </c>
      <c r="BP845" t="s">
        <v>32</v>
      </c>
      <c r="BQ845" t="s">
        <v>73</v>
      </c>
      <c r="BR845">
        <f t="shared" si="118"/>
        <v>9</v>
      </c>
      <c r="BS845">
        <f t="shared" si="119"/>
        <v>2023</v>
      </c>
      <c r="BT845">
        <v>9</v>
      </c>
      <c r="BU845" t="str">
        <f t="shared" si="120"/>
        <v>2023-9</v>
      </c>
      <c r="BV845">
        <f t="shared" si="121"/>
        <v>2</v>
      </c>
      <c r="BX845" t="s">
        <v>32</v>
      </c>
      <c r="BY845" t="s">
        <v>414</v>
      </c>
      <c r="BZ845">
        <v>38033</v>
      </c>
      <c r="CA845">
        <f t="shared" si="122"/>
        <v>7</v>
      </c>
      <c r="CB845">
        <f t="shared" si="123"/>
        <v>2024</v>
      </c>
      <c r="CC845" t="str">
        <f t="shared" si="124"/>
        <v>2024-7</v>
      </c>
    </row>
    <row r="846" spans="1:81" x14ac:dyDescent="0.25">
      <c r="A846" t="s">
        <v>8</v>
      </c>
      <c r="B846" t="s">
        <v>92</v>
      </c>
      <c r="C846" t="s">
        <v>415</v>
      </c>
      <c r="D846">
        <v>12354</v>
      </c>
      <c r="E846">
        <v>9</v>
      </c>
      <c r="P846" t="s">
        <v>33</v>
      </c>
      <c r="Q846" t="s">
        <v>242</v>
      </c>
      <c r="R846">
        <v>3</v>
      </c>
      <c r="AI846" t="s">
        <v>60</v>
      </c>
      <c r="AJ846">
        <v>96106</v>
      </c>
      <c r="AL846">
        <f>COUNTIF(AI:AI,AK846)</f>
        <v>0</v>
      </c>
      <c r="AM846">
        <f>SUMIF(AI:AI,AK846,AJ:AJ)</f>
        <v>0</v>
      </c>
      <c r="BP846" t="s">
        <v>32</v>
      </c>
      <c r="BQ846" t="s">
        <v>86</v>
      </c>
      <c r="BR846">
        <f t="shared" si="118"/>
        <v>9</v>
      </c>
      <c r="BS846">
        <f t="shared" si="119"/>
        <v>2023</v>
      </c>
      <c r="BT846">
        <v>9</v>
      </c>
      <c r="BU846" t="str">
        <f t="shared" si="120"/>
        <v>2023-9</v>
      </c>
      <c r="BV846">
        <f t="shared" si="121"/>
        <v>2</v>
      </c>
      <c r="BX846" t="s">
        <v>8</v>
      </c>
      <c r="BY846" t="s">
        <v>415</v>
      </c>
      <c r="BZ846">
        <v>12354</v>
      </c>
      <c r="CA846">
        <f t="shared" si="122"/>
        <v>7</v>
      </c>
      <c r="CB846">
        <f t="shared" si="123"/>
        <v>2024</v>
      </c>
      <c r="CC846" t="str">
        <f t="shared" si="124"/>
        <v>2024-7</v>
      </c>
    </row>
    <row r="847" spans="1:81" x14ac:dyDescent="0.25">
      <c r="A847" t="s">
        <v>32</v>
      </c>
      <c r="B847" t="s">
        <v>60</v>
      </c>
      <c r="C847" t="s">
        <v>415</v>
      </c>
      <c r="D847">
        <v>96106</v>
      </c>
      <c r="E847">
        <v>7</v>
      </c>
      <c r="P847" t="s">
        <v>8</v>
      </c>
      <c r="Q847" t="s">
        <v>396</v>
      </c>
      <c r="R847">
        <v>9</v>
      </c>
      <c r="AI847" t="s">
        <v>85</v>
      </c>
      <c r="AJ847">
        <v>75819</v>
      </c>
      <c r="AL847">
        <f>COUNTIF(AI:AI,AK847)</f>
        <v>0</v>
      </c>
      <c r="AM847">
        <f>SUMIF(AI:AI,AK847,AJ:AJ)</f>
        <v>0</v>
      </c>
      <c r="BP847" t="s">
        <v>32</v>
      </c>
      <c r="BQ847" t="s">
        <v>94</v>
      </c>
      <c r="BR847">
        <f t="shared" si="118"/>
        <v>9</v>
      </c>
      <c r="BS847">
        <f t="shared" si="119"/>
        <v>2023</v>
      </c>
      <c r="BT847">
        <v>7</v>
      </c>
      <c r="BU847" t="str">
        <f t="shared" si="120"/>
        <v>2023-9</v>
      </c>
      <c r="BV847">
        <f t="shared" si="121"/>
        <v>1</v>
      </c>
      <c r="BX847" t="s">
        <v>32</v>
      </c>
      <c r="BY847" t="s">
        <v>415</v>
      </c>
      <c r="BZ847">
        <v>96106</v>
      </c>
      <c r="CA847">
        <f t="shared" si="122"/>
        <v>7</v>
      </c>
      <c r="CB847">
        <f t="shared" si="123"/>
        <v>2024</v>
      </c>
      <c r="CC847" t="str">
        <f t="shared" si="124"/>
        <v>2024-7</v>
      </c>
    </row>
    <row r="848" spans="1:81" x14ac:dyDescent="0.25">
      <c r="A848" t="s">
        <v>17</v>
      </c>
      <c r="B848" t="s">
        <v>85</v>
      </c>
      <c r="C848" t="s">
        <v>415</v>
      </c>
      <c r="D848">
        <v>75819</v>
      </c>
      <c r="E848">
        <v>6</v>
      </c>
      <c r="P848" t="s">
        <v>32</v>
      </c>
      <c r="Q848" t="s">
        <v>269</v>
      </c>
      <c r="R848">
        <v>8</v>
      </c>
      <c r="AI848" t="s">
        <v>48</v>
      </c>
      <c r="AJ848">
        <v>52164</v>
      </c>
      <c r="AL848">
        <f>COUNTIF(AI:AI,AK848)</f>
        <v>0</v>
      </c>
      <c r="AM848">
        <f>SUMIF(AI:AI,AK848,AJ:AJ)</f>
        <v>0</v>
      </c>
      <c r="BP848" t="s">
        <v>32</v>
      </c>
      <c r="BQ848" t="s">
        <v>99</v>
      </c>
      <c r="BR848">
        <f t="shared" si="118"/>
        <v>9</v>
      </c>
      <c r="BS848">
        <f t="shared" si="119"/>
        <v>2023</v>
      </c>
      <c r="BT848">
        <v>6</v>
      </c>
      <c r="BU848" t="str">
        <f t="shared" si="120"/>
        <v>2023-9</v>
      </c>
      <c r="BV848">
        <f t="shared" si="121"/>
        <v>0</v>
      </c>
      <c r="BX848" t="s">
        <v>17</v>
      </c>
      <c r="BY848" t="s">
        <v>415</v>
      </c>
      <c r="BZ848">
        <v>75819</v>
      </c>
      <c r="CA848">
        <f t="shared" si="122"/>
        <v>7</v>
      </c>
      <c r="CB848">
        <f t="shared" si="123"/>
        <v>2024</v>
      </c>
      <c r="CC848" t="str">
        <f t="shared" si="124"/>
        <v>2024-7</v>
      </c>
    </row>
    <row r="849" spans="1:81" x14ac:dyDescent="0.25">
      <c r="A849" t="s">
        <v>5</v>
      </c>
      <c r="B849" t="s">
        <v>48</v>
      </c>
      <c r="C849" t="s">
        <v>416</v>
      </c>
      <c r="D849">
        <v>52164</v>
      </c>
      <c r="E849">
        <v>4</v>
      </c>
      <c r="P849" t="s">
        <v>27</v>
      </c>
      <c r="Q849" t="s">
        <v>22</v>
      </c>
      <c r="R849">
        <v>7</v>
      </c>
      <c r="AI849" t="s">
        <v>119</v>
      </c>
      <c r="AJ849">
        <v>26803</v>
      </c>
      <c r="AL849">
        <f>COUNTIF(AI:AI,AK849)</f>
        <v>0</v>
      </c>
      <c r="AM849">
        <f>SUMIF(AI:AI,AK849,AJ:AJ)</f>
        <v>0</v>
      </c>
      <c r="BP849" t="s">
        <v>32</v>
      </c>
      <c r="BQ849" t="s">
        <v>105</v>
      </c>
      <c r="BR849">
        <f t="shared" si="118"/>
        <v>10</v>
      </c>
      <c r="BS849">
        <f t="shared" si="119"/>
        <v>2023</v>
      </c>
      <c r="BT849">
        <v>4</v>
      </c>
      <c r="BU849" t="str">
        <f t="shared" si="120"/>
        <v>2023-10</v>
      </c>
      <c r="BV849">
        <f t="shared" si="121"/>
        <v>0</v>
      </c>
      <c r="BX849" t="s">
        <v>5</v>
      </c>
      <c r="BY849" t="s">
        <v>416</v>
      </c>
      <c r="BZ849">
        <v>52164</v>
      </c>
      <c r="CA849">
        <f t="shared" si="122"/>
        <v>7</v>
      </c>
      <c r="CB849">
        <f t="shared" si="123"/>
        <v>2024</v>
      </c>
      <c r="CC849" t="str">
        <f t="shared" si="124"/>
        <v>2024-7</v>
      </c>
    </row>
    <row r="850" spans="1:81" x14ac:dyDescent="0.25">
      <c r="A850" t="s">
        <v>10</v>
      </c>
      <c r="B850" t="s">
        <v>119</v>
      </c>
      <c r="C850" t="s">
        <v>416</v>
      </c>
      <c r="D850">
        <v>26803</v>
      </c>
      <c r="E850">
        <v>2</v>
      </c>
      <c r="P850" t="s">
        <v>5</v>
      </c>
      <c r="Q850" t="s">
        <v>259</v>
      </c>
      <c r="R850">
        <v>7</v>
      </c>
      <c r="AI850" t="s">
        <v>89</v>
      </c>
      <c r="AJ850">
        <v>94599</v>
      </c>
      <c r="AL850">
        <f>COUNTIF(AI:AI,AK850)</f>
        <v>0</v>
      </c>
      <c r="AM850">
        <f>SUMIF(AI:AI,AK850,AJ:AJ)</f>
        <v>0</v>
      </c>
      <c r="BP850" t="s">
        <v>32</v>
      </c>
      <c r="BQ850" t="s">
        <v>115</v>
      </c>
      <c r="BR850">
        <f t="shared" si="118"/>
        <v>10</v>
      </c>
      <c r="BS850">
        <f t="shared" si="119"/>
        <v>2023</v>
      </c>
      <c r="BT850">
        <v>2</v>
      </c>
      <c r="BU850" t="str">
        <f t="shared" si="120"/>
        <v>2023-10</v>
      </c>
      <c r="BV850">
        <f t="shared" si="121"/>
        <v>0</v>
      </c>
      <c r="BX850" t="s">
        <v>10</v>
      </c>
      <c r="BY850" t="s">
        <v>416</v>
      </c>
      <c r="BZ850">
        <v>26803</v>
      </c>
      <c r="CA850">
        <f t="shared" si="122"/>
        <v>7</v>
      </c>
      <c r="CB850">
        <f t="shared" si="123"/>
        <v>2024</v>
      </c>
      <c r="CC850" t="str">
        <f t="shared" si="124"/>
        <v>2024-7</v>
      </c>
    </row>
    <row r="851" spans="1:81" x14ac:dyDescent="0.25">
      <c r="A851" t="s">
        <v>33</v>
      </c>
      <c r="B851" t="s">
        <v>89</v>
      </c>
      <c r="C851" t="s">
        <v>416</v>
      </c>
      <c r="D851">
        <v>94599</v>
      </c>
      <c r="E851">
        <v>7</v>
      </c>
      <c r="P851" t="s">
        <v>8</v>
      </c>
      <c r="Q851" t="s">
        <v>259</v>
      </c>
      <c r="R851">
        <v>7</v>
      </c>
      <c r="AI851" t="s">
        <v>286</v>
      </c>
      <c r="AJ851">
        <v>65539</v>
      </c>
      <c r="AL851">
        <f>COUNTIF(AI:AI,AK851)</f>
        <v>0</v>
      </c>
      <c r="AM851">
        <f>SUMIF(AI:AI,AK851,AJ:AJ)</f>
        <v>0</v>
      </c>
      <c r="BP851" t="s">
        <v>32</v>
      </c>
      <c r="BQ851" t="s">
        <v>117</v>
      </c>
      <c r="BR851">
        <f t="shared" si="118"/>
        <v>10</v>
      </c>
      <c r="BS851">
        <f t="shared" si="119"/>
        <v>2023</v>
      </c>
      <c r="BT851">
        <v>7</v>
      </c>
      <c r="BU851" t="str">
        <f t="shared" si="120"/>
        <v>2023-10</v>
      </c>
      <c r="BV851">
        <f t="shared" si="121"/>
        <v>1</v>
      </c>
      <c r="BX851" t="s">
        <v>33</v>
      </c>
      <c r="BY851" t="s">
        <v>416</v>
      </c>
      <c r="BZ851">
        <v>94599</v>
      </c>
      <c r="CA851">
        <f t="shared" si="122"/>
        <v>7</v>
      </c>
      <c r="CB851">
        <f t="shared" si="123"/>
        <v>2024</v>
      </c>
      <c r="CC851" t="str">
        <f t="shared" si="124"/>
        <v>2024-7</v>
      </c>
    </row>
    <row r="852" spans="1:81" x14ac:dyDescent="0.25">
      <c r="A852" t="s">
        <v>5</v>
      </c>
      <c r="B852" t="s">
        <v>286</v>
      </c>
      <c r="C852" t="s">
        <v>416</v>
      </c>
      <c r="D852">
        <v>65539</v>
      </c>
      <c r="E852">
        <v>8</v>
      </c>
      <c r="P852" t="s">
        <v>27</v>
      </c>
      <c r="Q852" t="s">
        <v>45</v>
      </c>
      <c r="R852">
        <v>9</v>
      </c>
      <c r="AI852" t="s">
        <v>352</v>
      </c>
      <c r="AJ852">
        <v>50576</v>
      </c>
      <c r="AL852">
        <f>COUNTIF(AI:AI,AK852)</f>
        <v>0</v>
      </c>
      <c r="AM852">
        <f>SUMIF(AI:AI,AK852,AJ:AJ)</f>
        <v>0</v>
      </c>
      <c r="BP852" t="s">
        <v>32</v>
      </c>
      <c r="BQ852" t="s">
        <v>117</v>
      </c>
      <c r="BR852">
        <f t="shared" si="118"/>
        <v>10</v>
      </c>
      <c r="BS852">
        <f t="shared" si="119"/>
        <v>2023</v>
      </c>
      <c r="BT852">
        <v>8</v>
      </c>
      <c r="BU852" t="str">
        <f t="shared" si="120"/>
        <v>2023-10</v>
      </c>
      <c r="BV852">
        <f t="shared" si="121"/>
        <v>1</v>
      </c>
      <c r="BX852" t="s">
        <v>5</v>
      </c>
      <c r="BY852" t="s">
        <v>416</v>
      </c>
      <c r="BZ852">
        <v>65539</v>
      </c>
      <c r="CA852">
        <f t="shared" si="122"/>
        <v>7</v>
      </c>
      <c r="CB852">
        <f t="shared" si="123"/>
        <v>2024</v>
      </c>
      <c r="CC852" t="str">
        <f t="shared" si="124"/>
        <v>2024-7</v>
      </c>
    </row>
    <row r="853" spans="1:81" x14ac:dyDescent="0.25">
      <c r="A853" t="s">
        <v>33</v>
      </c>
      <c r="B853" t="s">
        <v>352</v>
      </c>
      <c r="C853" t="s">
        <v>417</v>
      </c>
      <c r="D853">
        <v>50576</v>
      </c>
      <c r="E853">
        <v>5</v>
      </c>
      <c r="P853" t="s">
        <v>8</v>
      </c>
      <c r="Q853" t="s">
        <v>65</v>
      </c>
      <c r="R853">
        <v>6</v>
      </c>
      <c r="AI853" t="s">
        <v>25</v>
      </c>
      <c r="AJ853">
        <v>52335</v>
      </c>
      <c r="AL853">
        <f>COUNTIF(AI:AI,AK853)</f>
        <v>0</v>
      </c>
      <c r="AM853">
        <f>SUMIF(AI:AI,AK853,AJ:AJ)</f>
        <v>0</v>
      </c>
      <c r="BP853" t="s">
        <v>32</v>
      </c>
      <c r="BQ853" t="s">
        <v>122</v>
      </c>
      <c r="BR853">
        <f t="shared" si="118"/>
        <v>10</v>
      </c>
      <c r="BS853">
        <f t="shared" si="119"/>
        <v>2023</v>
      </c>
      <c r="BT853">
        <v>5</v>
      </c>
      <c r="BU853" t="str">
        <f t="shared" si="120"/>
        <v>2023-10</v>
      </c>
      <c r="BV853">
        <f t="shared" si="121"/>
        <v>0</v>
      </c>
      <c r="BX853" t="s">
        <v>33</v>
      </c>
      <c r="BY853" t="s">
        <v>417</v>
      </c>
      <c r="BZ853">
        <v>50576</v>
      </c>
      <c r="CA853">
        <f t="shared" si="122"/>
        <v>7</v>
      </c>
      <c r="CB853">
        <f t="shared" si="123"/>
        <v>2024</v>
      </c>
      <c r="CC853" t="str">
        <f t="shared" si="124"/>
        <v>2024-7</v>
      </c>
    </row>
    <row r="854" spans="1:81" x14ac:dyDescent="0.25">
      <c r="A854" t="s">
        <v>10</v>
      </c>
      <c r="B854" t="s">
        <v>25</v>
      </c>
      <c r="C854" t="s">
        <v>417</v>
      </c>
      <c r="D854">
        <v>52335</v>
      </c>
      <c r="E854">
        <v>3</v>
      </c>
      <c r="P854" t="s">
        <v>5</v>
      </c>
      <c r="Q854" t="s">
        <v>18</v>
      </c>
      <c r="R854">
        <v>5</v>
      </c>
      <c r="AI854" t="s">
        <v>247</v>
      </c>
      <c r="AJ854">
        <v>61215</v>
      </c>
      <c r="AL854">
        <f>COUNTIF(AI:AI,AK854)</f>
        <v>0</v>
      </c>
      <c r="AM854">
        <f>SUMIF(AI:AI,AK854,AJ:AJ)</f>
        <v>0</v>
      </c>
      <c r="BP854" t="s">
        <v>32</v>
      </c>
      <c r="BQ854" t="s">
        <v>128</v>
      </c>
      <c r="BR854">
        <f t="shared" si="118"/>
        <v>10</v>
      </c>
      <c r="BS854">
        <f t="shared" si="119"/>
        <v>2023</v>
      </c>
      <c r="BT854">
        <v>3</v>
      </c>
      <c r="BU854" t="str">
        <f t="shared" si="120"/>
        <v>2023-10</v>
      </c>
      <c r="BV854">
        <f t="shared" si="121"/>
        <v>0</v>
      </c>
      <c r="BX854" t="s">
        <v>10</v>
      </c>
      <c r="BY854" t="s">
        <v>417</v>
      </c>
      <c r="BZ854">
        <v>52335</v>
      </c>
      <c r="CA854">
        <f t="shared" si="122"/>
        <v>7</v>
      </c>
      <c r="CB854">
        <f t="shared" si="123"/>
        <v>2024</v>
      </c>
      <c r="CC854" t="str">
        <f t="shared" si="124"/>
        <v>2024-7</v>
      </c>
    </row>
    <row r="855" spans="1:81" x14ac:dyDescent="0.25">
      <c r="A855" t="s">
        <v>10</v>
      </c>
      <c r="B855" t="s">
        <v>247</v>
      </c>
      <c r="C855" t="s">
        <v>418</v>
      </c>
      <c r="D855">
        <v>61215</v>
      </c>
      <c r="E855">
        <v>7</v>
      </c>
      <c r="P855" t="s">
        <v>36</v>
      </c>
      <c r="Q855" t="s">
        <v>53</v>
      </c>
      <c r="R855">
        <v>10</v>
      </c>
      <c r="AI855" t="s">
        <v>9</v>
      </c>
      <c r="AJ855">
        <v>72799</v>
      </c>
      <c r="AL855">
        <f>COUNTIF(AI:AI,AK855)</f>
        <v>0</v>
      </c>
      <c r="AM855">
        <f>SUMIF(AI:AI,AK855,AJ:AJ)</f>
        <v>0</v>
      </c>
      <c r="BP855" t="s">
        <v>32</v>
      </c>
      <c r="BQ855" t="s">
        <v>134</v>
      </c>
      <c r="BR855">
        <f t="shared" ref="BR855:BR918" si="125">MONTH(BQ855)</f>
        <v>10</v>
      </c>
      <c r="BS855">
        <f t="shared" si="119"/>
        <v>2023</v>
      </c>
      <c r="BT855">
        <v>7</v>
      </c>
      <c r="BU855" t="str">
        <f t="shared" si="120"/>
        <v>2023-10</v>
      </c>
      <c r="BV855">
        <f t="shared" si="121"/>
        <v>1</v>
      </c>
      <c r="BX855" t="s">
        <v>10</v>
      </c>
      <c r="BY855" t="s">
        <v>418</v>
      </c>
      <c r="BZ855">
        <v>61215</v>
      </c>
      <c r="CA855">
        <f t="shared" si="122"/>
        <v>7</v>
      </c>
      <c r="CB855">
        <f t="shared" si="123"/>
        <v>2024</v>
      </c>
      <c r="CC855" t="str">
        <f t="shared" si="124"/>
        <v>2024-7</v>
      </c>
    </row>
    <row r="856" spans="1:81" x14ac:dyDescent="0.25">
      <c r="A856" t="s">
        <v>12</v>
      </c>
      <c r="B856" t="s">
        <v>9</v>
      </c>
      <c r="C856" t="s">
        <v>418</v>
      </c>
      <c r="D856">
        <v>72799</v>
      </c>
      <c r="E856">
        <v>9</v>
      </c>
      <c r="P856" t="s">
        <v>23</v>
      </c>
      <c r="Q856" t="s">
        <v>70</v>
      </c>
      <c r="R856">
        <v>9</v>
      </c>
      <c r="AI856" t="s">
        <v>30</v>
      </c>
      <c r="AJ856">
        <v>64199</v>
      </c>
      <c r="AL856">
        <f>COUNTIF(AI:AI,AK856)</f>
        <v>0</v>
      </c>
      <c r="AM856">
        <f>SUMIF(AI:AI,AK856,AJ:AJ)</f>
        <v>0</v>
      </c>
      <c r="BP856" t="s">
        <v>32</v>
      </c>
      <c r="BQ856" t="s">
        <v>134</v>
      </c>
      <c r="BR856">
        <f t="shared" si="125"/>
        <v>10</v>
      </c>
      <c r="BS856">
        <f t="shared" si="119"/>
        <v>2023</v>
      </c>
      <c r="BT856">
        <v>9</v>
      </c>
      <c r="BU856" t="str">
        <f t="shared" si="120"/>
        <v>2023-10</v>
      </c>
      <c r="BV856">
        <f t="shared" si="121"/>
        <v>2</v>
      </c>
      <c r="BX856" t="s">
        <v>12</v>
      </c>
      <c r="BY856" t="s">
        <v>418</v>
      </c>
      <c r="BZ856">
        <v>72799</v>
      </c>
      <c r="CA856">
        <f t="shared" si="122"/>
        <v>7</v>
      </c>
      <c r="CB856">
        <f t="shared" si="123"/>
        <v>2024</v>
      </c>
      <c r="CC856" t="str">
        <f t="shared" si="124"/>
        <v>2024-7</v>
      </c>
    </row>
    <row r="857" spans="1:81" x14ac:dyDescent="0.25">
      <c r="A857" t="s">
        <v>5</v>
      </c>
      <c r="B857" t="s">
        <v>30</v>
      </c>
      <c r="C857" t="s">
        <v>419</v>
      </c>
      <c r="D857">
        <v>64199</v>
      </c>
      <c r="E857">
        <v>7</v>
      </c>
      <c r="P857" t="s">
        <v>20</v>
      </c>
      <c r="Q857" t="s">
        <v>222</v>
      </c>
      <c r="R857">
        <v>7</v>
      </c>
      <c r="AI857" t="s">
        <v>183</v>
      </c>
      <c r="AJ857">
        <v>48568</v>
      </c>
      <c r="AL857">
        <f>COUNTIF(AI:AI,AK857)</f>
        <v>0</v>
      </c>
      <c r="AM857">
        <f>SUMIF(AI:AI,AK857,AJ:AJ)</f>
        <v>0</v>
      </c>
      <c r="BP857" t="s">
        <v>32</v>
      </c>
      <c r="BQ857" t="s">
        <v>137</v>
      </c>
      <c r="BR857">
        <f t="shared" si="125"/>
        <v>10</v>
      </c>
      <c r="BS857">
        <f t="shared" si="119"/>
        <v>2023</v>
      </c>
      <c r="BT857">
        <v>7</v>
      </c>
      <c r="BU857" t="str">
        <f t="shared" si="120"/>
        <v>2023-10</v>
      </c>
      <c r="BV857">
        <f t="shared" si="121"/>
        <v>1</v>
      </c>
      <c r="BX857" t="s">
        <v>5</v>
      </c>
      <c r="BY857" t="s">
        <v>419</v>
      </c>
      <c r="BZ857">
        <v>64199</v>
      </c>
      <c r="CA857">
        <f t="shared" si="122"/>
        <v>7</v>
      </c>
      <c r="CB857">
        <f t="shared" si="123"/>
        <v>2024</v>
      </c>
      <c r="CC857" t="str">
        <f t="shared" si="124"/>
        <v>2024-7</v>
      </c>
    </row>
    <row r="858" spans="1:81" x14ac:dyDescent="0.25">
      <c r="A858" t="s">
        <v>5</v>
      </c>
      <c r="B858" t="s">
        <v>183</v>
      </c>
      <c r="C858" t="s">
        <v>419</v>
      </c>
      <c r="D858">
        <v>48568</v>
      </c>
      <c r="E858">
        <v>7</v>
      </c>
      <c r="P858" t="s">
        <v>14</v>
      </c>
      <c r="Q858" t="s">
        <v>53</v>
      </c>
      <c r="R858">
        <v>0</v>
      </c>
      <c r="AI858" t="s">
        <v>307</v>
      </c>
      <c r="AJ858">
        <v>49360</v>
      </c>
      <c r="AL858">
        <f>COUNTIF(AI:AI,AK858)</f>
        <v>0</v>
      </c>
      <c r="AM858">
        <f>SUMIF(AI:AI,AK858,AJ:AJ)</f>
        <v>0</v>
      </c>
      <c r="BP858" t="s">
        <v>32</v>
      </c>
      <c r="BQ858" t="s">
        <v>170</v>
      </c>
      <c r="BR858">
        <f t="shared" si="125"/>
        <v>11</v>
      </c>
      <c r="BS858">
        <f t="shared" si="119"/>
        <v>2023</v>
      </c>
      <c r="BT858">
        <v>7</v>
      </c>
      <c r="BU858" t="str">
        <f t="shared" si="120"/>
        <v>2023-11</v>
      </c>
      <c r="BV858">
        <f t="shared" si="121"/>
        <v>1</v>
      </c>
      <c r="BX858" t="s">
        <v>5</v>
      </c>
      <c r="BY858" t="s">
        <v>419</v>
      </c>
      <c r="BZ858">
        <v>48568</v>
      </c>
      <c r="CA858">
        <f t="shared" si="122"/>
        <v>7</v>
      </c>
      <c r="CB858">
        <f t="shared" si="123"/>
        <v>2024</v>
      </c>
      <c r="CC858" t="str">
        <f t="shared" si="124"/>
        <v>2024-7</v>
      </c>
    </row>
    <row r="859" spans="1:81" x14ac:dyDescent="0.25">
      <c r="A859" t="s">
        <v>5</v>
      </c>
      <c r="B859" t="s">
        <v>307</v>
      </c>
      <c r="C859" t="s">
        <v>419</v>
      </c>
      <c r="D859">
        <v>49360</v>
      </c>
      <c r="E859">
        <v>4</v>
      </c>
      <c r="P859" t="s">
        <v>14</v>
      </c>
      <c r="Q859" t="s">
        <v>28</v>
      </c>
      <c r="R859">
        <v>8</v>
      </c>
      <c r="AI859" t="s">
        <v>127</v>
      </c>
      <c r="AJ859">
        <v>43197</v>
      </c>
      <c r="AL859">
        <f>COUNTIF(AI:AI,AK859)</f>
        <v>0</v>
      </c>
      <c r="AM859">
        <f>SUMIF(AI:AI,AK859,AJ:AJ)</f>
        <v>0</v>
      </c>
      <c r="BP859" t="s">
        <v>32</v>
      </c>
      <c r="BQ859" t="s">
        <v>172</v>
      </c>
      <c r="BR859">
        <f t="shared" si="125"/>
        <v>11</v>
      </c>
      <c r="BS859">
        <f t="shared" si="119"/>
        <v>2023</v>
      </c>
      <c r="BT859">
        <v>4</v>
      </c>
      <c r="BU859" t="str">
        <f t="shared" si="120"/>
        <v>2023-11</v>
      </c>
      <c r="BV859">
        <f t="shared" si="121"/>
        <v>0</v>
      </c>
      <c r="BX859" t="s">
        <v>5</v>
      </c>
      <c r="BY859" t="s">
        <v>419</v>
      </c>
      <c r="BZ859">
        <v>49360</v>
      </c>
      <c r="CA859">
        <f t="shared" si="122"/>
        <v>7</v>
      </c>
      <c r="CB859">
        <f t="shared" si="123"/>
        <v>2024</v>
      </c>
      <c r="CC859" t="str">
        <f t="shared" si="124"/>
        <v>2024-7</v>
      </c>
    </row>
    <row r="860" spans="1:81" x14ac:dyDescent="0.25">
      <c r="A860" t="s">
        <v>23</v>
      </c>
      <c r="B860" t="s">
        <v>127</v>
      </c>
      <c r="C860" t="s">
        <v>419</v>
      </c>
      <c r="D860">
        <v>43197</v>
      </c>
      <c r="E860">
        <v>7</v>
      </c>
      <c r="P860" t="s">
        <v>5</v>
      </c>
      <c r="Q860" t="s">
        <v>327</v>
      </c>
      <c r="R860">
        <v>6</v>
      </c>
      <c r="AI860" t="s">
        <v>161</v>
      </c>
      <c r="AJ860">
        <v>63154</v>
      </c>
      <c r="AL860">
        <f>COUNTIF(AI:AI,AK860)</f>
        <v>0</v>
      </c>
      <c r="AM860">
        <f>SUMIF(AI:AI,AK860,AJ:AJ)</f>
        <v>0</v>
      </c>
      <c r="BP860" t="s">
        <v>32</v>
      </c>
      <c r="BQ860" t="s">
        <v>179</v>
      </c>
      <c r="BR860">
        <f t="shared" si="125"/>
        <v>11</v>
      </c>
      <c r="BS860">
        <f t="shared" si="119"/>
        <v>2023</v>
      </c>
      <c r="BT860">
        <v>7</v>
      </c>
      <c r="BU860" t="str">
        <f t="shared" si="120"/>
        <v>2023-11</v>
      </c>
      <c r="BV860">
        <f t="shared" si="121"/>
        <v>1</v>
      </c>
      <c r="BX860" t="s">
        <v>23</v>
      </c>
      <c r="BY860" t="s">
        <v>419</v>
      </c>
      <c r="BZ860">
        <v>43197</v>
      </c>
      <c r="CA860">
        <f t="shared" si="122"/>
        <v>7</v>
      </c>
      <c r="CB860">
        <f t="shared" si="123"/>
        <v>2024</v>
      </c>
      <c r="CC860" t="str">
        <f t="shared" si="124"/>
        <v>2024-7</v>
      </c>
    </row>
    <row r="861" spans="1:81" x14ac:dyDescent="0.25">
      <c r="A861" t="s">
        <v>36</v>
      </c>
      <c r="B861" t="s">
        <v>161</v>
      </c>
      <c r="C861" t="s">
        <v>419</v>
      </c>
      <c r="D861">
        <v>63154</v>
      </c>
      <c r="E861">
        <v>8</v>
      </c>
      <c r="P861" t="s">
        <v>10</v>
      </c>
      <c r="Q861" t="s">
        <v>143</v>
      </c>
      <c r="R861">
        <v>1</v>
      </c>
      <c r="AI861" t="s">
        <v>173</v>
      </c>
      <c r="AJ861">
        <v>93834</v>
      </c>
      <c r="AL861">
        <f>COUNTIF(AI:AI,AK861)</f>
        <v>0</v>
      </c>
      <c r="AM861">
        <f>SUMIF(AI:AI,AK861,AJ:AJ)</f>
        <v>0</v>
      </c>
      <c r="BP861" t="s">
        <v>32</v>
      </c>
      <c r="BQ861" t="s">
        <v>185</v>
      </c>
      <c r="BR861">
        <f t="shared" si="125"/>
        <v>11</v>
      </c>
      <c r="BS861">
        <f t="shared" si="119"/>
        <v>2023</v>
      </c>
      <c r="BT861">
        <v>8</v>
      </c>
      <c r="BU861" t="str">
        <f t="shared" si="120"/>
        <v>2023-11</v>
      </c>
      <c r="BV861">
        <f t="shared" si="121"/>
        <v>1</v>
      </c>
      <c r="BX861" t="s">
        <v>36</v>
      </c>
      <c r="BY861" t="s">
        <v>419</v>
      </c>
      <c r="BZ861">
        <v>63154</v>
      </c>
      <c r="CA861">
        <f t="shared" si="122"/>
        <v>7</v>
      </c>
      <c r="CB861">
        <f t="shared" si="123"/>
        <v>2024</v>
      </c>
      <c r="CC861" t="str">
        <f t="shared" si="124"/>
        <v>2024-7</v>
      </c>
    </row>
    <row r="862" spans="1:81" x14ac:dyDescent="0.25">
      <c r="A862" t="s">
        <v>20</v>
      </c>
      <c r="B862" t="s">
        <v>173</v>
      </c>
      <c r="C862" t="s">
        <v>420</v>
      </c>
      <c r="D862">
        <v>93834</v>
      </c>
      <c r="E862">
        <v>10</v>
      </c>
      <c r="P862" t="s">
        <v>32</v>
      </c>
      <c r="Q862" t="s">
        <v>242</v>
      </c>
      <c r="R862">
        <v>10</v>
      </c>
      <c r="AI862" t="s">
        <v>173</v>
      </c>
      <c r="AJ862">
        <v>51876</v>
      </c>
      <c r="AL862">
        <f>COUNTIF(AI:AI,AK862)</f>
        <v>0</v>
      </c>
      <c r="AM862">
        <f>SUMIF(AI:AI,AK862,AJ:AJ)</f>
        <v>0</v>
      </c>
      <c r="BP862" t="s">
        <v>32</v>
      </c>
      <c r="BQ862" t="s">
        <v>189</v>
      </c>
      <c r="BR862">
        <f t="shared" si="125"/>
        <v>11</v>
      </c>
      <c r="BS862">
        <f t="shared" si="119"/>
        <v>2023</v>
      </c>
      <c r="BT862">
        <v>10</v>
      </c>
      <c r="BU862" t="str">
        <f t="shared" si="120"/>
        <v>2023-11</v>
      </c>
      <c r="BV862">
        <f t="shared" si="121"/>
        <v>2</v>
      </c>
      <c r="BX862" t="s">
        <v>20</v>
      </c>
      <c r="BY862" t="s">
        <v>420</v>
      </c>
      <c r="BZ862">
        <v>93834</v>
      </c>
      <c r="CA862">
        <f t="shared" si="122"/>
        <v>7</v>
      </c>
      <c r="CB862">
        <f t="shared" si="123"/>
        <v>2024</v>
      </c>
      <c r="CC862" t="str">
        <f t="shared" si="124"/>
        <v>2024-7</v>
      </c>
    </row>
    <row r="863" spans="1:81" x14ac:dyDescent="0.25">
      <c r="A863" t="s">
        <v>12</v>
      </c>
      <c r="B863" t="s">
        <v>173</v>
      </c>
      <c r="C863" t="s">
        <v>421</v>
      </c>
      <c r="D863">
        <v>51876</v>
      </c>
      <c r="E863">
        <v>3</v>
      </c>
      <c r="P863" t="s">
        <v>36</v>
      </c>
      <c r="Q863" t="s">
        <v>45</v>
      </c>
      <c r="R863">
        <v>2</v>
      </c>
      <c r="AI863" t="s">
        <v>41</v>
      </c>
      <c r="AJ863">
        <v>90959</v>
      </c>
      <c r="AL863">
        <f>COUNTIF(AI:AI,AK863)</f>
        <v>0</v>
      </c>
      <c r="AM863">
        <f>SUMIF(AI:AI,AK863,AJ:AJ)</f>
        <v>0</v>
      </c>
      <c r="BP863" t="s">
        <v>32</v>
      </c>
      <c r="BQ863" t="s">
        <v>194</v>
      </c>
      <c r="BR863">
        <f t="shared" si="125"/>
        <v>11</v>
      </c>
      <c r="BS863">
        <f t="shared" si="119"/>
        <v>2023</v>
      </c>
      <c r="BT863">
        <v>3</v>
      </c>
      <c r="BU863" t="str">
        <f t="shared" si="120"/>
        <v>2023-11</v>
      </c>
      <c r="BV863">
        <f t="shared" si="121"/>
        <v>0</v>
      </c>
      <c r="BX863" t="s">
        <v>12</v>
      </c>
      <c r="BY863" t="s">
        <v>421</v>
      </c>
      <c r="BZ863">
        <v>51876</v>
      </c>
      <c r="CA863">
        <f t="shared" si="122"/>
        <v>7</v>
      </c>
      <c r="CB863">
        <f t="shared" si="123"/>
        <v>2024</v>
      </c>
      <c r="CC863" t="str">
        <f t="shared" si="124"/>
        <v>2024-7</v>
      </c>
    </row>
    <row r="864" spans="1:81" x14ac:dyDescent="0.25">
      <c r="A864" t="s">
        <v>8</v>
      </c>
      <c r="B864" t="s">
        <v>41</v>
      </c>
      <c r="C864" t="s">
        <v>422</v>
      </c>
      <c r="D864">
        <v>90959</v>
      </c>
      <c r="E864">
        <v>9</v>
      </c>
      <c r="P864" t="s">
        <v>14</v>
      </c>
      <c r="Q864" t="s">
        <v>253</v>
      </c>
      <c r="R864">
        <v>5</v>
      </c>
      <c r="AI864" t="s">
        <v>131</v>
      </c>
      <c r="AJ864">
        <v>53285</v>
      </c>
      <c r="AL864">
        <f>COUNTIF(AI:AI,AK864)</f>
        <v>0</v>
      </c>
      <c r="AM864">
        <f>SUMIF(AI:AI,AK864,AJ:AJ)</f>
        <v>0</v>
      </c>
      <c r="BP864" t="s">
        <v>32</v>
      </c>
      <c r="BQ864" t="s">
        <v>201</v>
      </c>
      <c r="BR864">
        <f t="shared" si="125"/>
        <v>11</v>
      </c>
      <c r="BS864">
        <f t="shared" si="119"/>
        <v>2023</v>
      </c>
      <c r="BT864">
        <v>9</v>
      </c>
      <c r="BU864" t="str">
        <f t="shared" si="120"/>
        <v>2023-11</v>
      </c>
      <c r="BV864">
        <f t="shared" si="121"/>
        <v>2</v>
      </c>
      <c r="BX864" t="s">
        <v>8</v>
      </c>
      <c r="BY864" t="s">
        <v>422</v>
      </c>
      <c r="BZ864">
        <v>90959</v>
      </c>
      <c r="CA864">
        <f t="shared" si="122"/>
        <v>7</v>
      </c>
      <c r="CB864">
        <f t="shared" si="123"/>
        <v>2024</v>
      </c>
      <c r="CC864" t="str">
        <f t="shared" si="124"/>
        <v>2024-7</v>
      </c>
    </row>
    <row r="865" spans="1:81" x14ac:dyDescent="0.25">
      <c r="A865" t="s">
        <v>17</v>
      </c>
      <c r="B865" t="s">
        <v>131</v>
      </c>
      <c r="C865" t="s">
        <v>422</v>
      </c>
      <c r="D865">
        <v>53285</v>
      </c>
      <c r="E865">
        <v>5</v>
      </c>
      <c r="P865" t="s">
        <v>23</v>
      </c>
      <c r="Q865" t="s">
        <v>37</v>
      </c>
      <c r="R865">
        <v>2</v>
      </c>
      <c r="AI865" t="s">
        <v>184</v>
      </c>
      <c r="AJ865">
        <v>97096</v>
      </c>
      <c r="AL865">
        <f>COUNTIF(AI:AI,AK865)</f>
        <v>0</v>
      </c>
      <c r="AM865">
        <f>SUMIF(AI:AI,AK865,AJ:AJ)</f>
        <v>0</v>
      </c>
      <c r="BP865" t="s">
        <v>32</v>
      </c>
      <c r="BQ865" t="s">
        <v>208</v>
      </c>
      <c r="BR865">
        <f t="shared" si="125"/>
        <v>11</v>
      </c>
      <c r="BS865">
        <f t="shared" si="119"/>
        <v>2023</v>
      </c>
      <c r="BT865">
        <v>5</v>
      </c>
      <c r="BU865" t="str">
        <f t="shared" si="120"/>
        <v>2023-11</v>
      </c>
      <c r="BV865">
        <f t="shared" si="121"/>
        <v>0</v>
      </c>
      <c r="BX865" t="s">
        <v>17</v>
      </c>
      <c r="BY865" t="s">
        <v>422</v>
      </c>
      <c r="BZ865">
        <v>53285</v>
      </c>
      <c r="CA865">
        <f t="shared" si="122"/>
        <v>7</v>
      </c>
      <c r="CB865">
        <f t="shared" si="123"/>
        <v>2024</v>
      </c>
      <c r="CC865" t="str">
        <f t="shared" si="124"/>
        <v>2024-7</v>
      </c>
    </row>
    <row r="866" spans="1:81" x14ac:dyDescent="0.25">
      <c r="A866" t="s">
        <v>14</v>
      </c>
      <c r="B866" t="s">
        <v>184</v>
      </c>
      <c r="C866" t="s">
        <v>422</v>
      </c>
      <c r="D866">
        <v>97096</v>
      </c>
      <c r="E866">
        <v>1</v>
      </c>
      <c r="P866" t="s">
        <v>32</v>
      </c>
      <c r="Q866" t="s">
        <v>197</v>
      </c>
      <c r="R866">
        <v>1</v>
      </c>
      <c r="AI866" t="s">
        <v>181</v>
      </c>
      <c r="AJ866">
        <v>83451</v>
      </c>
      <c r="AL866">
        <f>COUNTIF(AI:AI,AK866)</f>
        <v>0</v>
      </c>
      <c r="AM866">
        <f>SUMIF(AI:AI,AK866,AJ:AJ)</f>
        <v>0</v>
      </c>
      <c r="BP866" t="s">
        <v>32</v>
      </c>
      <c r="BQ866" t="s">
        <v>211</v>
      </c>
      <c r="BR866">
        <f t="shared" si="125"/>
        <v>12</v>
      </c>
      <c r="BS866">
        <f t="shared" si="119"/>
        <v>2023</v>
      </c>
      <c r="BT866">
        <v>1</v>
      </c>
      <c r="BU866" t="str">
        <f t="shared" si="120"/>
        <v>2023-12</v>
      </c>
      <c r="BV866">
        <f t="shared" si="121"/>
        <v>0</v>
      </c>
      <c r="BX866" t="s">
        <v>14</v>
      </c>
      <c r="BY866" t="s">
        <v>422</v>
      </c>
      <c r="BZ866">
        <v>97096</v>
      </c>
      <c r="CA866">
        <f t="shared" si="122"/>
        <v>7</v>
      </c>
      <c r="CB866">
        <f t="shared" si="123"/>
        <v>2024</v>
      </c>
      <c r="CC866" t="str">
        <f t="shared" si="124"/>
        <v>2024-7</v>
      </c>
    </row>
    <row r="867" spans="1:81" x14ac:dyDescent="0.25">
      <c r="A867" t="s">
        <v>27</v>
      </c>
      <c r="B867" t="s">
        <v>181</v>
      </c>
      <c r="C867" t="s">
        <v>422</v>
      </c>
      <c r="D867">
        <v>83451</v>
      </c>
      <c r="E867">
        <v>9</v>
      </c>
      <c r="P867" t="s">
        <v>33</v>
      </c>
      <c r="Q867" t="s">
        <v>237</v>
      </c>
      <c r="R867">
        <v>8</v>
      </c>
      <c r="AI867" t="s">
        <v>104</v>
      </c>
      <c r="AJ867">
        <v>65565</v>
      </c>
      <c r="AL867">
        <f>COUNTIF(AI:AI,AK867)</f>
        <v>0</v>
      </c>
      <c r="AM867">
        <f>SUMIF(AI:AI,AK867,AJ:AJ)</f>
        <v>0</v>
      </c>
      <c r="BP867" t="s">
        <v>32</v>
      </c>
      <c r="BQ867" t="s">
        <v>219</v>
      </c>
      <c r="BR867">
        <f t="shared" si="125"/>
        <v>12</v>
      </c>
      <c r="BS867">
        <f t="shared" si="119"/>
        <v>2023</v>
      </c>
      <c r="BT867">
        <v>9</v>
      </c>
      <c r="BU867" t="str">
        <f t="shared" si="120"/>
        <v>2023-12</v>
      </c>
      <c r="BV867">
        <f t="shared" si="121"/>
        <v>2</v>
      </c>
      <c r="BX867" t="s">
        <v>27</v>
      </c>
      <c r="BY867" t="s">
        <v>422</v>
      </c>
      <c r="BZ867">
        <v>83451</v>
      </c>
      <c r="CA867">
        <f t="shared" si="122"/>
        <v>7</v>
      </c>
      <c r="CB867">
        <f t="shared" si="123"/>
        <v>2024</v>
      </c>
      <c r="CC867" t="str">
        <f t="shared" si="124"/>
        <v>2024-7</v>
      </c>
    </row>
    <row r="868" spans="1:81" x14ac:dyDescent="0.25">
      <c r="A868" t="s">
        <v>17</v>
      </c>
      <c r="B868" t="s">
        <v>104</v>
      </c>
      <c r="C868" t="s">
        <v>423</v>
      </c>
      <c r="D868">
        <v>65565</v>
      </c>
      <c r="E868">
        <v>2</v>
      </c>
      <c r="P868" t="s">
        <v>8</v>
      </c>
      <c r="Q868" t="s">
        <v>53</v>
      </c>
      <c r="R868">
        <v>8</v>
      </c>
      <c r="AI868" t="s">
        <v>216</v>
      </c>
      <c r="AJ868">
        <v>33199</v>
      </c>
      <c r="AL868">
        <f>COUNTIF(AI:AI,AK868)</f>
        <v>0</v>
      </c>
      <c r="AM868">
        <f>SUMIF(AI:AI,AK868,AJ:AJ)</f>
        <v>0</v>
      </c>
      <c r="BP868" t="s">
        <v>32</v>
      </c>
      <c r="BQ868" t="s">
        <v>221</v>
      </c>
      <c r="BR868">
        <f t="shared" si="125"/>
        <v>12</v>
      </c>
      <c r="BS868">
        <f t="shared" si="119"/>
        <v>2023</v>
      </c>
      <c r="BT868">
        <v>2</v>
      </c>
      <c r="BU868" t="str">
        <f t="shared" si="120"/>
        <v>2023-12</v>
      </c>
      <c r="BV868">
        <f t="shared" si="121"/>
        <v>0</v>
      </c>
      <c r="BX868" t="s">
        <v>17</v>
      </c>
      <c r="BY868" t="s">
        <v>423</v>
      </c>
      <c r="BZ868">
        <v>65565</v>
      </c>
      <c r="CA868">
        <f t="shared" si="122"/>
        <v>7</v>
      </c>
      <c r="CB868">
        <f t="shared" si="123"/>
        <v>2024</v>
      </c>
      <c r="CC868" t="str">
        <f t="shared" si="124"/>
        <v>2024-7</v>
      </c>
    </row>
    <row r="869" spans="1:81" x14ac:dyDescent="0.25">
      <c r="A869" t="s">
        <v>17</v>
      </c>
      <c r="B869" t="s">
        <v>216</v>
      </c>
      <c r="C869" t="s">
        <v>423</v>
      </c>
      <c r="D869">
        <v>33199</v>
      </c>
      <c r="E869">
        <v>10</v>
      </c>
      <c r="P869" t="s">
        <v>36</v>
      </c>
      <c r="Q869" t="s">
        <v>144</v>
      </c>
      <c r="R869">
        <v>6</v>
      </c>
      <c r="AI869" t="s">
        <v>229</v>
      </c>
      <c r="AJ869">
        <v>82385</v>
      </c>
      <c r="AL869">
        <f>COUNTIF(AI:AI,AK869)</f>
        <v>0</v>
      </c>
      <c r="AM869">
        <f>SUMIF(AI:AI,AK869,AJ:AJ)</f>
        <v>0</v>
      </c>
      <c r="BP869" t="s">
        <v>32</v>
      </c>
      <c r="BQ869" t="s">
        <v>221</v>
      </c>
      <c r="BR869">
        <f t="shared" si="125"/>
        <v>12</v>
      </c>
      <c r="BS869">
        <f t="shared" si="119"/>
        <v>2023</v>
      </c>
      <c r="BT869">
        <v>10</v>
      </c>
      <c r="BU869" t="str">
        <f t="shared" si="120"/>
        <v>2023-12</v>
      </c>
      <c r="BV869">
        <f t="shared" si="121"/>
        <v>2</v>
      </c>
      <c r="BX869" t="s">
        <v>17</v>
      </c>
      <c r="BY869" t="s">
        <v>423</v>
      </c>
      <c r="BZ869">
        <v>33199</v>
      </c>
      <c r="CA869">
        <f t="shared" si="122"/>
        <v>7</v>
      </c>
      <c r="CB869">
        <f t="shared" si="123"/>
        <v>2024</v>
      </c>
      <c r="CC869" t="str">
        <f t="shared" si="124"/>
        <v>2024-7</v>
      </c>
    </row>
    <row r="870" spans="1:81" x14ac:dyDescent="0.25">
      <c r="A870" t="s">
        <v>27</v>
      </c>
      <c r="B870" t="s">
        <v>229</v>
      </c>
      <c r="C870" t="s">
        <v>423</v>
      </c>
      <c r="D870">
        <v>82385</v>
      </c>
      <c r="E870">
        <v>10</v>
      </c>
      <c r="P870" t="s">
        <v>23</v>
      </c>
      <c r="Q870" t="s">
        <v>87</v>
      </c>
      <c r="R870">
        <v>5</v>
      </c>
      <c r="AI870" t="s">
        <v>233</v>
      </c>
      <c r="AJ870">
        <v>30306</v>
      </c>
      <c r="AL870">
        <f>COUNTIF(AI:AI,AK870)</f>
        <v>0</v>
      </c>
      <c r="AM870">
        <f>SUMIF(AI:AI,AK870,AJ:AJ)</f>
        <v>0</v>
      </c>
      <c r="BP870" t="s">
        <v>32</v>
      </c>
      <c r="BQ870" t="s">
        <v>221</v>
      </c>
      <c r="BR870">
        <f t="shared" si="125"/>
        <v>12</v>
      </c>
      <c r="BS870">
        <f t="shared" si="119"/>
        <v>2023</v>
      </c>
      <c r="BT870">
        <v>10</v>
      </c>
      <c r="BU870" t="str">
        <f t="shared" si="120"/>
        <v>2023-12</v>
      </c>
      <c r="BV870">
        <f t="shared" si="121"/>
        <v>2</v>
      </c>
      <c r="BX870" t="s">
        <v>27</v>
      </c>
      <c r="BY870" t="s">
        <v>423</v>
      </c>
      <c r="BZ870">
        <v>82385</v>
      </c>
      <c r="CA870">
        <f t="shared" si="122"/>
        <v>7</v>
      </c>
      <c r="CB870">
        <f t="shared" si="123"/>
        <v>2024</v>
      </c>
      <c r="CC870" t="str">
        <f t="shared" si="124"/>
        <v>2024-7</v>
      </c>
    </row>
    <row r="871" spans="1:81" x14ac:dyDescent="0.25">
      <c r="A871" t="s">
        <v>8</v>
      </c>
      <c r="B871" t="s">
        <v>233</v>
      </c>
      <c r="C871" t="s">
        <v>423</v>
      </c>
      <c r="D871">
        <v>30306</v>
      </c>
      <c r="E871">
        <v>8</v>
      </c>
      <c r="P871" t="s">
        <v>20</v>
      </c>
      <c r="Q871" t="s">
        <v>120</v>
      </c>
      <c r="R871">
        <v>9</v>
      </c>
      <c r="AI871" t="s">
        <v>266</v>
      </c>
      <c r="AJ871">
        <v>90039</v>
      </c>
      <c r="AL871">
        <f>COUNTIF(AI:AI,AK871)</f>
        <v>0</v>
      </c>
      <c r="AM871">
        <f>SUMIF(AI:AI,AK871,AJ:AJ)</f>
        <v>0</v>
      </c>
      <c r="BP871" t="s">
        <v>32</v>
      </c>
      <c r="BQ871" t="s">
        <v>224</v>
      </c>
      <c r="BR871">
        <f t="shared" si="125"/>
        <v>12</v>
      </c>
      <c r="BS871">
        <f t="shared" si="119"/>
        <v>2023</v>
      </c>
      <c r="BT871">
        <v>8</v>
      </c>
      <c r="BU871" t="str">
        <f t="shared" si="120"/>
        <v>2023-12</v>
      </c>
      <c r="BV871">
        <f t="shared" si="121"/>
        <v>1</v>
      </c>
      <c r="BX871" t="s">
        <v>8</v>
      </c>
      <c r="BY871" t="s">
        <v>423</v>
      </c>
      <c r="BZ871">
        <v>30306</v>
      </c>
      <c r="CA871">
        <f t="shared" si="122"/>
        <v>7</v>
      </c>
      <c r="CB871">
        <f t="shared" si="123"/>
        <v>2024</v>
      </c>
      <c r="CC871" t="str">
        <f t="shared" si="124"/>
        <v>2024-7</v>
      </c>
    </row>
    <row r="872" spans="1:81" x14ac:dyDescent="0.25">
      <c r="A872" t="s">
        <v>5</v>
      </c>
      <c r="B872" t="s">
        <v>266</v>
      </c>
      <c r="C872" t="s">
        <v>423</v>
      </c>
      <c r="D872">
        <v>90039</v>
      </c>
      <c r="E872">
        <v>7</v>
      </c>
      <c r="P872" t="s">
        <v>14</v>
      </c>
      <c r="Q872" t="s">
        <v>15</v>
      </c>
      <c r="R872">
        <v>6</v>
      </c>
      <c r="AI872" t="s">
        <v>18</v>
      </c>
      <c r="AJ872">
        <v>71749</v>
      </c>
      <c r="AL872">
        <f>COUNTIF(AI:AI,AK872)</f>
        <v>0</v>
      </c>
      <c r="AM872">
        <f>SUMIF(AI:AI,AK872,AJ:AJ)</f>
        <v>0</v>
      </c>
      <c r="BP872" t="s">
        <v>32</v>
      </c>
      <c r="BQ872" t="s">
        <v>230</v>
      </c>
      <c r="BR872">
        <f t="shared" si="125"/>
        <v>12</v>
      </c>
      <c r="BS872">
        <f t="shared" si="119"/>
        <v>2023</v>
      </c>
      <c r="BT872">
        <v>7</v>
      </c>
      <c r="BU872" t="str">
        <f t="shared" si="120"/>
        <v>2023-12</v>
      </c>
      <c r="BV872">
        <f t="shared" si="121"/>
        <v>1</v>
      </c>
      <c r="BX872" t="s">
        <v>5</v>
      </c>
      <c r="BY872" t="s">
        <v>423</v>
      </c>
      <c r="BZ872">
        <v>90039</v>
      </c>
      <c r="CA872">
        <f t="shared" si="122"/>
        <v>7</v>
      </c>
      <c r="CB872">
        <f t="shared" si="123"/>
        <v>2024</v>
      </c>
      <c r="CC872" t="str">
        <f t="shared" si="124"/>
        <v>2024-7</v>
      </c>
    </row>
    <row r="873" spans="1:81" x14ac:dyDescent="0.25">
      <c r="A873" t="s">
        <v>32</v>
      </c>
      <c r="B873" t="s">
        <v>18</v>
      </c>
      <c r="C873" t="s">
        <v>423</v>
      </c>
      <c r="D873">
        <v>71749</v>
      </c>
      <c r="E873">
        <v>7</v>
      </c>
      <c r="P873" t="s">
        <v>20</v>
      </c>
      <c r="Q873" t="s">
        <v>196</v>
      </c>
      <c r="R873">
        <v>4</v>
      </c>
      <c r="AI873" t="s">
        <v>242</v>
      </c>
      <c r="AJ873">
        <v>34159</v>
      </c>
      <c r="AL873">
        <f>COUNTIF(AI:AI,AK873)</f>
        <v>0</v>
      </c>
      <c r="AM873">
        <f>SUMIF(AI:AI,AK873,AJ:AJ)</f>
        <v>0</v>
      </c>
      <c r="BP873" t="s">
        <v>32</v>
      </c>
      <c r="BQ873" t="s">
        <v>232</v>
      </c>
      <c r="BR873">
        <f t="shared" si="125"/>
        <v>12</v>
      </c>
      <c r="BS873">
        <f t="shared" si="119"/>
        <v>2023</v>
      </c>
      <c r="BT873">
        <v>7</v>
      </c>
      <c r="BU873" t="str">
        <f t="shared" si="120"/>
        <v>2023-12</v>
      </c>
      <c r="BV873">
        <f t="shared" si="121"/>
        <v>1</v>
      </c>
      <c r="BX873" t="s">
        <v>32</v>
      </c>
      <c r="BY873" t="s">
        <v>423</v>
      </c>
      <c r="BZ873">
        <v>71749</v>
      </c>
      <c r="CA873">
        <f t="shared" si="122"/>
        <v>7</v>
      </c>
      <c r="CB873">
        <f t="shared" si="123"/>
        <v>2024</v>
      </c>
      <c r="CC873" t="str">
        <f t="shared" si="124"/>
        <v>2024-7</v>
      </c>
    </row>
    <row r="874" spans="1:81" x14ac:dyDescent="0.25">
      <c r="A874" t="s">
        <v>33</v>
      </c>
      <c r="B874" t="s">
        <v>242</v>
      </c>
      <c r="C874" t="s">
        <v>423</v>
      </c>
      <c r="D874">
        <v>34159</v>
      </c>
      <c r="E874">
        <v>3</v>
      </c>
      <c r="P874" t="s">
        <v>33</v>
      </c>
      <c r="Q874" t="s">
        <v>183</v>
      </c>
      <c r="R874">
        <v>5</v>
      </c>
      <c r="AI874" t="s">
        <v>396</v>
      </c>
      <c r="AJ874">
        <v>94828</v>
      </c>
      <c r="AL874">
        <f>COUNTIF(AI:AI,AK874)</f>
        <v>0</v>
      </c>
      <c r="AM874">
        <f>SUMIF(AI:AI,AK874,AJ:AJ)</f>
        <v>0</v>
      </c>
      <c r="BP874" t="s">
        <v>32</v>
      </c>
      <c r="BQ874" t="s">
        <v>232</v>
      </c>
      <c r="BR874">
        <f t="shared" si="125"/>
        <v>12</v>
      </c>
      <c r="BS874">
        <f t="shared" si="119"/>
        <v>2023</v>
      </c>
      <c r="BT874">
        <v>3</v>
      </c>
      <c r="BU874" t="str">
        <f t="shared" si="120"/>
        <v>2023-12</v>
      </c>
      <c r="BV874">
        <f t="shared" si="121"/>
        <v>0</v>
      </c>
      <c r="BX874" t="s">
        <v>33</v>
      </c>
      <c r="BY874" t="s">
        <v>423</v>
      </c>
      <c r="BZ874">
        <v>34159</v>
      </c>
      <c r="CA874">
        <f t="shared" si="122"/>
        <v>7</v>
      </c>
      <c r="CB874">
        <f t="shared" si="123"/>
        <v>2024</v>
      </c>
      <c r="CC874" t="str">
        <f t="shared" si="124"/>
        <v>2024-7</v>
      </c>
    </row>
    <row r="875" spans="1:81" x14ac:dyDescent="0.25">
      <c r="A875" t="s">
        <v>8</v>
      </c>
      <c r="B875" t="s">
        <v>396</v>
      </c>
      <c r="C875" t="s">
        <v>423</v>
      </c>
      <c r="D875">
        <v>94828</v>
      </c>
      <c r="E875">
        <v>9</v>
      </c>
      <c r="P875" t="s">
        <v>17</v>
      </c>
      <c r="Q875" t="s">
        <v>228</v>
      </c>
      <c r="R875">
        <v>3</v>
      </c>
      <c r="AI875" t="s">
        <v>269</v>
      </c>
      <c r="AJ875">
        <v>60677</v>
      </c>
      <c r="AL875">
        <f>COUNTIF(AI:AI,AK875)</f>
        <v>0</v>
      </c>
      <c r="AM875">
        <f>SUMIF(AI:AI,AK875,AJ:AJ)</f>
        <v>0</v>
      </c>
      <c r="BP875" t="s">
        <v>32</v>
      </c>
      <c r="BQ875" t="s">
        <v>250</v>
      </c>
      <c r="BR875">
        <f t="shared" si="125"/>
        <v>1</v>
      </c>
      <c r="BS875">
        <f t="shared" si="119"/>
        <v>2024</v>
      </c>
      <c r="BT875">
        <v>9</v>
      </c>
      <c r="BU875" t="str">
        <f t="shared" si="120"/>
        <v>2024-1</v>
      </c>
      <c r="BV875">
        <f t="shared" si="121"/>
        <v>2</v>
      </c>
      <c r="BX875" t="s">
        <v>8</v>
      </c>
      <c r="BY875" t="s">
        <v>423</v>
      </c>
      <c r="BZ875">
        <v>94828</v>
      </c>
      <c r="CA875">
        <f t="shared" si="122"/>
        <v>7</v>
      </c>
      <c r="CB875">
        <f t="shared" si="123"/>
        <v>2024</v>
      </c>
      <c r="CC875" t="str">
        <f t="shared" si="124"/>
        <v>2024-7</v>
      </c>
    </row>
    <row r="876" spans="1:81" x14ac:dyDescent="0.25">
      <c r="A876" t="s">
        <v>32</v>
      </c>
      <c r="B876" t="s">
        <v>269</v>
      </c>
      <c r="C876" t="s">
        <v>424</v>
      </c>
      <c r="D876">
        <v>60677</v>
      </c>
      <c r="E876">
        <v>8</v>
      </c>
      <c r="P876" t="s">
        <v>27</v>
      </c>
      <c r="Q876" t="s">
        <v>56</v>
      </c>
      <c r="R876">
        <v>7</v>
      </c>
      <c r="AI876" t="s">
        <v>22</v>
      </c>
      <c r="AJ876">
        <v>60911</v>
      </c>
      <c r="AL876">
        <f>COUNTIF(AI:AI,AK876)</f>
        <v>0</v>
      </c>
      <c r="AM876">
        <f>SUMIF(AI:AI,AK876,AJ:AJ)</f>
        <v>0</v>
      </c>
      <c r="BP876" t="s">
        <v>32</v>
      </c>
      <c r="BQ876" t="s">
        <v>250</v>
      </c>
      <c r="BR876">
        <f t="shared" si="125"/>
        <v>1</v>
      </c>
      <c r="BS876">
        <f t="shared" si="119"/>
        <v>2024</v>
      </c>
      <c r="BT876">
        <v>8</v>
      </c>
      <c r="BU876" t="str">
        <f t="shared" si="120"/>
        <v>2024-1</v>
      </c>
      <c r="BV876">
        <f t="shared" si="121"/>
        <v>1</v>
      </c>
      <c r="BX876" t="s">
        <v>32</v>
      </c>
      <c r="BY876" t="s">
        <v>424</v>
      </c>
      <c r="BZ876">
        <v>60677</v>
      </c>
      <c r="CA876">
        <f t="shared" si="122"/>
        <v>7</v>
      </c>
      <c r="CB876">
        <f t="shared" si="123"/>
        <v>2024</v>
      </c>
      <c r="CC876" t="str">
        <f t="shared" si="124"/>
        <v>2024-7</v>
      </c>
    </row>
    <row r="877" spans="1:81" x14ac:dyDescent="0.25">
      <c r="A877" t="s">
        <v>27</v>
      </c>
      <c r="B877" t="s">
        <v>22</v>
      </c>
      <c r="C877" t="s">
        <v>424</v>
      </c>
      <c r="D877">
        <v>60911</v>
      </c>
      <c r="E877">
        <v>7</v>
      </c>
      <c r="P877" t="s">
        <v>12</v>
      </c>
      <c r="Q877" t="s">
        <v>41</v>
      </c>
      <c r="R877">
        <v>3</v>
      </c>
      <c r="AI877" t="s">
        <v>259</v>
      </c>
      <c r="AJ877">
        <v>50809</v>
      </c>
      <c r="AL877">
        <f>COUNTIF(AI:AI,AK877)</f>
        <v>0</v>
      </c>
      <c r="AM877">
        <f>SUMIF(AI:AI,AK877,AJ:AJ)</f>
        <v>0</v>
      </c>
      <c r="BP877" t="s">
        <v>32</v>
      </c>
      <c r="BQ877" t="s">
        <v>252</v>
      </c>
      <c r="BR877">
        <f t="shared" si="125"/>
        <v>1</v>
      </c>
      <c r="BS877">
        <f t="shared" si="119"/>
        <v>2024</v>
      </c>
      <c r="BT877">
        <v>7</v>
      </c>
      <c r="BU877" t="str">
        <f t="shared" si="120"/>
        <v>2024-1</v>
      </c>
      <c r="BV877">
        <f t="shared" si="121"/>
        <v>1</v>
      </c>
      <c r="BX877" t="s">
        <v>27</v>
      </c>
      <c r="BY877" t="s">
        <v>424</v>
      </c>
      <c r="BZ877">
        <v>60911</v>
      </c>
      <c r="CA877">
        <f t="shared" si="122"/>
        <v>7</v>
      </c>
      <c r="CB877">
        <f t="shared" si="123"/>
        <v>2024</v>
      </c>
      <c r="CC877" t="str">
        <f t="shared" si="124"/>
        <v>2024-7</v>
      </c>
    </row>
    <row r="878" spans="1:81" x14ac:dyDescent="0.25">
      <c r="A878" t="s">
        <v>5</v>
      </c>
      <c r="B878" t="s">
        <v>259</v>
      </c>
      <c r="C878" t="s">
        <v>424</v>
      </c>
      <c r="D878">
        <v>50809</v>
      </c>
      <c r="E878">
        <v>7</v>
      </c>
      <c r="P878" t="s">
        <v>23</v>
      </c>
      <c r="Q878" t="s">
        <v>42</v>
      </c>
      <c r="R878">
        <v>3</v>
      </c>
      <c r="AI878" t="s">
        <v>259</v>
      </c>
      <c r="AJ878">
        <v>63214</v>
      </c>
      <c r="AL878">
        <f>COUNTIF(AI:AI,AK878)</f>
        <v>0</v>
      </c>
      <c r="AM878">
        <f>SUMIF(AI:AI,AK878,AJ:AJ)</f>
        <v>0</v>
      </c>
      <c r="BP878" t="s">
        <v>32</v>
      </c>
      <c r="BQ878" t="s">
        <v>252</v>
      </c>
      <c r="BR878">
        <f t="shared" si="125"/>
        <v>1</v>
      </c>
      <c r="BS878">
        <f t="shared" si="119"/>
        <v>2024</v>
      </c>
      <c r="BT878">
        <v>7</v>
      </c>
      <c r="BU878" t="str">
        <f t="shared" si="120"/>
        <v>2024-1</v>
      </c>
      <c r="BV878">
        <f t="shared" si="121"/>
        <v>1</v>
      </c>
      <c r="BX878" t="s">
        <v>5</v>
      </c>
      <c r="BY878" t="s">
        <v>424</v>
      </c>
      <c r="BZ878">
        <v>50809</v>
      </c>
      <c r="CA878">
        <f t="shared" si="122"/>
        <v>7</v>
      </c>
      <c r="CB878">
        <f t="shared" si="123"/>
        <v>2024</v>
      </c>
      <c r="CC878" t="str">
        <f t="shared" si="124"/>
        <v>2024-7</v>
      </c>
    </row>
    <row r="879" spans="1:81" x14ac:dyDescent="0.25">
      <c r="A879" t="s">
        <v>8</v>
      </c>
      <c r="B879" t="s">
        <v>259</v>
      </c>
      <c r="C879" t="s">
        <v>425</v>
      </c>
      <c r="D879">
        <v>63214</v>
      </c>
      <c r="E879">
        <v>7</v>
      </c>
      <c r="P879" t="s">
        <v>27</v>
      </c>
      <c r="Q879" t="s">
        <v>259</v>
      </c>
      <c r="R879">
        <v>7</v>
      </c>
      <c r="AI879" t="s">
        <v>45</v>
      </c>
      <c r="AJ879">
        <v>68391</v>
      </c>
      <c r="AL879">
        <f>COUNTIF(AI:AI,AK879)</f>
        <v>0</v>
      </c>
      <c r="AM879">
        <f>SUMIF(AI:AI,AK879,AJ:AJ)</f>
        <v>0</v>
      </c>
      <c r="BP879" t="s">
        <v>32</v>
      </c>
      <c r="BQ879" t="s">
        <v>258</v>
      </c>
      <c r="BR879">
        <f t="shared" si="125"/>
        <v>1</v>
      </c>
      <c r="BS879">
        <f t="shared" si="119"/>
        <v>2024</v>
      </c>
      <c r="BT879">
        <v>7</v>
      </c>
      <c r="BU879" t="str">
        <f t="shared" si="120"/>
        <v>2024-1</v>
      </c>
      <c r="BV879">
        <f t="shared" si="121"/>
        <v>1</v>
      </c>
      <c r="BX879" t="s">
        <v>8</v>
      </c>
      <c r="BY879" t="s">
        <v>425</v>
      </c>
      <c r="BZ879">
        <v>63214</v>
      </c>
      <c r="CA879">
        <f t="shared" si="122"/>
        <v>7</v>
      </c>
      <c r="CB879">
        <f t="shared" si="123"/>
        <v>2024</v>
      </c>
      <c r="CC879" t="str">
        <f t="shared" si="124"/>
        <v>2024-7</v>
      </c>
    </row>
    <row r="880" spans="1:81" x14ac:dyDescent="0.25">
      <c r="A880" t="s">
        <v>27</v>
      </c>
      <c r="B880" t="s">
        <v>45</v>
      </c>
      <c r="C880" t="s">
        <v>425</v>
      </c>
      <c r="D880">
        <v>68391</v>
      </c>
      <c r="E880">
        <v>9</v>
      </c>
      <c r="P880" t="s">
        <v>10</v>
      </c>
      <c r="Q880" t="s">
        <v>44</v>
      </c>
      <c r="R880">
        <v>6</v>
      </c>
      <c r="AI880" t="s">
        <v>65</v>
      </c>
      <c r="AJ880">
        <v>86954</v>
      </c>
      <c r="AL880">
        <f>COUNTIF(AI:AI,AK880)</f>
        <v>0</v>
      </c>
      <c r="AM880">
        <f>SUMIF(AI:AI,AK880,AJ:AJ)</f>
        <v>0</v>
      </c>
      <c r="BP880" t="s">
        <v>32</v>
      </c>
      <c r="BQ880" t="s">
        <v>265</v>
      </c>
      <c r="BR880">
        <f t="shared" si="125"/>
        <v>1</v>
      </c>
      <c r="BS880">
        <f t="shared" si="119"/>
        <v>2024</v>
      </c>
      <c r="BT880">
        <v>9</v>
      </c>
      <c r="BU880" t="str">
        <f t="shared" si="120"/>
        <v>2024-1</v>
      </c>
      <c r="BV880">
        <f t="shared" si="121"/>
        <v>2</v>
      </c>
      <c r="BX880" t="s">
        <v>27</v>
      </c>
      <c r="BY880" t="s">
        <v>425</v>
      </c>
      <c r="BZ880">
        <v>68391</v>
      </c>
      <c r="CA880">
        <f t="shared" si="122"/>
        <v>7</v>
      </c>
      <c r="CB880">
        <f t="shared" si="123"/>
        <v>2024</v>
      </c>
      <c r="CC880" t="str">
        <f t="shared" si="124"/>
        <v>2024-7</v>
      </c>
    </row>
    <row r="881" spans="1:81" x14ac:dyDescent="0.25">
      <c r="A881" t="s">
        <v>8</v>
      </c>
      <c r="B881" t="s">
        <v>65</v>
      </c>
      <c r="C881" t="s">
        <v>425</v>
      </c>
      <c r="D881">
        <v>86954</v>
      </c>
      <c r="E881">
        <v>6</v>
      </c>
      <c r="P881" t="s">
        <v>20</v>
      </c>
      <c r="Q881" t="s">
        <v>129</v>
      </c>
      <c r="R881">
        <v>7</v>
      </c>
      <c r="AI881" t="s">
        <v>18</v>
      </c>
      <c r="AJ881">
        <v>12608</v>
      </c>
      <c r="AL881">
        <f>COUNTIF(AI:AI,AK881)</f>
        <v>0</v>
      </c>
      <c r="AM881">
        <f>SUMIF(AI:AI,AK881,AJ:AJ)</f>
        <v>0</v>
      </c>
      <c r="BP881" t="s">
        <v>32</v>
      </c>
      <c r="BQ881" t="s">
        <v>268</v>
      </c>
      <c r="BR881">
        <f t="shared" si="125"/>
        <v>1</v>
      </c>
      <c r="BS881">
        <f t="shared" si="119"/>
        <v>2024</v>
      </c>
      <c r="BT881">
        <v>6</v>
      </c>
      <c r="BU881" t="str">
        <f t="shared" si="120"/>
        <v>2024-1</v>
      </c>
      <c r="BV881">
        <f t="shared" si="121"/>
        <v>0</v>
      </c>
      <c r="BX881" t="s">
        <v>8</v>
      </c>
      <c r="BY881" t="s">
        <v>425</v>
      </c>
      <c r="BZ881">
        <v>86954</v>
      </c>
      <c r="CA881">
        <f t="shared" si="122"/>
        <v>7</v>
      </c>
      <c r="CB881">
        <f t="shared" si="123"/>
        <v>2024</v>
      </c>
      <c r="CC881" t="str">
        <f t="shared" si="124"/>
        <v>2024-7</v>
      </c>
    </row>
    <row r="882" spans="1:81" x14ac:dyDescent="0.25">
      <c r="A882" t="s">
        <v>5</v>
      </c>
      <c r="B882" t="s">
        <v>18</v>
      </c>
      <c r="C882" t="s">
        <v>426</v>
      </c>
      <c r="D882">
        <v>12608</v>
      </c>
      <c r="E882">
        <v>5</v>
      </c>
      <c r="P882" t="s">
        <v>14</v>
      </c>
      <c r="Q882" t="s">
        <v>396</v>
      </c>
      <c r="R882">
        <v>8</v>
      </c>
      <c r="AI882" t="s">
        <v>53</v>
      </c>
      <c r="AJ882">
        <v>26392</v>
      </c>
      <c r="AL882">
        <f>COUNTIF(AI:AI,AK882)</f>
        <v>0</v>
      </c>
      <c r="AM882">
        <f>SUMIF(AI:AI,AK882,AJ:AJ)</f>
        <v>0</v>
      </c>
      <c r="BP882" t="s">
        <v>32</v>
      </c>
      <c r="BQ882" t="s">
        <v>270</v>
      </c>
      <c r="BR882">
        <f t="shared" si="125"/>
        <v>1</v>
      </c>
      <c r="BS882">
        <f t="shared" si="119"/>
        <v>2024</v>
      </c>
      <c r="BT882">
        <v>5</v>
      </c>
      <c r="BU882" t="str">
        <f t="shared" si="120"/>
        <v>2024-1</v>
      </c>
      <c r="BV882">
        <f t="shared" si="121"/>
        <v>0</v>
      </c>
      <c r="BX882" t="s">
        <v>5</v>
      </c>
      <c r="BY882" t="s">
        <v>426</v>
      </c>
      <c r="BZ882">
        <v>12608</v>
      </c>
      <c r="CA882">
        <f t="shared" si="122"/>
        <v>7</v>
      </c>
      <c r="CB882">
        <f t="shared" si="123"/>
        <v>2024</v>
      </c>
      <c r="CC882" t="str">
        <f t="shared" si="124"/>
        <v>2024-7</v>
      </c>
    </row>
    <row r="883" spans="1:81" x14ac:dyDescent="0.25">
      <c r="A883" t="s">
        <v>36</v>
      </c>
      <c r="B883" t="s">
        <v>53</v>
      </c>
      <c r="C883" t="s">
        <v>426</v>
      </c>
      <c r="D883">
        <v>26392</v>
      </c>
      <c r="E883">
        <v>10</v>
      </c>
      <c r="P883" t="s">
        <v>10</v>
      </c>
      <c r="Q883" t="s">
        <v>87</v>
      </c>
      <c r="R883">
        <v>7</v>
      </c>
      <c r="AI883" t="s">
        <v>70</v>
      </c>
      <c r="AJ883">
        <v>65462</v>
      </c>
      <c r="AL883">
        <f>COUNTIF(AI:AI,AK883)</f>
        <v>0</v>
      </c>
      <c r="AM883">
        <f>SUMIF(AI:AI,AK883,AJ:AJ)</f>
        <v>0</v>
      </c>
      <c r="BP883" t="s">
        <v>32</v>
      </c>
      <c r="BQ883" t="s">
        <v>271</v>
      </c>
      <c r="BR883">
        <f t="shared" si="125"/>
        <v>1</v>
      </c>
      <c r="BS883">
        <f t="shared" si="119"/>
        <v>2024</v>
      </c>
      <c r="BT883">
        <v>10</v>
      </c>
      <c r="BU883" t="str">
        <f t="shared" si="120"/>
        <v>2024-1</v>
      </c>
      <c r="BV883">
        <f t="shared" si="121"/>
        <v>2</v>
      </c>
      <c r="BX883" t="s">
        <v>36</v>
      </c>
      <c r="BY883" t="s">
        <v>426</v>
      </c>
      <c r="BZ883">
        <v>26392</v>
      </c>
      <c r="CA883">
        <f t="shared" si="122"/>
        <v>7</v>
      </c>
      <c r="CB883">
        <f t="shared" si="123"/>
        <v>2024</v>
      </c>
      <c r="CC883" t="str">
        <f t="shared" si="124"/>
        <v>2024-7</v>
      </c>
    </row>
    <row r="884" spans="1:81" x14ac:dyDescent="0.25">
      <c r="A884" t="s">
        <v>23</v>
      </c>
      <c r="B884" t="s">
        <v>70</v>
      </c>
      <c r="C884" t="s">
        <v>426</v>
      </c>
      <c r="D884">
        <v>65462</v>
      </c>
      <c r="E884">
        <v>9</v>
      </c>
      <c r="P884" t="s">
        <v>14</v>
      </c>
      <c r="Q884" t="s">
        <v>34</v>
      </c>
      <c r="R884">
        <v>5</v>
      </c>
      <c r="AI884" t="s">
        <v>222</v>
      </c>
      <c r="AJ884">
        <v>64410</v>
      </c>
      <c r="AL884">
        <f>COUNTIF(AI:AI,AK884)</f>
        <v>0</v>
      </c>
      <c r="AM884">
        <f>SUMIF(AI:AI,AK884,AJ:AJ)</f>
        <v>0</v>
      </c>
      <c r="BP884" t="s">
        <v>32</v>
      </c>
      <c r="BQ884" t="s">
        <v>277</v>
      </c>
      <c r="BR884">
        <f t="shared" si="125"/>
        <v>1</v>
      </c>
      <c r="BS884">
        <f t="shared" si="119"/>
        <v>2024</v>
      </c>
      <c r="BT884">
        <v>9</v>
      </c>
      <c r="BU884" t="str">
        <f t="shared" si="120"/>
        <v>2024-1</v>
      </c>
      <c r="BV884">
        <f t="shared" si="121"/>
        <v>2</v>
      </c>
      <c r="BX884" t="s">
        <v>23</v>
      </c>
      <c r="BY884" t="s">
        <v>426</v>
      </c>
      <c r="BZ884">
        <v>65462</v>
      </c>
      <c r="CA884">
        <f t="shared" si="122"/>
        <v>7</v>
      </c>
      <c r="CB884">
        <f t="shared" si="123"/>
        <v>2024</v>
      </c>
      <c r="CC884" t="str">
        <f t="shared" si="124"/>
        <v>2024-7</v>
      </c>
    </row>
    <row r="885" spans="1:81" x14ac:dyDescent="0.25">
      <c r="A885" t="s">
        <v>20</v>
      </c>
      <c r="B885" t="s">
        <v>222</v>
      </c>
      <c r="C885" t="s">
        <v>426</v>
      </c>
      <c r="D885">
        <v>64410</v>
      </c>
      <c r="E885">
        <v>7</v>
      </c>
      <c r="P885" t="s">
        <v>23</v>
      </c>
      <c r="Q885" t="s">
        <v>369</v>
      </c>
      <c r="R885">
        <v>7</v>
      </c>
      <c r="AI885" t="s">
        <v>53</v>
      </c>
      <c r="AJ885">
        <v>15565</v>
      </c>
      <c r="AL885">
        <f>COUNTIF(AI:AI,AK885)</f>
        <v>0</v>
      </c>
      <c r="AM885">
        <f>SUMIF(AI:AI,AK885,AJ:AJ)</f>
        <v>0</v>
      </c>
      <c r="BP885" t="s">
        <v>32</v>
      </c>
      <c r="BQ885" t="s">
        <v>282</v>
      </c>
      <c r="BR885">
        <f t="shared" si="125"/>
        <v>1</v>
      </c>
      <c r="BS885">
        <f t="shared" si="119"/>
        <v>2024</v>
      </c>
      <c r="BT885">
        <v>7</v>
      </c>
      <c r="BU885" t="str">
        <f t="shared" si="120"/>
        <v>2024-1</v>
      </c>
      <c r="BV885">
        <f t="shared" si="121"/>
        <v>1</v>
      </c>
      <c r="BX885" t="s">
        <v>20</v>
      </c>
      <c r="BY885" t="s">
        <v>426</v>
      </c>
      <c r="BZ885">
        <v>64410</v>
      </c>
      <c r="CA885">
        <f t="shared" si="122"/>
        <v>7</v>
      </c>
      <c r="CB885">
        <f t="shared" si="123"/>
        <v>2024</v>
      </c>
      <c r="CC885" t="str">
        <f t="shared" si="124"/>
        <v>2024-7</v>
      </c>
    </row>
    <row r="886" spans="1:81" x14ac:dyDescent="0.25">
      <c r="A886" t="s">
        <v>14</v>
      </c>
      <c r="B886" t="s">
        <v>53</v>
      </c>
      <c r="C886" t="s">
        <v>426</v>
      </c>
      <c r="D886">
        <v>15565</v>
      </c>
      <c r="E886">
        <v>0</v>
      </c>
      <c r="P886" t="s">
        <v>12</v>
      </c>
      <c r="Q886" t="s">
        <v>51</v>
      </c>
      <c r="R886">
        <v>8</v>
      </c>
      <c r="AI886" t="s">
        <v>28</v>
      </c>
      <c r="AJ886">
        <v>93234</v>
      </c>
      <c r="AL886">
        <f>COUNTIF(AI:AI,AK886)</f>
        <v>0</v>
      </c>
      <c r="AM886">
        <f>SUMIF(AI:AI,AK886,AJ:AJ)</f>
        <v>0</v>
      </c>
      <c r="BP886" t="s">
        <v>32</v>
      </c>
      <c r="BQ886" t="s">
        <v>285</v>
      </c>
      <c r="BR886">
        <f t="shared" si="125"/>
        <v>2</v>
      </c>
      <c r="BS886">
        <f t="shared" si="119"/>
        <v>2024</v>
      </c>
      <c r="BT886">
        <v>0</v>
      </c>
      <c r="BU886" t="str">
        <f t="shared" si="120"/>
        <v>2024-2</v>
      </c>
      <c r="BV886">
        <f t="shared" si="121"/>
        <v>0</v>
      </c>
      <c r="BX886" t="s">
        <v>14</v>
      </c>
      <c r="BY886" t="s">
        <v>426</v>
      </c>
      <c r="BZ886">
        <v>15565</v>
      </c>
      <c r="CA886">
        <f t="shared" si="122"/>
        <v>7</v>
      </c>
      <c r="CB886">
        <f t="shared" si="123"/>
        <v>2024</v>
      </c>
      <c r="CC886" t="str">
        <f t="shared" si="124"/>
        <v>2024-7</v>
      </c>
    </row>
    <row r="887" spans="1:81" x14ac:dyDescent="0.25">
      <c r="A887" t="s">
        <v>14</v>
      </c>
      <c r="B887" t="s">
        <v>28</v>
      </c>
      <c r="C887" t="s">
        <v>426</v>
      </c>
      <c r="D887">
        <v>93234</v>
      </c>
      <c r="E887">
        <v>8</v>
      </c>
      <c r="P887" t="s">
        <v>10</v>
      </c>
      <c r="Q887" t="s">
        <v>104</v>
      </c>
      <c r="R887">
        <v>7</v>
      </c>
      <c r="AI887" t="s">
        <v>327</v>
      </c>
      <c r="AJ887">
        <v>75170</v>
      </c>
      <c r="AL887">
        <f>COUNTIF(AI:AI,AK887)</f>
        <v>0</v>
      </c>
      <c r="AM887">
        <f>SUMIF(AI:AI,AK887,AJ:AJ)</f>
        <v>0</v>
      </c>
      <c r="BP887" t="s">
        <v>32</v>
      </c>
      <c r="BQ887" t="s">
        <v>289</v>
      </c>
      <c r="BR887">
        <f t="shared" si="125"/>
        <v>2</v>
      </c>
      <c r="BS887">
        <f t="shared" si="119"/>
        <v>2024</v>
      </c>
      <c r="BT887">
        <v>8</v>
      </c>
      <c r="BU887" t="str">
        <f t="shared" si="120"/>
        <v>2024-2</v>
      </c>
      <c r="BV887">
        <f t="shared" si="121"/>
        <v>1</v>
      </c>
      <c r="BX887" t="s">
        <v>14</v>
      </c>
      <c r="BY887" t="s">
        <v>426</v>
      </c>
      <c r="BZ887">
        <v>93234</v>
      </c>
      <c r="CA887">
        <f t="shared" si="122"/>
        <v>7</v>
      </c>
      <c r="CB887">
        <f t="shared" si="123"/>
        <v>2024</v>
      </c>
      <c r="CC887" t="str">
        <f t="shared" si="124"/>
        <v>2024-7</v>
      </c>
    </row>
    <row r="888" spans="1:81" x14ac:dyDescent="0.25">
      <c r="A888" t="s">
        <v>5</v>
      </c>
      <c r="B888" t="s">
        <v>327</v>
      </c>
      <c r="C888" t="s">
        <v>427</v>
      </c>
      <c r="D888">
        <v>75170</v>
      </c>
      <c r="E888">
        <v>6</v>
      </c>
      <c r="P888" t="s">
        <v>23</v>
      </c>
      <c r="Q888" t="s">
        <v>173</v>
      </c>
      <c r="R888">
        <v>5</v>
      </c>
      <c r="AI888" t="s">
        <v>143</v>
      </c>
      <c r="AJ888">
        <v>75099</v>
      </c>
      <c r="AL888">
        <f>COUNTIF(AI:AI,AK888)</f>
        <v>0</v>
      </c>
      <c r="AM888">
        <f>SUMIF(AI:AI,AK888,AJ:AJ)</f>
        <v>0</v>
      </c>
      <c r="BP888" t="s">
        <v>32</v>
      </c>
      <c r="BQ888" t="s">
        <v>289</v>
      </c>
      <c r="BR888">
        <f t="shared" si="125"/>
        <v>2</v>
      </c>
      <c r="BS888">
        <f t="shared" si="119"/>
        <v>2024</v>
      </c>
      <c r="BT888">
        <v>6</v>
      </c>
      <c r="BU888" t="str">
        <f t="shared" si="120"/>
        <v>2024-2</v>
      </c>
      <c r="BV888">
        <f t="shared" si="121"/>
        <v>0</v>
      </c>
      <c r="BX888" t="s">
        <v>5</v>
      </c>
      <c r="BY888" t="s">
        <v>427</v>
      </c>
      <c r="BZ888">
        <v>75170</v>
      </c>
      <c r="CA888">
        <f t="shared" si="122"/>
        <v>7</v>
      </c>
      <c r="CB888">
        <f t="shared" si="123"/>
        <v>2024</v>
      </c>
      <c r="CC888" t="str">
        <f t="shared" si="124"/>
        <v>2024-7</v>
      </c>
    </row>
    <row r="889" spans="1:81" x14ac:dyDescent="0.25">
      <c r="A889" t="s">
        <v>10</v>
      </c>
      <c r="B889" t="s">
        <v>143</v>
      </c>
      <c r="C889" t="s">
        <v>427</v>
      </c>
      <c r="D889">
        <v>75099</v>
      </c>
      <c r="E889">
        <v>1</v>
      </c>
      <c r="P889" t="s">
        <v>12</v>
      </c>
      <c r="Q889" t="s">
        <v>54</v>
      </c>
      <c r="R889">
        <v>8</v>
      </c>
      <c r="AI889" t="s">
        <v>242</v>
      </c>
      <c r="AJ889">
        <v>79154</v>
      </c>
      <c r="AL889">
        <f>COUNTIF(AI:AI,AK889)</f>
        <v>0</v>
      </c>
      <c r="AM889">
        <f>SUMIF(AI:AI,AK889,AJ:AJ)</f>
        <v>0</v>
      </c>
      <c r="BP889" t="s">
        <v>32</v>
      </c>
      <c r="BQ889" t="s">
        <v>289</v>
      </c>
      <c r="BR889">
        <f t="shared" si="125"/>
        <v>2</v>
      </c>
      <c r="BS889">
        <f t="shared" si="119"/>
        <v>2024</v>
      </c>
      <c r="BT889">
        <v>1</v>
      </c>
      <c r="BU889" t="str">
        <f t="shared" si="120"/>
        <v>2024-2</v>
      </c>
      <c r="BV889">
        <f t="shared" si="121"/>
        <v>0</v>
      </c>
      <c r="BX889" t="s">
        <v>10</v>
      </c>
      <c r="BY889" t="s">
        <v>427</v>
      </c>
      <c r="BZ889">
        <v>75099</v>
      </c>
      <c r="CA889">
        <f t="shared" si="122"/>
        <v>7</v>
      </c>
      <c r="CB889">
        <f t="shared" si="123"/>
        <v>2024</v>
      </c>
      <c r="CC889" t="str">
        <f t="shared" si="124"/>
        <v>2024-7</v>
      </c>
    </row>
    <row r="890" spans="1:81" x14ac:dyDescent="0.25">
      <c r="A890" t="s">
        <v>32</v>
      </c>
      <c r="B890" t="s">
        <v>242</v>
      </c>
      <c r="C890" t="s">
        <v>427</v>
      </c>
      <c r="D890">
        <v>79154</v>
      </c>
      <c r="E890">
        <v>10</v>
      </c>
      <c r="P890" t="s">
        <v>8</v>
      </c>
      <c r="Q890" t="s">
        <v>196</v>
      </c>
      <c r="R890">
        <v>1</v>
      </c>
      <c r="AI890" t="s">
        <v>45</v>
      </c>
      <c r="AJ890">
        <v>32361</v>
      </c>
      <c r="AL890">
        <f>COUNTIF(AI:AI,AK890)</f>
        <v>0</v>
      </c>
      <c r="AM890">
        <f>SUMIF(AI:AI,AK890,AJ:AJ)</f>
        <v>0</v>
      </c>
      <c r="BP890" t="s">
        <v>32</v>
      </c>
      <c r="BQ890" t="s">
        <v>291</v>
      </c>
      <c r="BR890">
        <f t="shared" si="125"/>
        <v>2</v>
      </c>
      <c r="BS890">
        <f t="shared" si="119"/>
        <v>2024</v>
      </c>
      <c r="BT890">
        <v>10</v>
      </c>
      <c r="BU890" t="str">
        <f t="shared" si="120"/>
        <v>2024-2</v>
      </c>
      <c r="BV890">
        <f t="shared" si="121"/>
        <v>2</v>
      </c>
      <c r="BX890" t="s">
        <v>32</v>
      </c>
      <c r="BY890" t="s">
        <v>427</v>
      </c>
      <c r="BZ890">
        <v>79154</v>
      </c>
      <c r="CA890">
        <f t="shared" si="122"/>
        <v>7</v>
      </c>
      <c r="CB890">
        <f t="shared" si="123"/>
        <v>2024</v>
      </c>
      <c r="CC890" t="str">
        <f t="shared" si="124"/>
        <v>2024-7</v>
      </c>
    </row>
    <row r="891" spans="1:81" x14ac:dyDescent="0.25">
      <c r="A891" t="s">
        <v>36</v>
      </c>
      <c r="B891" t="s">
        <v>45</v>
      </c>
      <c r="C891" t="s">
        <v>427</v>
      </c>
      <c r="D891">
        <v>32361</v>
      </c>
      <c r="E891">
        <v>2</v>
      </c>
      <c r="P891" t="s">
        <v>36</v>
      </c>
      <c r="Q891" t="s">
        <v>237</v>
      </c>
      <c r="R891">
        <v>9</v>
      </c>
      <c r="AI891" t="s">
        <v>253</v>
      </c>
      <c r="AJ891">
        <v>10118</v>
      </c>
      <c r="AL891">
        <f>COUNTIF(AI:AI,AK891)</f>
        <v>0</v>
      </c>
      <c r="AM891">
        <f>SUMIF(AI:AI,AK891,AJ:AJ)</f>
        <v>0</v>
      </c>
      <c r="BP891" t="s">
        <v>32</v>
      </c>
      <c r="BQ891" t="s">
        <v>292</v>
      </c>
      <c r="BR891">
        <f t="shared" si="125"/>
        <v>2</v>
      </c>
      <c r="BS891">
        <f t="shared" si="119"/>
        <v>2024</v>
      </c>
      <c r="BT891">
        <v>2</v>
      </c>
      <c r="BU891" t="str">
        <f t="shared" si="120"/>
        <v>2024-2</v>
      </c>
      <c r="BV891">
        <f t="shared" si="121"/>
        <v>0</v>
      </c>
      <c r="BX891" t="s">
        <v>36</v>
      </c>
      <c r="BY891" t="s">
        <v>427</v>
      </c>
      <c r="BZ891">
        <v>32361</v>
      </c>
      <c r="CA891">
        <f t="shared" si="122"/>
        <v>7</v>
      </c>
      <c r="CB891">
        <f t="shared" si="123"/>
        <v>2024</v>
      </c>
      <c r="CC891" t="str">
        <f t="shared" si="124"/>
        <v>2024-7</v>
      </c>
    </row>
    <row r="892" spans="1:81" x14ac:dyDescent="0.25">
      <c r="A892" t="s">
        <v>14</v>
      </c>
      <c r="B892" t="s">
        <v>253</v>
      </c>
      <c r="C892" t="s">
        <v>428</v>
      </c>
      <c r="D892">
        <v>10118</v>
      </c>
      <c r="E892">
        <v>5</v>
      </c>
      <c r="P892" t="s">
        <v>33</v>
      </c>
      <c r="Q892" t="s">
        <v>434</v>
      </c>
      <c r="R892">
        <v>9</v>
      </c>
      <c r="AI892" t="s">
        <v>37</v>
      </c>
      <c r="AJ892">
        <v>26732</v>
      </c>
      <c r="AL892">
        <f>COUNTIF(AI:AI,AK892)</f>
        <v>0</v>
      </c>
      <c r="AM892">
        <f>SUMIF(AI:AI,AK892,AJ:AJ)</f>
        <v>0</v>
      </c>
      <c r="BP892" t="s">
        <v>32</v>
      </c>
      <c r="BQ892" t="s">
        <v>293</v>
      </c>
      <c r="BR892">
        <f t="shared" si="125"/>
        <v>2</v>
      </c>
      <c r="BS892">
        <f t="shared" si="119"/>
        <v>2024</v>
      </c>
      <c r="BT892">
        <v>5</v>
      </c>
      <c r="BU892" t="str">
        <f t="shared" si="120"/>
        <v>2024-2</v>
      </c>
      <c r="BV892">
        <f t="shared" si="121"/>
        <v>0</v>
      </c>
      <c r="BX892" t="s">
        <v>14</v>
      </c>
      <c r="BY892" t="s">
        <v>428</v>
      </c>
      <c r="BZ892">
        <v>10118</v>
      </c>
      <c r="CA892">
        <f t="shared" si="122"/>
        <v>7</v>
      </c>
      <c r="CB892">
        <f t="shared" si="123"/>
        <v>2024</v>
      </c>
      <c r="CC892" t="str">
        <f t="shared" si="124"/>
        <v>2024-7</v>
      </c>
    </row>
    <row r="893" spans="1:81" x14ac:dyDescent="0.25">
      <c r="A893" t="s">
        <v>23</v>
      </c>
      <c r="B893" t="s">
        <v>37</v>
      </c>
      <c r="C893" t="s">
        <v>428</v>
      </c>
      <c r="D893">
        <v>26732</v>
      </c>
      <c r="E893">
        <v>2</v>
      </c>
      <c r="P893" t="s">
        <v>5</v>
      </c>
      <c r="Q893" t="s">
        <v>296</v>
      </c>
      <c r="R893">
        <v>7</v>
      </c>
      <c r="AI893" t="s">
        <v>197</v>
      </c>
      <c r="AJ893">
        <v>84511</v>
      </c>
      <c r="AL893">
        <f>COUNTIF(AI:AI,AK893)</f>
        <v>0</v>
      </c>
      <c r="AM893">
        <f>SUMIF(AI:AI,AK893,AJ:AJ)</f>
        <v>0</v>
      </c>
      <c r="BP893" t="s">
        <v>32</v>
      </c>
      <c r="BQ893" t="s">
        <v>295</v>
      </c>
      <c r="BR893">
        <f t="shared" si="125"/>
        <v>2</v>
      </c>
      <c r="BS893">
        <f t="shared" si="119"/>
        <v>2024</v>
      </c>
      <c r="BT893">
        <v>2</v>
      </c>
      <c r="BU893" t="str">
        <f t="shared" si="120"/>
        <v>2024-2</v>
      </c>
      <c r="BV893">
        <f t="shared" si="121"/>
        <v>0</v>
      </c>
      <c r="BX893" t="s">
        <v>23</v>
      </c>
      <c r="BY893" t="s">
        <v>428</v>
      </c>
      <c r="BZ893">
        <v>26732</v>
      </c>
      <c r="CA893">
        <f t="shared" si="122"/>
        <v>7</v>
      </c>
      <c r="CB893">
        <f t="shared" si="123"/>
        <v>2024</v>
      </c>
      <c r="CC893" t="str">
        <f t="shared" si="124"/>
        <v>2024-7</v>
      </c>
    </row>
    <row r="894" spans="1:81" x14ac:dyDescent="0.25">
      <c r="A894" t="s">
        <v>32</v>
      </c>
      <c r="B894" t="s">
        <v>197</v>
      </c>
      <c r="C894" t="s">
        <v>428</v>
      </c>
      <c r="D894">
        <v>84511</v>
      </c>
      <c r="E894">
        <v>1</v>
      </c>
      <c r="P894" t="s">
        <v>20</v>
      </c>
      <c r="Q894" t="s">
        <v>114</v>
      </c>
      <c r="R894">
        <v>8</v>
      </c>
      <c r="AI894" t="s">
        <v>237</v>
      </c>
      <c r="AJ894">
        <v>22186</v>
      </c>
      <c r="AL894">
        <f>COUNTIF(AI:AI,AK894)</f>
        <v>0</v>
      </c>
      <c r="AM894">
        <f>SUMIF(AI:AI,AK894,AJ:AJ)</f>
        <v>0</v>
      </c>
      <c r="BP894" t="s">
        <v>32</v>
      </c>
      <c r="BQ894" t="s">
        <v>301</v>
      </c>
      <c r="BR894">
        <f t="shared" si="125"/>
        <v>2</v>
      </c>
      <c r="BS894">
        <f t="shared" si="119"/>
        <v>2024</v>
      </c>
      <c r="BT894">
        <v>1</v>
      </c>
      <c r="BU894" t="str">
        <f t="shared" si="120"/>
        <v>2024-2</v>
      </c>
      <c r="BV894">
        <f t="shared" si="121"/>
        <v>0</v>
      </c>
      <c r="BX894" t="s">
        <v>32</v>
      </c>
      <c r="BY894" t="s">
        <v>428</v>
      </c>
      <c r="BZ894">
        <v>84511</v>
      </c>
      <c r="CA894">
        <f t="shared" si="122"/>
        <v>7</v>
      </c>
      <c r="CB894">
        <f t="shared" si="123"/>
        <v>2024</v>
      </c>
      <c r="CC894" t="str">
        <f t="shared" si="124"/>
        <v>2024-7</v>
      </c>
    </row>
    <row r="895" spans="1:81" x14ac:dyDescent="0.25">
      <c r="A895" t="s">
        <v>33</v>
      </c>
      <c r="B895" t="s">
        <v>237</v>
      </c>
      <c r="C895" t="s">
        <v>428</v>
      </c>
      <c r="D895">
        <v>22186</v>
      </c>
      <c r="E895">
        <v>8</v>
      </c>
      <c r="P895" t="s">
        <v>23</v>
      </c>
      <c r="Q895" t="s">
        <v>72</v>
      </c>
      <c r="R895">
        <v>8</v>
      </c>
      <c r="AI895" t="s">
        <v>53</v>
      </c>
      <c r="AJ895">
        <v>56693</v>
      </c>
      <c r="AL895">
        <f>COUNTIF(AI:AI,AK895)</f>
        <v>0</v>
      </c>
      <c r="AM895">
        <f>SUMIF(AI:AI,AK895,AJ:AJ)</f>
        <v>0</v>
      </c>
      <c r="BP895" t="s">
        <v>32</v>
      </c>
      <c r="BQ895" t="s">
        <v>310</v>
      </c>
      <c r="BR895">
        <f t="shared" si="125"/>
        <v>2</v>
      </c>
      <c r="BS895">
        <f t="shared" si="119"/>
        <v>2024</v>
      </c>
      <c r="BT895">
        <v>8</v>
      </c>
      <c r="BU895" t="str">
        <f t="shared" si="120"/>
        <v>2024-2</v>
      </c>
      <c r="BV895">
        <f t="shared" si="121"/>
        <v>1</v>
      </c>
      <c r="BX895" t="s">
        <v>33</v>
      </c>
      <c r="BY895" t="s">
        <v>428</v>
      </c>
      <c r="BZ895">
        <v>22186</v>
      </c>
      <c r="CA895">
        <f t="shared" si="122"/>
        <v>7</v>
      </c>
      <c r="CB895">
        <f t="shared" si="123"/>
        <v>2024</v>
      </c>
      <c r="CC895" t="str">
        <f t="shared" si="124"/>
        <v>2024-7</v>
      </c>
    </row>
    <row r="896" spans="1:81" x14ac:dyDescent="0.25">
      <c r="A896" t="s">
        <v>8</v>
      </c>
      <c r="B896" t="s">
        <v>53</v>
      </c>
      <c r="C896" t="s">
        <v>428</v>
      </c>
      <c r="D896">
        <v>56693</v>
      </c>
      <c r="E896">
        <v>8</v>
      </c>
      <c r="P896" t="s">
        <v>10</v>
      </c>
      <c r="Q896" t="s">
        <v>109</v>
      </c>
      <c r="R896">
        <v>7</v>
      </c>
      <c r="AI896" t="s">
        <v>144</v>
      </c>
      <c r="AJ896">
        <v>45801</v>
      </c>
      <c r="AL896">
        <f>COUNTIF(AI:AI,AK896)</f>
        <v>0</v>
      </c>
      <c r="AM896">
        <f>SUMIF(AI:AI,AK896,AJ:AJ)</f>
        <v>0</v>
      </c>
      <c r="BP896" t="s">
        <v>32</v>
      </c>
      <c r="BQ896" t="s">
        <v>312</v>
      </c>
      <c r="BR896">
        <f t="shared" si="125"/>
        <v>2</v>
      </c>
      <c r="BS896">
        <f t="shared" si="119"/>
        <v>2024</v>
      </c>
      <c r="BT896">
        <v>8</v>
      </c>
      <c r="BU896" t="str">
        <f t="shared" si="120"/>
        <v>2024-2</v>
      </c>
      <c r="BV896">
        <f t="shared" si="121"/>
        <v>1</v>
      </c>
      <c r="BX896" t="s">
        <v>8</v>
      </c>
      <c r="BY896" t="s">
        <v>428</v>
      </c>
      <c r="BZ896">
        <v>56693</v>
      </c>
      <c r="CA896">
        <f t="shared" si="122"/>
        <v>7</v>
      </c>
      <c r="CB896">
        <f t="shared" si="123"/>
        <v>2024</v>
      </c>
      <c r="CC896" t="str">
        <f t="shared" si="124"/>
        <v>2024-7</v>
      </c>
    </row>
    <row r="897" spans="1:81" x14ac:dyDescent="0.25">
      <c r="A897" t="s">
        <v>36</v>
      </c>
      <c r="B897" t="s">
        <v>144</v>
      </c>
      <c r="C897" t="s">
        <v>428</v>
      </c>
      <c r="D897">
        <v>45801</v>
      </c>
      <c r="E897">
        <v>6</v>
      </c>
      <c r="P897" t="s">
        <v>27</v>
      </c>
      <c r="Q897" t="s">
        <v>266</v>
      </c>
      <c r="R897">
        <v>8</v>
      </c>
      <c r="AI897" t="s">
        <v>87</v>
      </c>
      <c r="AJ897">
        <v>82606</v>
      </c>
      <c r="AL897">
        <f>COUNTIF(AI:AI,AK897)</f>
        <v>0</v>
      </c>
      <c r="AM897">
        <f>SUMIF(AI:AI,AK897,AJ:AJ)</f>
        <v>0</v>
      </c>
      <c r="BP897" t="s">
        <v>32</v>
      </c>
      <c r="BQ897" t="s">
        <v>313</v>
      </c>
      <c r="BR897">
        <f t="shared" si="125"/>
        <v>2</v>
      </c>
      <c r="BS897">
        <f t="shared" si="119"/>
        <v>2024</v>
      </c>
      <c r="BT897">
        <v>6</v>
      </c>
      <c r="BU897" t="str">
        <f t="shared" si="120"/>
        <v>2024-2</v>
      </c>
      <c r="BV897">
        <f t="shared" si="121"/>
        <v>0</v>
      </c>
      <c r="BX897" t="s">
        <v>36</v>
      </c>
      <c r="BY897" t="s">
        <v>428</v>
      </c>
      <c r="BZ897">
        <v>45801</v>
      </c>
      <c r="CA897">
        <f t="shared" si="122"/>
        <v>7</v>
      </c>
      <c r="CB897">
        <f t="shared" si="123"/>
        <v>2024</v>
      </c>
      <c r="CC897" t="str">
        <f t="shared" si="124"/>
        <v>2024-7</v>
      </c>
    </row>
    <row r="898" spans="1:81" x14ac:dyDescent="0.25">
      <c r="A898" t="s">
        <v>23</v>
      </c>
      <c r="B898" t="s">
        <v>87</v>
      </c>
      <c r="C898" t="s">
        <v>428</v>
      </c>
      <c r="D898">
        <v>82606</v>
      </c>
      <c r="E898">
        <v>5</v>
      </c>
      <c r="P898" t="s">
        <v>12</v>
      </c>
      <c r="Q898" t="s">
        <v>131</v>
      </c>
      <c r="R898">
        <v>9</v>
      </c>
      <c r="AI898" t="s">
        <v>30</v>
      </c>
      <c r="AJ898">
        <v>84047</v>
      </c>
      <c r="AL898">
        <f>COUNTIF(AI:AI,AK898)</f>
        <v>0</v>
      </c>
      <c r="AM898">
        <f>SUMIF(AI:AI,AK898,AJ:AJ)</f>
        <v>0</v>
      </c>
      <c r="BP898" t="s">
        <v>32</v>
      </c>
      <c r="BQ898" t="s">
        <v>314</v>
      </c>
      <c r="BR898">
        <f t="shared" si="125"/>
        <v>3</v>
      </c>
      <c r="BS898">
        <f t="shared" si="119"/>
        <v>2024</v>
      </c>
      <c r="BT898">
        <v>5</v>
      </c>
      <c r="BU898" t="str">
        <f t="shared" si="120"/>
        <v>2024-3</v>
      </c>
      <c r="BV898">
        <f t="shared" si="121"/>
        <v>0</v>
      </c>
      <c r="BX898" t="s">
        <v>23</v>
      </c>
      <c r="BY898" t="s">
        <v>428</v>
      </c>
      <c r="BZ898">
        <v>82606</v>
      </c>
      <c r="CA898">
        <f t="shared" si="122"/>
        <v>7</v>
      </c>
      <c r="CB898">
        <f t="shared" si="123"/>
        <v>2024</v>
      </c>
      <c r="CC898" t="str">
        <f t="shared" si="124"/>
        <v>2024-7</v>
      </c>
    </row>
    <row r="899" spans="1:81" x14ac:dyDescent="0.25">
      <c r="A899" t="s">
        <v>17</v>
      </c>
      <c r="B899" t="s">
        <v>30</v>
      </c>
      <c r="C899" t="s">
        <v>428</v>
      </c>
      <c r="D899">
        <v>84047</v>
      </c>
      <c r="E899">
        <v>7</v>
      </c>
      <c r="P899" t="s">
        <v>36</v>
      </c>
      <c r="Q899" t="s">
        <v>82</v>
      </c>
      <c r="R899">
        <v>6</v>
      </c>
      <c r="AI899" t="s">
        <v>120</v>
      </c>
      <c r="AJ899">
        <v>58559</v>
      </c>
      <c r="AL899">
        <f>COUNTIF(AI:AI,AK899)</f>
        <v>0</v>
      </c>
      <c r="AM899">
        <f>SUMIF(AI:AI,AK899,AJ:AJ)</f>
        <v>0</v>
      </c>
      <c r="BP899" t="s">
        <v>32</v>
      </c>
      <c r="BQ899" t="s">
        <v>315</v>
      </c>
      <c r="BR899">
        <f t="shared" si="125"/>
        <v>3</v>
      </c>
      <c r="BS899">
        <f t="shared" ref="BS899:BS962" si="126">YEAR(BQ899)</f>
        <v>2024</v>
      </c>
      <c r="BT899">
        <v>7</v>
      </c>
      <c r="BU899" t="str">
        <f t="shared" ref="BU899:BU962" si="127">BS899&amp;"-"&amp;BR899</f>
        <v>2024-3</v>
      </c>
      <c r="BV899">
        <f t="shared" ref="BV899:BV962" si="128">IF(BT899&lt;7,0,IF(BT899&lt;9,1,2))</f>
        <v>1</v>
      </c>
      <c r="BX899" t="s">
        <v>17</v>
      </c>
      <c r="BY899" t="s">
        <v>428</v>
      </c>
      <c r="BZ899">
        <v>84047</v>
      </c>
      <c r="CA899">
        <f t="shared" ref="CA899:CA962" si="129">MONTH(BY899)</f>
        <v>7</v>
      </c>
      <c r="CB899">
        <f t="shared" ref="CB899:CB962" si="130">YEAR(BY899)</f>
        <v>2024</v>
      </c>
      <c r="CC899" t="str">
        <f t="shared" ref="CC899:CC962" si="131">CB899&amp;"-"&amp;CA899</f>
        <v>2024-7</v>
      </c>
    </row>
    <row r="900" spans="1:81" x14ac:dyDescent="0.25">
      <c r="A900" t="s">
        <v>20</v>
      </c>
      <c r="B900" t="s">
        <v>120</v>
      </c>
      <c r="C900" t="s">
        <v>429</v>
      </c>
      <c r="D900">
        <v>58559</v>
      </c>
      <c r="E900">
        <v>9</v>
      </c>
      <c r="P900" t="s">
        <v>32</v>
      </c>
      <c r="Q900" t="s">
        <v>112</v>
      </c>
      <c r="R900">
        <v>5</v>
      </c>
      <c r="AI900" t="s">
        <v>15</v>
      </c>
      <c r="AJ900">
        <v>90027</v>
      </c>
      <c r="AL900">
        <f>COUNTIF(AI:AI,AK900)</f>
        <v>0</v>
      </c>
      <c r="AM900">
        <f>SUMIF(AI:AI,AK900,AJ:AJ)</f>
        <v>0</v>
      </c>
      <c r="BP900" t="s">
        <v>32</v>
      </c>
      <c r="BQ900" t="s">
        <v>321</v>
      </c>
      <c r="BR900">
        <f t="shared" si="125"/>
        <v>3</v>
      </c>
      <c r="BS900">
        <f t="shared" si="126"/>
        <v>2024</v>
      </c>
      <c r="BT900">
        <v>9</v>
      </c>
      <c r="BU900" t="str">
        <f t="shared" si="127"/>
        <v>2024-3</v>
      </c>
      <c r="BV900">
        <f t="shared" si="128"/>
        <v>2</v>
      </c>
      <c r="BX900" t="s">
        <v>20</v>
      </c>
      <c r="BY900" t="s">
        <v>429</v>
      </c>
      <c r="BZ900">
        <v>58559</v>
      </c>
      <c r="CA900">
        <f t="shared" si="129"/>
        <v>7</v>
      </c>
      <c r="CB900">
        <f t="shared" si="130"/>
        <v>2024</v>
      </c>
      <c r="CC900" t="str">
        <f t="shared" si="131"/>
        <v>2024-7</v>
      </c>
    </row>
    <row r="901" spans="1:81" x14ac:dyDescent="0.25">
      <c r="A901" t="s">
        <v>14</v>
      </c>
      <c r="B901" t="s">
        <v>15</v>
      </c>
      <c r="C901" t="s">
        <v>429</v>
      </c>
      <c r="D901">
        <v>90027</v>
      </c>
      <c r="E901">
        <v>6</v>
      </c>
      <c r="P901" t="s">
        <v>23</v>
      </c>
      <c r="Q901" t="s">
        <v>396</v>
      </c>
      <c r="R901">
        <v>6</v>
      </c>
      <c r="AI901" t="s">
        <v>196</v>
      </c>
      <c r="AJ901">
        <v>91886</v>
      </c>
      <c r="AL901">
        <f>COUNTIF(AI:AI,AK901)</f>
        <v>0</v>
      </c>
      <c r="AM901">
        <f>SUMIF(AI:AI,AK901,AJ:AJ)</f>
        <v>0</v>
      </c>
      <c r="BP901" t="s">
        <v>32</v>
      </c>
      <c r="BQ901" t="s">
        <v>324</v>
      </c>
      <c r="BR901">
        <f t="shared" si="125"/>
        <v>3</v>
      </c>
      <c r="BS901">
        <f t="shared" si="126"/>
        <v>2024</v>
      </c>
      <c r="BT901">
        <v>6</v>
      </c>
      <c r="BU901" t="str">
        <f t="shared" si="127"/>
        <v>2024-3</v>
      </c>
      <c r="BV901">
        <f t="shared" si="128"/>
        <v>0</v>
      </c>
      <c r="BX901" t="s">
        <v>14</v>
      </c>
      <c r="BY901" t="s">
        <v>429</v>
      </c>
      <c r="BZ901">
        <v>90027</v>
      </c>
      <c r="CA901">
        <f t="shared" si="129"/>
        <v>7</v>
      </c>
      <c r="CB901">
        <f t="shared" si="130"/>
        <v>2024</v>
      </c>
      <c r="CC901" t="str">
        <f t="shared" si="131"/>
        <v>2024-7</v>
      </c>
    </row>
    <row r="902" spans="1:81" x14ac:dyDescent="0.25">
      <c r="A902" t="s">
        <v>20</v>
      </c>
      <c r="B902" t="s">
        <v>196</v>
      </c>
      <c r="C902" t="s">
        <v>430</v>
      </c>
      <c r="D902">
        <v>91886</v>
      </c>
      <c r="E902">
        <v>4</v>
      </c>
      <c r="P902" t="s">
        <v>14</v>
      </c>
      <c r="Q902" t="s">
        <v>131</v>
      </c>
      <c r="R902">
        <v>0</v>
      </c>
      <c r="AI902" t="s">
        <v>183</v>
      </c>
      <c r="AJ902">
        <v>73126</v>
      </c>
      <c r="AL902">
        <f>COUNTIF(AI:AI,AK902)</f>
        <v>0</v>
      </c>
      <c r="AM902">
        <f>SUMIF(AI:AI,AK902,AJ:AJ)</f>
        <v>0</v>
      </c>
      <c r="BP902" t="s">
        <v>32</v>
      </c>
      <c r="BQ902" t="s">
        <v>324</v>
      </c>
      <c r="BR902">
        <f t="shared" si="125"/>
        <v>3</v>
      </c>
      <c r="BS902">
        <f t="shared" si="126"/>
        <v>2024</v>
      </c>
      <c r="BT902">
        <v>4</v>
      </c>
      <c r="BU902" t="str">
        <f t="shared" si="127"/>
        <v>2024-3</v>
      </c>
      <c r="BV902">
        <f t="shared" si="128"/>
        <v>0</v>
      </c>
      <c r="BX902" t="s">
        <v>20</v>
      </c>
      <c r="BY902" t="s">
        <v>430</v>
      </c>
      <c r="BZ902">
        <v>91886</v>
      </c>
      <c r="CA902">
        <f t="shared" si="129"/>
        <v>7</v>
      </c>
      <c r="CB902">
        <f t="shared" si="130"/>
        <v>2024</v>
      </c>
      <c r="CC902" t="str">
        <f t="shared" si="131"/>
        <v>2024-7</v>
      </c>
    </row>
    <row r="903" spans="1:81" x14ac:dyDescent="0.25">
      <c r="A903" t="s">
        <v>33</v>
      </c>
      <c r="B903" t="s">
        <v>183</v>
      </c>
      <c r="C903" t="s">
        <v>430</v>
      </c>
      <c r="D903">
        <v>73126</v>
      </c>
      <c r="E903">
        <v>5</v>
      </c>
      <c r="P903" t="s">
        <v>5</v>
      </c>
      <c r="Q903" t="s">
        <v>127</v>
      </c>
      <c r="R903">
        <v>3</v>
      </c>
      <c r="AI903" t="s">
        <v>228</v>
      </c>
      <c r="AJ903">
        <v>74443</v>
      </c>
      <c r="AL903">
        <f>COUNTIF(AI:AI,AK903)</f>
        <v>0</v>
      </c>
      <c r="AM903">
        <f>SUMIF(AI:AI,AK903,AJ:AJ)</f>
        <v>0</v>
      </c>
      <c r="BP903" t="s">
        <v>32</v>
      </c>
      <c r="BQ903" t="s">
        <v>328</v>
      </c>
      <c r="BR903">
        <f t="shared" si="125"/>
        <v>3</v>
      </c>
      <c r="BS903">
        <f t="shared" si="126"/>
        <v>2024</v>
      </c>
      <c r="BT903">
        <v>5</v>
      </c>
      <c r="BU903" t="str">
        <f t="shared" si="127"/>
        <v>2024-3</v>
      </c>
      <c r="BV903">
        <f t="shared" si="128"/>
        <v>0</v>
      </c>
      <c r="BX903" t="s">
        <v>33</v>
      </c>
      <c r="BY903" t="s">
        <v>430</v>
      </c>
      <c r="BZ903">
        <v>73126</v>
      </c>
      <c r="CA903">
        <f t="shared" si="129"/>
        <v>7</v>
      </c>
      <c r="CB903">
        <f t="shared" si="130"/>
        <v>2024</v>
      </c>
      <c r="CC903" t="str">
        <f t="shared" si="131"/>
        <v>2024-7</v>
      </c>
    </row>
    <row r="904" spans="1:81" x14ac:dyDescent="0.25">
      <c r="A904" t="s">
        <v>17</v>
      </c>
      <c r="B904" t="s">
        <v>228</v>
      </c>
      <c r="C904" t="s">
        <v>430</v>
      </c>
      <c r="D904">
        <v>74443</v>
      </c>
      <c r="E904">
        <v>3</v>
      </c>
      <c r="P904" t="s">
        <v>12</v>
      </c>
      <c r="Q904" t="s">
        <v>396</v>
      </c>
      <c r="R904">
        <v>6</v>
      </c>
      <c r="AI904" t="s">
        <v>56</v>
      </c>
      <c r="AJ904">
        <v>69661</v>
      </c>
      <c r="AL904">
        <f>COUNTIF(AI:AI,AK904)</f>
        <v>0</v>
      </c>
      <c r="AM904">
        <f>SUMIF(AI:AI,AK904,AJ:AJ)</f>
        <v>0</v>
      </c>
      <c r="BP904" t="s">
        <v>32</v>
      </c>
      <c r="BQ904" t="s">
        <v>333</v>
      </c>
      <c r="BR904">
        <f t="shared" si="125"/>
        <v>3</v>
      </c>
      <c r="BS904">
        <f t="shared" si="126"/>
        <v>2024</v>
      </c>
      <c r="BT904">
        <v>3</v>
      </c>
      <c r="BU904" t="str">
        <f t="shared" si="127"/>
        <v>2024-3</v>
      </c>
      <c r="BV904">
        <f t="shared" si="128"/>
        <v>0</v>
      </c>
      <c r="BX904" t="s">
        <v>17</v>
      </c>
      <c r="BY904" t="s">
        <v>430</v>
      </c>
      <c r="BZ904">
        <v>74443</v>
      </c>
      <c r="CA904">
        <f t="shared" si="129"/>
        <v>7</v>
      </c>
      <c r="CB904">
        <f t="shared" si="130"/>
        <v>2024</v>
      </c>
      <c r="CC904" t="str">
        <f t="shared" si="131"/>
        <v>2024-7</v>
      </c>
    </row>
    <row r="905" spans="1:81" x14ac:dyDescent="0.25">
      <c r="A905" t="s">
        <v>27</v>
      </c>
      <c r="B905" t="s">
        <v>56</v>
      </c>
      <c r="C905" t="s">
        <v>431</v>
      </c>
      <c r="D905">
        <v>69661</v>
      </c>
      <c r="E905">
        <v>7</v>
      </c>
      <c r="P905" t="s">
        <v>8</v>
      </c>
      <c r="Q905" t="s">
        <v>131</v>
      </c>
      <c r="R905">
        <v>7</v>
      </c>
      <c r="AI905" t="s">
        <v>41</v>
      </c>
      <c r="AJ905">
        <v>31146</v>
      </c>
      <c r="AL905">
        <f>COUNTIF(AI:AI,AK905)</f>
        <v>0</v>
      </c>
      <c r="AM905">
        <f>SUMIF(AI:AI,AK905,AJ:AJ)</f>
        <v>0</v>
      </c>
      <c r="BP905" t="s">
        <v>32</v>
      </c>
      <c r="BQ905" t="s">
        <v>337</v>
      </c>
      <c r="BR905">
        <f t="shared" si="125"/>
        <v>3</v>
      </c>
      <c r="BS905">
        <f t="shared" si="126"/>
        <v>2024</v>
      </c>
      <c r="BT905">
        <v>7</v>
      </c>
      <c r="BU905" t="str">
        <f t="shared" si="127"/>
        <v>2024-3</v>
      </c>
      <c r="BV905">
        <f t="shared" si="128"/>
        <v>1</v>
      </c>
      <c r="BX905" t="s">
        <v>27</v>
      </c>
      <c r="BY905" t="s">
        <v>431</v>
      </c>
      <c r="BZ905">
        <v>69661</v>
      </c>
      <c r="CA905">
        <f t="shared" si="129"/>
        <v>8</v>
      </c>
      <c r="CB905">
        <f t="shared" si="130"/>
        <v>2024</v>
      </c>
      <c r="CC905" t="str">
        <f t="shared" si="131"/>
        <v>2024-8</v>
      </c>
    </row>
    <row r="906" spans="1:81" x14ac:dyDescent="0.25">
      <c r="A906" t="s">
        <v>12</v>
      </c>
      <c r="B906" t="s">
        <v>41</v>
      </c>
      <c r="C906" t="s">
        <v>431</v>
      </c>
      <c r="D906">
        <v>31146</v>
      </c>
      <c r="E906">
        <v>3</v>
      </c>
      <c r="P906" t="s">
        <v>20</v>
      </c>
      <c r="Q906" t="s">
        <v>197</v>
      </c>
      <c r="R906">
        <v>8</v>
      </c>
      <c r="AI906" t="s">
        <v>42</v>
      </c>
      <c r="AJ906">
        <v>27053</v>
      </c>
      <c r="AL906">
        <f>COUNTIF(AI:AI,AK906)</f>
        <v>0</v>
      </c>
      <c r="AM906">
        <f>SUMIF(AI:AI,AK906,AJ:AJ)</f>
        <v>0</v>
      </c>
      <c r="BP906" t="s">
        <v>32</v>
      </c>
      <c r="BQ906" t="s">
        <v>340</v>
      </c>
      <c r="BR906">
        <f t="shared" si="125"/>
        <v>4</v>
      </c>
      <c r="BS906">
        <f t="shared" si="126"/>
        <v>2024</v>
      </c>
      <c r="BT906">
        <v>3</v>
      </c>
      <c r="BU906" t="str">
        <f t="shared" si="127"/>
        <v>2024-4</v>
      </c>
      <c r="BV906">
        <f t="shared" si="128"/>
        <v>0</v>
      </c>
      <c r="BX906" t="s">
        <v>12</v>
      </c>
      <c r="BY906" t="s">
        <v>431</v>
      </c>
      <c r="BZ906">
        <v>31146</v>
      </c>
      <c r="CA906">
        <f t="shared" si="129"/>
        <v>8</v>
      </c>
      <c r="CB906">
        <f t="shared" si="130"/>
        <v>2024</v>
      </c>
      <c r="CC906" t="str">
        <f t="shared" si="131"/>
        <v>2024-8</v>
      </c>
    </row>
    <row r="907" spans="1:81" x14ac:dyDescent="0.25">
      <c r="A907" t="s">
        <v>23</v>
      </c>
      <c r="B907" t="s">
        <v>42</v>
      </c>
      <c r="C907" t="s">
        <v>431</v>
      </c>
      <c r="D907">
        <v>27053</v>
      </c>
      <c r="E907">
        <v>3</v>
      </c>
      <c r="P907" t="s">
        <v>14</v>
      </c>
      <c r="Q907" t="s">
        <v>336</v>
      </c>
      <c r="R907">
        <v>4</v>
      </c>
      <c r="AI907" t="s">
        <v>259</v>
      </c>
      <c r="AJ907">
        <v>11038</v>
      </c>
      <c r="AL907">
        <f>COUNTIF(AI:AI,AK907)</f>
        <v>0</v>
      </c>
      <c r="AM907">
        <f>SUMIF(AI:AI,AK907,AJ:AJ)</f>
        <v>0</v>
      </c>
      <c r="BP907" t="s">
        <v>32</v>
      </c>
      <c r="BQ907" t="s">
        <v>340</v>
      </c>
      <c r="BR907">
        <f t="shared" si="125"/>
        <v>4</v>
      </c>
      <c r="BS907">
        <f t="shared" si="126"/>
        <v>2024</v>
      </c>
      <c r="BT907">
        <v>3</v>
      </c>
      <c r="BU907" t="str">
        <f t="shared" si="127"/>
        <v>2024-4</v>
      </c>
      <c r="BV907">
        <f t="shared" si="128"/>
        <v>0</v>
      </c>
      <c r="BX907" t="s">
        <v>23</v>
      </c>
      <c r="BY907" t="s">
        <v>431</v>
      </c>
      <c r="BZ907">
        <v>27053</v>
      </c>
      <c r="CA907">
        <f t="shared" si="129"/>
        <v>8</v>
      </c>
      <c r="CB907">
        <f t="shared" si="130"/>
        <v>2024</v>
      </c>
      <c r="CC907" t="str">
        <f t="shared" si="131"/>
        <v>2024-8</v>
      </c>
    </row>
    <row r="908" spans="1:81" x14ac:dyDescent="0.25">
      <c r="A908" t="s">
        <v>27</v>
      </c>
      <c r="B908" t="s">
        <v>259</v>
      </c>
      <c r="C908" t="s">
        <v>431</v>
      </c>
      <c r="D908">
        <v>11038</v>
      </c>
      <c r="E908">
        <v>7</v>
      </c>
      <c r="P908" t="s">
        <v>23</v>
      </c>
      <c r="Q908" t="s">
        <v>81</v>
      </c>
      <c r="R908">
        <v>8</v>
      </c>
      <c r="AI908" t="s">
        <v>44</v>
      </c>
      <c r="AJ908">
        <v>70697</v>
      </c>
      <c r="AL908">
        <f>COUNTIF(AI:AI,AK908)</f>
        <v>0</v>
      </c>
      <c r="AM908">
        <f>SUMIF(AI:AI,AK908,AJ:AJ)</f>
        <v>0</v>
      </c>
      <c r="BP908" t="s">
        <v>32</v>
      </c>
      <c r="BQ908" t="s">
        <v>346</v>
      </c>
      <c r="BR908">
        <f t="shared" si="125"/>
        <v>4</v>
      </c>
      <c r="BS908">
        <f t="shared" si="126"/>
        <v>2024</v>
      </c>
      <c r="BT908">
        <v>7</v>
      </c>
      <c r="BU908" t="str">
        <f t="shared" si="127"/>
        <v>2024-4</v>
      </c>
      <c r="BV908">
        <f t="shared" si="128"/>
        <v>1</v>
      </c>
      <c r="BX908" t="s">
        <v>27</v>
      </c>
      <c r="BY908" t="s">
        <v>431</v>
      </c>
      <c r="BZ908">
        <v>11038</v>
      </c>
      <c r="CA908">
        <f t="shared" si="129"/>
        <v>8</v>
      </c>
      <c r="CB908">
        <f t="shared" si="130"/>
        <v>2024</v>
      </c>
      <c r="CC908" t="str">
        <f t="shared" si="131"/>
        <v>2024-8</v>
      </c>
    </row>
    <row r="909" spans="1:81" x14ac:dyDescent="0.25">
      <c r="A909" t="s">
        <v>10</v>
      </c>
      <c r="B909" t="s">
        <v>44</v>
      </c>
      <c r="C909" t="s">
        <v>431</v>
      </c>
      <c r="D909">
        <v>70697</v>
      </c>
      <c r="E909">
        <v>6</v>
      </c>
      <c r="P909" t="s">
        <v>12</v>
      </c>
      <c r="Q909" t="s">
        <v>92</v>
      </c>
      <c r="R909">
        <v>4</v>
      </c>
      <c r="AI909" t="s">
        <v>129</v>
      </c>
      <c r="AJ909">
        <v>18712</v>
      </c>
      <c r="AL909">
        <f>COUNTIF(AI:AI,AK909)</f>
        <v>0</v>
      </c>
      <c r="AM909">
        <f>SUMIF(AI:AI,AK909,AJ:AJ)</f>
        <v>0</v>
      </c>
      <c r="BP909" t="s">
        <v>32</v>
      </c>
      <c r="BQ909" t="s">
        <v>355</v>
      </c>
      <c r="BR909">
        <f t="shared" si="125"/>
        <v>4</v>
      </c>
      <c r="BS909">
        <f t="shared" si="126"/>
        <v>2024</v>
      </c>
      <c r="BT909">
        <v>6</v>
      </c>
      <c r="BU909" t="str">
        <f t="shared" si="127"/>
        <v>2024-4</v>
      </c>
      <c r="BV909">
        <f t="shared" si="128"/>
        <v>0</v>
      </c>
      <c r="BX909" t="s">
        <v>10</v>
      </c>
      <c r="BY909" t="s">
        <v>431</v>
      </c>
      <c r="BZ909">
        <v>70697</v>
      </c>
      <c r="CA909">
        <f t="shared" si="129"/>
        <v>8</v>
      </c>
      <c r="CB909">
        <f t="shared" si="130"/>
        <v>2024</v>
      </c>
      <c r="CC909" t="str">
        <f t="shared" si="131"/>
        <v>2024-8</v>
      </c>
    </row>
    <row r="910" spans="1:81" x14ac:dyDescent="0.25">
      <c r="A910" t="s">
        <v>20</v>
      </c>
      <c r="B910" t="s">
        <v>129</v>
      </c>
      <c r="C910" t="s">
        <v>431</v>
      </c>
      <c r="D910">
        <v>18712</v>
      </c>
      <c r="E910">
        <v>7</v>
      </c>
      <c r="P910" t="s">
        <v>5</v>
      </c>
      <c r="Q910" t="s">
        <v>61</v>
      </c>
      <c r="R910">
        <v>4</v>
      </c>
      <c r="AI910" t="s">
        <v>396</v>
      </c>
      <c r="AJ910">
        <v>96465</v>
      </c>
      <c r="AL910">
        <f>COUNTIF(AI:AI,AK910)</f>
        <v>0</v>
      </c>
      <c r="AM910">
        <f>SUMIF(AI:AI,AK910,AJ:AJ)</f>
        <v>0</v>
      </c>
      <c r="BP910" t="s">
        <v>32</v>
      </c>
      <c r="BQ910" t="s">
        <v>357</v>
      </c>
      <c r="BR910">
        <f t="shared" si="125"/>
        <v>4</v>
      </c>
      <c r="BS910">
        <f t="shared" si="126"/>
        <v>2024</v>
      </c>
      <c r="BT910">
        <v>7</v>
      </c>
      <c r="BU910" t="str">
        <f t="shared" si="127"/>
        <v>2024-4</v>
      </c>
      <c r="BV910">
        <f t="shared" si="128"/>
        <v>1</v>
      </c>
      <c r="BX910" t="s">
        <v>20</v>
      </c>
      <c r="BY910" t="s">
        <v>431</v>
      </c>
      <c r="BZ910">
        <v>18712</v>
      </c>
      <c r="CA910">
        <f t="shared" si="129"/>
        <v>8</v>
      </c>
      <c r="CB910">
        <f t="shared" si="130"/>
        <v>2024</v>
      </c>
      <c r="CC910" t="str">
        <f t="shared" si="131"/>
        <v>2024-8</v>
      </c>
    </row>
    <row r="911" spans="1:81" x14ac:dyDescent="0.25">
      <c r="A911" t="s">
        <v>14</v>
      </c>
      <c r="B911" t="s">
        <v>396</v>
      </c>
      <c r="C911" t="s">
        <v>432</v>
      </c>
      <c r="D911">
        <v>96465</v>
      </c>
      <c r="E911">
        <v>8</v>
      </c>
      <c r="P911" t="s">
        <v>20</v>
      </c>
      <c r="Q911" t="s">
        <v>242</v>
      </c>
      <c r="R911">
        <v>5</v>
      </c>
      <c r="AI911" t="s">
        <v>87</v>
      </c>
      <c r="AJ911">
        <v>62713</v>
      </c>
      <c r="AL911">
        <f>COUNTIF(AI:AI,AK911)</f>
        <v>0</v>
      </c>
      <c r="AM911">
        <f>SUMIF(AI:AI,AK911,AJ:AJ)</f>
        <v>0</v>
      </c>
      <c r="BP911" t="s">
        <v>32</v>
      </c>
      <c r="BQ911" t="s">
        <v>367</v>
      </c>
      <c r="BR911">
        <f t="shared" si="125"/>
        <v>5</v>
      </c>
      <c r="BS911">
        <f t="shared" si="126"/>
        <v>2024</v>
      </c>
      <c r="BT911">
        <v>8</v>
      </c>
      <c r="BU911" t="str">
        <f t="shared" si="127"/>
        <v>2024-5</v>
      </c>
      <c r="BV911">
        <f t="shared" si="128"/>
        <v>1</v>
      </c>
      <c r="BX911" t="s">
        <v>14</v>
      </c>
      <c r="BY911" t="s">
        <v>432</v>
      </c>
      <c r="BZ911">
        <v>96465</v>
      </c>
      <c r="CA911">
        <f t="shared" si="129"/>
        <v>8</v>
      </c>
      <c r="CB911">
        <f t="shared" si="130"/>
        <v>2024</v>
      </c>
      <c r="CC911" t="str">
        <f t="shared" si="131"/>
        <v>2024-8</v>
      </c>
    </row>
    <row r="912" spans="1:81" x14ac:dyDescent="0.25">
      <c r="A912" t="s">
        <v>10</v>
      </c>
      <c r="B912" t="s">
        <v>87</v>
      </c>
      <c r="C912" t="s">
        <v>432</v>
      </c>
      <c r="D912">
        <v>62713</v>
      </c>
      <c r="E912">
        <v>7</v>
      </c>
      <c r="P912" t="s">
        <v>10</v>
      </c>
      <c r="Q912" t="s">
        <v>67</v>
      </c>
      <c r="R912">
        <v>9</v>
      </c>
      <c r="AI912" t="s">
        <v>34</v>
      </c>
      <c r="AJ912">
        <v>77976</v>
      </c>
      <c r="AL912">
        <f>COUNTIF(AI:AI,AK912)</f>
        <v>0</v>
      </c>
      <c r="AM912">
        <f>SUMIF(AI:AI,AK912,AJ:AJ)</f>
        <v>0</v>
      </c>
      <c r="BP912" t="s">
        <v>32</v>
      </c>
      <c r="BQ912" t="s">
        <v>370</v>
      </c>
      <c r="BR912">
        <f t="shared" si="125"/>
        <v>5</v>
      </c>
      <c r="BS912">
        <f t="shared" si="126"/>
        <v>2024</v>
      </c>
      <c r="BT912">
        <v>7</v>
      </c>
      <c r="BU912" t="str">
        <f t="shared" si="127"/>
        <v>2024-5</v>
      </c>
      <c r="BV912">
        <f t="shared" si="128"/>
        <v>1</v>
      </c>
      <c r="BX912" t="s">
        <v>10</v>
      </c>
      <c r="BY912" t="s">
        <v>432</v>
      </c>
      <c r="BZ912">
        <v>62713</v>
      </c>
      <c r="CA912">
        <f t="shared" si="129"/>
        <v>8</v>
      </c>
      <c r="CB912">
        <f t="shared" si="130"/>
        <v>2024</v>
      </c>
      <c r="CC912" t="str">
        <f t="shared" si="131"/>
        <v>2024-8</v>
      </c>
    </row>
    <row r="913" spans="1:81" x14ac:dyDescent="0.25">
      <c r="A913" t="s">
        <v>14</v>
      </c>
      <c r="B913" t="s">
        <v>34</v>
      </c>
      <c r="C913" t="s">
        <v>432</v>
      </c>
      <c r="D913">
        <v>77976</v>
      </c>
      <c r="E913">
        <v>5</v>
      </c>
      <c r="P913" t="s">
        <v>32</v>
      </c>
      <c r="Q913" t="s">
        <v>127</v>
      </c>
      <c r="R913">
        <v>10</v>
      </c>
      <c r="AI913" t="s">
        <v>369</v>
      </c>
      <c r="AJ913">
        <v>17603</v>
      </c>
      <c r="AL913">
        <f>COUNTIF(AI:AI,AK913)</f>
        <v>0</v>
      </c>
      <c r="AM913">
        <f>SUMIF(AI:AI,AK913,AJ:AJ)</f>
        <v>0</v>
      </c>
      <c r="BP913" t="s">
        <v>32</v>
      </c>
      <c r="BQ913" t="s">
        <v>371</v>
      </c>
      <c r="BR913">
        <f t="shared" si="125"/>
        <v>5</v>
      </c>
      <c r="BS913">
        <f t="shared" si="126"/>
        <v>2024</v>
      </c>
      <c r="BT913">
        <v>5</v>
      </c>
      <c r="BU913" t="str">
        <f t="shared" si="127"/>
        <v>2024-5</v>
      </c>
      <c r="BV913">
        <f t="shared" si="128"/>
        <v>0</v>
      </c>
      <c r="BX913" t="s">
        <v>14</v>
      </c>
      <c r="BY913" t="s">
        <v>432</v>
      </c>
      <c r="BZ913">
        <v>77976</v>
      </c>
      <c r="CA913">
        <f t="shared" si="129"/>
        <v>8</v>
      </c>
      <c r="CB913">
        <f t="shared" si="130"/>
        <v>2024</v>
      </c>
      <c r="CC913" t="str">
        <f t="shared" si="131"/>
        <v>2024-8</v>
      </c>
    </row>
    <row r="914" spans="1:81" x14ac:dyDescent="0.25">
      <c r="A914" t="s">
        <v>23</v>
      </c>
      <c r="B914" t="s">
        <v>369</v>
      </c>
      <c r="C914" t="s">
        <v>432</v>
      </c>
      <c r="D914">
        <v>17603</v>
      </c>
      <c r="E914">
        <v>7</v>
      </c>
      <c r="P914" t="s">
        <v>14</v>
      </c>
      <c r="Q914" t="s">
        <v>171</v>
      </c>
      <c r="R914">
        <v>7</v>
      </c>
      <c r="AI914" t="s">
        <v>51</v>
      </c>
      <c r="AJ914">
        <v>58045</v>
      </c>
      <c r="AL914">
        <f>COUNTIF(AI:AI,AK914)</f>
        <v>0</v>
      </c>
      <c r="AM914">
        <f>SUMIF(AI:AI,AK914,AJ:AJ)</f>
        <v>0</v>
      </c>
      <c r="BP914" t="s">
        <v>32</v>
      </c>
      <c r="BQ914" t="s">
        <v>374</v>
      </c>
      <c r="BR914">
        <f t="shared" si="125"/>
        <v>5</v>
      </c>
      <c r="BS914">
        <f t="shared" si="126"/>
        <v>2024</v>
      </c>
      <c r="BT914">
        <v>7</v>
      </c>
      <c r="BU914" t="str">
        <f t="shared" si="127"/>
        <v>2024-5</v>
      </c>
      <c r="BV914">
        <f t="shared" si="128"/>
        <v>1</v>
      </c>
      <c r="BX914" t="s">
        <v>23</v>
      </c>
      <c r="BY914" t="s">
        <v>432</v>
      </c>
      <c r="BZ914">
        <v>17603</v>
      </c>
      <c r="CA914">
        <f t="shared" si="129"/>
        <v>8</v>
      </c>
      <c r="CB914">
        <f t="shared" si="130"/>
        <v>2024</v>
      </c>
      <c r="CC914" t="str">
        <f t="shared" si="131"/>
        <v>2024-8</v>
      </c>
    </row>
    <row r="915" spans="1:81" x14ac:dyDescent="0.25">
      <c r="A915" t="s">
        <v>12</v>
      </c>
      <c r="B915" t="s">
        <v>51</v>
      </c>
      <c r="C915" t="s">
        <v>432</v>
      </c>
      <c r="D915">
        <v>58045</v>
      </c>
      <c r="E915">
        <v>8</v>
      </c>
      <c r="P915" t="s">
        <v>5</v>
      </c>
      <c r="Q915" t="s">
        <v>195</v>
      </c>
      <c r="R915">
        <v>6</v>
      </c>
      <c r="AI915" t="s">
        <v>104</v>
      </c>
      <c r="AJ915">
        <v>49357</v>
      </c>
      <c r="AL915">
        <f>COUNTIF(AI:AI,AK915)</f>
        <v>0</v>
      </c>
      <c r="AM915">
        <f>SUMIF(AI:AI,AK915,AJ:AJ)</f>
        <v>0</v>
      </c>
      <c r="BP915" t="s">
        <v>32</v>
      </c>
      <c r="BQ915" t="s">
        <v>375</v>
      </c>
      <c r="BR915">
        <f t="shared" si="125"/>
        <v>5</v>
      </c>
      <c r="BS915">
        <f t="shared" si="126"/>
        <v>2024</v>
      </c>
      <c r="BT915">
        <v>8</v>
      </c>
      <c r="BU915" t="str">
        <f t="shared" si="127"/>
        <v>2024-5</v>
      </c>
      <c r="BV915">
        <f t="shared" si="128"/>
        <v>1</v>
      </c>
      <c r="BX915" t="s">
        <v>12</v>
      </c>
      <c r="BY915" t="s">
        <v>432</v>
      </c>
      <c r="BZ915">
        <v>58045</v>
      </c>
      <c r="CA915">
        <f t="shared" si="129"/>
        <v>8</v>
      </c>
      <c r="CB915">
        <f t="shared" si="130"/>
        <v>2024</v>
      </c>
      <c r="CC915" t="str">
        <f t="shared" si="131"/>
        <v>2024-8</v>
      </c>
    </row>
    <row r="916" spans="1:81" x14ac:dyDescent="0.25">
      <c r="A916" t="s">
        <v>10</v>
      </c>
      <c r="B916" t="s">
        <v>104</v>
      </c>
      <c r="C916" t="s">
        <v>432</v>
      </c>
      <c r="D916">
        <v>49357</v>
      </c>
      <c r="E916">
        <v>7</v>
      </c>
      <c r="P916" t="s">
        <v>8</v>
      </c>
      <c r="Q916" t="s">
        <v>296</v>
      </c>
      <c r="R916">
        <v>6</v>
      </c>
      <c r="AI916" t="s">
        <v>132</v>
      </c>
      <c r="AJ916">
        <v>59071</v>
      </c>
      <c r="AL916">
        <f>COUNTIF(AI:AI,AK916)</f>
        <v>0</v>
      </c>
      <c r="AM916">
        <f>SUMIF(AI:AI,AK916,AJ:AJ)</f>
        <v>0</v>
      </c>
      <c r="BP916" t="s">
        <v>32</v>
      </c>
      <c r="BQ916" t="s">
        <v>376</v>
      </c>
      <c r="BR916">
        <f t="shared" si="125"/>
        <v>5</v>
      </c>
      <c r="BS916">
        <f t="shared" si="126"/>
        <v>2024</v>
      </c>
      <c r="BT916">
        <v>7</v>
      </c>
      <c r="BU916" t="str">
        <f t="shared" si="127"/>
        <v>2024-5</v>
      </c>
      <c r="BV916">
        <f t="shared" si="128"/>
        <v>1</v>
      </c>
      <c r="BX916" t="s">
        <v>10</v>
      </c>
      <c r="BY916" t="s">
        <v>432</v>
      </c>
      <c r="BZ916">
        <v>49357</v>
      </c>
      <c r="CA916">
        <f t="shared" si="129"/>
        <v>8</v>
      </c>
      <c r="CB916">
        <f t="shared" si="130"/>
        <v>2024</v>
      </c>
      <c r="CC916" t="str">
        <f t="shared" si="131"/>
        <v>2024-8</v>
      </c>
    </row>
    <row r="917" spans="1:81" x14ac:dyDescent="0.25">
      <c r="A917" t="s">
        <v>20</v>
      </c>
      <c r="B917" t="s">
        <v>132</v>
      </c>
      <c r="C917" t="s">
        <v>432</v>
      </c>
      <c r="D917">
        <v>59071</v>
      </c>
      <c r="E917">
        <v>5</v>
      </c>
      <c r="P917" t="s">
        <v>8</v>
      </c>
      <c r="Q917" t="s">
        <v>327</v>
      </c>
      <c r="R917">
        <v>9</v>
      </c>
      <c r="AI917" t="s">
        <v>173</v>
      </c>
      <c r="AJ917">
        <v>69049</v>
      </c>
      <c r="AL917">
        <f>COUNTIF(AI:AI,AK917)</f>
        <v>0</v>
      </c>
      <c r="AM917">
        <f>SUMIF(AI:AI,AK917,AJ:AJ)</f>
        <v>0</v>
      </c>
      <c r="BP917" t="s">
        <v>32</v>
      </c>
      <c r="BQ917" t="s">
        <v>379</v>
      </c>
      <c r="BR917">
        <f t="shared" si="125"/>
        <v>5</v>
      </c>
      <c r="BS917">
        <f t="shared" si="126"/>
        <v>2024</v>
      </c>
      <c r="BT917">
        <v>5</v>
      </c>
      <c r="BU917" t="str">
        <f t="shared" si="127"/>
        <v>2024-5</v>
      </c>
      <c r="BV917">
        <f t="shared" si="128"/>
        <v>0</v>
      </c>
      <c r="BX917" t="s">
        <v>20</v>
      </c>
      <c r="BY917" t="s">
        <v>432</v>
      </c>
      <c r="BZ917">
        <v>59071</v>
      </c>
      <c r="CA917">
        <f t="shared" si="129"/>
        <v>8</v>
      </c>
      <c r="CB917">
        <f t="shared" si="130"/>
        <v>2024</v>
      </c>
      <c r="CC917" t="str">
        <f t="shared" si="131"/>
        <v>2024-8</v>
      </c>
    </row>
    <row r="918" spans="1:81" x14ac:dyDescent="0.25">
      <c r="A918" t="s">
        <v>23</v>
      </c>
      <c r="B918" t="s">
        <v>173</v>
      </c>
      <c r="C918" t="s">
        <v>432</v>
      </c>
      <c r="D918">
        <v>69049</v>
      </c>
      <c r="E918">
        <v>5</v>
      </c>
      <c r="P918" t="s">
        <v>17</v>
      </c>
      <c r="Q918" t="s">
        <v>39</v>
      </c>
      <c r="R918">
        <v>8</v>
      </c>
      <c r="AI918" t="s">
        <v>54</v>
      </c>
      <c r="AJ918">
        <v>49148</v>
      </c>
      <c r="AL918">
        <f>COUNTIF(AI:AI,AK918)</f>
        <v>0</v>
      </c>
      <c r="AM918">
        <f>SUMIF(AI:AI,AK918,AJ:AJ)</f>
        <v>0</v>
      </c>
      <c r="BP918" t="s">
        <v>32</v>
      </c>
      <c r="BQ918" t="s">
        <v>380</v>
      </c>
      <c r="BR918">
        <f t="shared" si="125"/>
        <v>5</v>
      </c>
      <c r="BS918">
        <f t="shared" si="126"/>
        <v>2024</v>
      </c>
      <c r="BT918">
        <v>5</v>
      </c>
      <c r="BU918" t="str">
        <f t="shared" si="127"/>
        <v>2024-5</v>
      </c>
      <c r="BV918">
        <f t="shared" si="128"/>
        <v>0</v>
      </c>
      <c r="BX918" t="s">
        <v>23</v>
      </c>
      <c r="BY918" t="s">
        <v>432</v>
      </c>
      <c r="BZ918">
        <v>69049</v>
      </c>
      <c r="CA918">
        <f t="shared" si="129"/>
        <v>8</v>
      </c>
      <c r="CB918">
        <f t="shared" si="130"/>
        <v>2024</v>
      </c>
      <c r="CC918" t="str">
        <f t="shared" si="131"/>
        <v>2024-8</v>
      </c>
    </row>
    <row r="919" spans="1:81" x14ac:dyDescent="0.25">
      <c r="A919" t="s">
        <v>12</v>
      </c>
      <c r="B919" t="s">
        <v>54</v>
      </c>
      <c r="C919" t="s">
        <v>432</v>
      </c>
      <c r="D919">
        <v>49148</v>
      </c>
      <c r="E919">
        <v>8</v>
      </c>
      <c r="P919" t="s">
        <v>33</v>
      </c>
      <c r="Q919" t="s">
        <v>65</v>
      </c>
      <c r="R919">
        <v>8</v>
      </c>
      <c r="AI919" t="s">
        <v>196</v>
      </c>
      <c r="AJ919">
        <v>75785</v>
      </c>
      <c r="AL919">
        <f>COUNTIF(AI:AI,AK919)</f>
        <v>0</v>
      </c>
      <c r="AM919">
        <f>SUMIF(AI:AI,AK919,AJ:AJ)</f>
        <v>0</v>
      </c>
      <c r="BP919" t="s">
        <v>32</v>
      </c>
      <c r="BQ919" t="s">
        <v>383</v>
      </c>
      <c r="BR919">
        <f t="shared" ref="BR919:BR982" si="132">MONTH(BQ919)</f>
        <v>5</v>
      </c>
      <c r="BS919">
        <f t="shared" si="126"/>
        <v>2024</v>
      </c>
      <c r="BT919">
        <v>8</v>
      </c>
      <c r="BU919" t="str">
        <f t="shared" si="127"/>
        <v>2024-5</v>
      </c>
      <c r="BV919">
        <f t="shared" si="128"/>
        <v>1</v>
      </c>
      <c r="BX919" t="s">
        <v>12</v>
      </c>
      <c r="BY919" t="s">
        <v>432</v>
      </c>
      <c r="BZ919">
        <v>49148</v>
      </c>
      <c r="CA919">
        <f t="shared" si="129"/>
        <v>8</v>
      </c>
      <c r="CB919">
        <f t="shared" si="130"/>
        <v>2024</v>
      </c>
      <c r="CC919" t="str">
        <f t="shared" si="131"/>
        <v>2024-8</v>
      </c>
    </row>
    <row r="920" spans="1:81" x14ac:dyDescent="0.25">
      <c r="A920" t="s">
        <v>8</v>
      </c>
      <c r="B920" t="s">
        <v>196</v>
      </c>
      <c r="C920" t="s">
        <v>433</v>
      </c>
      <c r="D920">
        <v>75785</v>
      </c>
      <c r="E920">
        <v>1</v>
      </c>
      <c r="P920" t="s">
        <v>17</v>
      </c>
      <c r="Q920" t="s">
        <v>118</v>
      </c>
      <c r="R920">
        <v>6</v>
      </c>
      <c r="AI920" t="s">
        <v>237</v>
      </c>
      <c r="AJ920">
        <v>72366</v>
      </c>
      <c r="AL920">
        <f>COUNTIF(AI:AI,AK920)</f>
        <v>0</v>
      </c>
      <c r="AM920">
        <f>SUMIF(AI:AI,AK920,AJ:AJ)</f>
        <v>0</v>
      </c>
      <c r="BP920" t="s">
        <v>32</v>
      </c>
      <c r="BQ920" t="s">
        <v>390</v>
      </c>
      <c r="BR920">
        <f t="shared" si="132"/>
        <v>6</v>
      </c>
      <c r="BS920">
        <f t="shared" si="126"/>
        <v>2024</v>
      </c>
      <c r="BT920">
        <v>1</v>
      </c>
      <c r="BU920" t="str">
        <f t="shared" si="127"/>
        <v>2024-6</v>
      </c>
      <c r="BV920">
        <f t="shared" si="128"/>
        <v>0</v>
      </c>
      <c r="BX920" t="s">
        <v>8</v>
      </c>
      <c r="BY920" t="s">
        <v>433</v>
      </c>
      <c r="BZ920">
        <v>75785</v>
      </c>
      <c r="CA920">
        <f t="shared" si="129"/>
        <v>8</v>
      </c>
      <c r="CB920">
        <f t="shared" si="130"/>
        <v>2024</v>
      </c>
      <c r="CC920" t="str">
        <f t="shared" si="131"/>
        <v>2024-8</v>
      </c>
    </row>
    <row r="921" spans="1:81" x14ac:dyDescent="0.25">
      <c r="A921" t="s">
        <v>36</v>
      </c>
      <c r="B921" t="s">
        <v>237</v>
      </c>
      <c r="C921" t="s">
        <v>433</v>
      </c>
      <c r="D921">
        <v>72366</v>
      </c>
      <c r="E921">
        <v>9</v>
      </c>
      <c r="P921" t="s">
        <v>32</v>
      </c>
      <c r="Q921" t="s">
        <v>212</v>
      </c>
      <c r="R921">
        <v>9</v>
      </c>
      <c r="AI921" t="s">
        <v>434</v>
      </c>
      <c r="AJ921">
        <v>62214</v>
      </c>
      <c r="AL921">
        <f>COUNTIF(AI:AI,AK921)</f>
        <v>0</v>
      </c>
      <c r="AM921">
        <f>SUMIF(AI:AI,AK921,AJ:AJ)</f>
        <v>0</v>
      </c>
      <c r="BP921" t="s">
        <v>32</v>
      </c>
      <c r="BQ921" t="s">
        <v>395</v>
      </c>
      <c r="BR921">
        <f t="shared" si="132"/>
        <v>6</v>
      </c>
      <c r="BS921">
        <f t="shared" si="126"/>
        <v>2024</v>
      </c>
      <c r="BT921">
        <v>9</v>
      </c>
      <c r="BU921" t="str">
        <f t="shared" si="127"/>
        <v>2024-6</v>
      </c>
      <c r="BV921">
        <f t="shared" si="128"/>
        <v>2</v>
      </c>
      <c r="BX921" t="s">
        <v>36</v>
      </c>
      <c r="BY921" t="s">
        <v>433</v>
      </c>
      <c r="BZ921">
        <v>72366</v>
      </c>
      <c r="CA921">
        <f t="shared" si="129"/>
        <v>8</v>
      </c>
      <c r="CB921">
        <f t="shared" si="130"/>
        <v>2024</v>
      </c>
      <c r="CC921" t="str">
        <f t="shared" si="131"/>
        <v>2024-8</v>
      </c>
    </row>
    <row r="922" spans="1:81" x14ac:dyDescent="0.25">
      <c r="A922" t="s">
        <v>33</v>
      </c>
      <c r="B922" t="s">
        <v>434</v>
      </c>
      <c r="C922" t="s">
        <v>433</v>
      </c>
      <c r="D922">
        <v>62214</v>
      </c>
      <c r="E922">
        <v>9</v>
      </c>
      <c r="P922" t="s">
        <v>14</v>
      </c>
      <c r="Q922" t="s">
        <v>85</v>
      </c>
      <c r="R922">
        <v>5</v>
      </c>
      <c r="AI922" t="s">
        <v>296</v>
      </c>
      <c r="AJ922">
        <v>37796</v>
      </c>
      <c r="AL922">
        <f>COUNTIF(AI:AI,AK922)</f>
        <v>0</v>
      </c>
      <c r="AM922">
        <f>SUMIF(AI:AI,AK922,AJ:AJ)</f>
        <v>0</v>
      </c>
      <c r="BP922" t="s">
        <v>32</v>
      </c>
      <c r="BQ922" t="s">
        <v>399</v>
      </c>
      <c r="BR922">
        <f t="shared" si="132"/>
        <v>6</v>
      </c>
      <c r="BS922">
        <f t="shared" si="126"/>
        <v>2024</v>
      </c>
      <c r="BT922">
        <v>9</v>
      </c>
      <c r="BU922" t="str">
        <f t="shared" si="127"/>
        <v>2024-6</v>
      </c>
      <c r="BV922">
        <f t="shared" si="128"/>
        <v>2</v>
      </c>
      <c r="BX922" t="s">
        <v>33</v>
      </c>
      <c r="BY922" t="s">
        <v>433</v>
      </c>
      <c r="BZ922">
        <v>62214</v>
      </c>
      <c r="CA922">
        <f t="shared" si="129"/>
        <v>8</v>
      </c>
      <c r="CB922">
        <f t="shared" si="130"/>
        <v>2024</v>
      </c>
      <c r="CC922" t="str">
        <f t="shared" si="131"/>
        <v>2024-8</v>
      </c>
    </row>
    <row r="923" spans="1:81" x14ac:dyDescent="0.25">
      <c r="A923" t="s">
        <v>5</v>
      </c>
      <c r="B923" t="s">
        <v>296</v>
      </c>
      <c r="C923" t="s">
        <v>435</v>
      </c>
      <c r="D923">
        <v>37796</v>
      </c>
      <c r="E923">
        <v>7</v>
      </c>
      <c r="P923" t="s">
        <v>8</v>
      </c>
      <c r="Q923" t="s">
        <v>158</v>
      </c>
      <c r="R923">
        <v>6</v>
      </c>
      <c r="AI923" t="s">
        <v>114</v>
      </c>
      <c r="AJ923">
        <v>51606</v>
      </c>
      <c r="AL923">
        <f>COUNTIF(AI:AI,AK923)</f>
        <v>0</v>
      </c>
      <c r="AM923">
        <f>SUMIF(AI:AI,AK923,AJ:AJ)</f>
        <v>0</v>
      </c>
      <c r="BP923" t="s">
        <v>32</v>
      </c>
      <c r="BQ923" t="s">
        <v>400</v>
      </c>
      <c r="BR923">
        <f t="shared" si="132"/>
        <v>6</v>
      </c>
      <c r="BS923">
        <f t="shared" si="126"/>
        <v>2024</v>
      </c>
      <c r="BT923">
        <v>7</v>
      </c>
      <c r="BU923" t="str">
        <f t="shared" si="127"/>
        <v>2024-6</v>
      </c>
      <c r="BV923">
        <f t="shared" si="128"/>
        <v>1</v>
      </c>
      <c r="BX923" t="s">
        <v>5</v>
      </c>
      <c r="BY923" t="s">
        <v>435</v>
      </c>
      <c r="BZ923">
        <v>37796</v>
      </c>
      <c r="CA923">
        <f t="shared" si="129"/>
        <v>8</v>
      </c>
      <c r="CB923">
        <f t="shared" si="130"/>
        <v>2024</v>
      </c>
      <c r="CC923" t="str">
        <f t="shared" si="131"/>
        <v>2024-8</v>
      </c>
    </row>
    <row r="924" spans="1:81" x14ac:dyDescent="0.25">
      <c r="A924" t="s">
        <v>20</v>
      </c>
      <c r="B924" t="s">
        <v>114</v>
      </c>
      <c r="C924" t="s">
        <v>435</v>
      </c>
      <c r="D924">
        <v>51606</v>
      </c>
      <c r="E924">
        <v>8</v>
      </c>
      <c r="P924" t="s">
        <v>17</v>
      </c>
      <c r="Q924" t="s">
        <v>199</v>
      </c>
      <c r="R924">
        <v>3</v>
      </c>
      <c r="AI924" t="s">
        <v>72</v>
      </c>
      <c r="AJ924">
        <v>51331</v>
      </c>
      <c r="AL924">
        <f>COUNTIF(AI:AI,AK924)</f>
        <v>0</v>
      </c>
      <c r="AM924">
        <f>SUMIF(AI:AI,AK924,AJ:AJ)</f>
        <v>0</v>
      </c>
      <c r="BP924" t="s">
        <v>32</v>
      </c>
      <c r="BQ924" t="s">
        <v>403</v>
      </c>
      <c r="BR924">
        <f t="shared" si="132"/>
        <v>6</v>
      </c>
      <c r="BS924">
        <f t="shared" si="126"/>
        <v>2024</v>
      </c>
      <c r="BT924">
        <v>8</v>
      </c>
      <c r="BU924" t="str">
        <f t="shared" si="127"/>
        <v>2024-6</v>
      </c>
      <c r="BV924">
        <f t="shared" si="128"/>
        <v>1</v>
      </c>
      <c r="BX924" t="s">
        <v>20</v>
      </c>
      <c r="BY924" t="s">
        <v>435</v>
      </c>
      <c r="BZ924">
        <v>51606</v>
      </c>
      <c r="CA924">
        <f t="shared" si="129"/>
        <v>8</v>
      </c>
      <c r="CB924">
        <f t="shared" si="130"/>
        <v>2024</v>
      </c>
      <c r="CC924" t="str">
        <f t="shared" si="131"/>
        <v>2024-8</v>
      </c>
    </row>
    <row r="925" spans="1:81" x14ac:dyDescent="0.25">
      <c r="A925" t="s">
        <v>23</v>
      </c>
      <c r="B925" t="s">
        <v>72</v>
      </c>
      <c r="C925" t="s">
        <v>435</v>
      </c>
      <c r="D925">
        <v>51331</v>
      </c>
      <c r="E925">
        <v>8</v>
      </c>
      <c r="P925" t="s">
        <v>10</v>
      </c>
      <c r="Q925" t="s">
        <v>22</v>
      </c>
      <c r="R925">
        <v>7</v>
      </c>
      <c r="AI925" t="s">
        <v>109</v>
      </c>
      <c r="AJ925">
        <v>90950</v>
      </c>
      <c r="AL925">
        <f>COUNTIF(AI:AI,AK925)</f>
        <v>0</v>
      </c>
      <c r="AM925">
        <f>SUMIF(AI:AI,AK925,AJ:AJ)</f>
        <v>0</v>
      </c>
      <c r="BP925" t="s">
        <v>32</v>
      </c>
      <c r="BQ925" t="s">
        <v>405</v>
      </c>
      <c r="BR925">
        <f t="shared" si="132"/>
        <v>6</v>
      </c>
      <c r="BS925">
        <f t="shared" si="126"/>
        <v>2024</v>
      </c>
      <c r="BT925">
        <v>8</v>
      </c>
      <c r="BU925" t="str">
        <f t="shared" si="127"/>
        <v>2024-6</v>
      </c>
      <c r="BV925">
        <f t="shared" si="128"/>
        <v>1</v>
      </c>
      <c r="BX925" t="s">
        <v>23</v>
      </c>
      <c r="BY925" t="s">
        <v>435</v>
      </c>
      <c r="BZ925">
        <v>51331</v>
      </c>
      <c r="CA925">
        <f t="shared" si="129"/>
        <v>8</v>
      </c>
      <c r="CB925">
        <f t="shared" si="130"/>
        <v>2024</v>
      </c>
      <c r="CC925" t="str">
        <f t="shared" si="131"/>
        <v>2024-8</v>
      </c>
    </row>
    <row r="926" spans="1:81" x14ac:dyDescent="0.25">
      <c r="A926" t="s">
        <v>10</v>
      </c>
      <c r="B926" t="s">
        <v>109</v>
      </c>
      <c r="C926" t="s">
        <v>435</v>
      </c>
      <c r="D926">
        <v>90950</v>
      </c>
      <c r="E926">
        <v>7</v>
      </c>
      <c r="P926" t="s">
        <v>27</v>
      </c>
      <c r="Q926" t="s">
        <v>174</v>
      </c>
      <c r="R926">
        <v>7</v>
      </c>
      <c r="AI926" t="s">
        <v>266</v>
      </c>
      <c r="AJ926">
        <v>92451</v>
      </c>
      <c r="AL926">
        <f>COUNTIF(AI:AI,AK926)</f>
        <v>0</v>
      </c>
      <c r="AM926">
        <f>SUMIF(AI:AI,AK926,AJ:AJ)</f>
        <v>0</v>
      </c>
      <c r="BP926" t="s">
        <v>32</v>
      </c>
      <c r="BQ926" t="s">
        <v>411</v>
      </c>
      <c r="BR926">
        <f t="shared" si="132"/>
        <v>7</v>
      </c>
      <c r="BS926">
        <f t="shared" si="126"/>
        <v>2024</v>
      </c>
      <c r="BT926">
        <v>7</v>
      </c>
      <c r="BU926" t="str">
        <f t="shared" si="127"/>
        <v>2024-7</v>
      </c>
      <c r="BV926">
        <f t="shared" si="128"/>
        <v>1</v>
      </c>
      <c r="BX926" t="s">
        <v>10</v>
      </c>
      <c r="BY926" t="s">
        <v>435</v>
      </c>
      <c r="BZ926">
        <v>90950</v>
      </c>
      <c r="CA926">
        <f t="shared" si="129"/>
        <v>8</v>
      </c>
      <c r="CB926">
        <f t="shared" si="130"/>
        <v>2024</v>
      </c>
      <c r="CC926" t="str">
        <f t="shared" si="131"/>
        <v>2024-8</v>
      </c>
    </row>
    <row r="927" spans="1:81" x14ac:dyDescent="0.25">
      <c r="A927" t="s">
        <v>27</v>
      </c>
      <c r="B927" t="s">
        <v>266</v>
      </c>
      <c r="C927" t="s">
        <v>436</v>
      </c>
      <c r="D927">
        <v>92451</v>
      </c>
      <c r="E927">
        <v>8</v>
      </c>
      <c r="P927" t="s">
        <v>10</v>
      </c>
      <c r="Q927" t="s">
        <v>142</v>
      </c>
      <c r="R927">
        <v>10</v>
      </c>
      <c r="AI927" t="s">
        <v>131</v>
      </c>
      <c r="AJ927">
        <v>61837</v>
      </c>
      <c r="AL927">
        <f>COUNTIF(AI:AI,AK927)</f>
        <v>0</v>
      </c>
      <c r="AM927">
        <f>SUMIF(AI:AI,AK927,AJ:AJ)</f>
        <v>0</v>
      </c>
      <c r="BP927" t="s">
        <v>32</v>
      </c>
      <c r="BQ927" t="s">
        <v>411</v>
      </c>
      <c r="BR927">
        <f t="shared" si="132"/>
        <v>7</v>
      </c>
      <c r="BS927">
        <f t="shared" si="126"/>
        <v>2024</v>
      </c>
      <c r="BT927">
        <v>8</v>
      </c>
      <c r="BU927" t="str">
        <f t="shared" si="127"/>
        <v>2024-7</v>
      </c>
      <c r="BV927">
        <f t="shared" si="128"/>
        <v>1</v>
      </c>
      <c r="BX927" t="s">
        <v>27</v>
      </c>
      <c r="BY927" t="s">
        <v>436</v>
      </c>
      <c r="BZ927">
        <v>92451</v>
      </c>
      <c r="CA927">
        <f t="shared" si="129"/>
        <v>8</v>
      </c>
      <c r="CB927">
        <f t="shared" si="130"/>
        <v>2024</v>
      </c>
      <c r="CC927" t="str">
        <f t="shared" si="131"/>
        <v>2024-8</v>
      </c>
    </row>
    <row r="928" spans="1:81" x14ac:dyDescent="0.25">
      <c r="A928" t="s">
        <v>12</v>
      </c>
      <c r="B928" t="s">
        <v>131</v>
      </c>
      <c r="C928" t="s">
        <v>436</v>
      </c>
      <c r="D928">
        <v>61837</v>
      </c>
      <c r="E928">
        <v>9</v>
      </c>
      <c r="P928" t="s">
        <v>33</v>
      </c>
      <c r="Q928" t="s">
        <v>53</v>
      </c>
      <c r="R928">
        <v>5</v>
      </c>
      <c r="AI928" t="s">
        <v>82</v>
      </c>
      <c r="AJ928">
        <v>74075</v>
      </c>
      <c r="AL928">
        <f>COUNTIF(AI:AI,AK928)</f>
        <v>0</v>
      </c>
      <c r="AM928">
        <f>SUMIF(AI:AI,AK928,AJ:AJ)</f>
        <v>0</v>
      </c>
      <c r="BP928" t="s">
        <v>32</v>
      </c>
      <c r="BQ928" t="s">
        <v>412</v>
      </c>
      <c r="BR928">
        <f t="shared" si="132"/>
        <v>7</v>
      </c>
      <c r="BS928">
        <f t="shared" si="126"/>
        <v>2024</v>
      </c>
      <c r="BT928">
        <v>9</v>
      </c>
      <c r="BU928" t="str">
        <f t="shared" si="127"/>
        <v>2024-7</v>
      </c>
      <c r="BV928">
        <f t="shared" si="128"/>
        <v>2</v>
      </c>
      <c r="BX928" t="s">
        <v>12</v>
      </c>
      <c r="BY928" t="s">
        <v>436</v>
      </c>
      <c r="BZ928">
        <v>61837</v>
      </c>
      <c r="CA928">
        <f t="shared" si="129"/>
        <v>8</v>
      </c>
      <c r="CB928">
        <f t="shared" si="130"/>
        <v>2024</v>
      </c>
      <c r="CC928" t="str">
        <f t="shared" si="131"/>
        <v>2024-8</v>
      </c>
    </row>
    <row r="929" spans="1:81" x14ac:dyDescent="0.25">
      <c r="A929" t="s">
        <v>36</v>
      </c>
      <c r="B929" t="s">
        <v>82</v>
      </c>
      <c r="C929" t="s">
        <v>436</v>
      </c>
      <c r="D929">
        <v>74075</v>
      </c>
      <c r="E929">
        <v>6</v>
      </c>
      <c r="P929" t="s">
        <v>32</v>
      </c>
      <c r="Q929" t="s">
        <v>81</v>
      </c>
      <c r="R929">
        <v>9</v>
      </c>
      <c r="AI929" t="s">
        <v>112</v>
      </c>
      <c r="AJ929">
        <v>50305</v>
      </c>
      <c r="AL929">
        <f>COUNTIF(AI:AI,AK929)</f>
        <v>0</v>
      </c>
      <c r="AM929">
        <f>SUMIF(AI:AI,AK929,AJ:AJ)</f>
        <v>0</v>
      </c>
      <c r="BP929" t="s">
        <v>32</v>
      </c>
      <c r="BQ929" t="s">
        <v>414</v>
      </c>
      <c r="BR929">
        <f t="shared" si="132"/>
        <v>7</v>
      </c>
      <c r="BS929">
        <f t="shared" si="126"/>
        <v>2024</v>
      </c>
      <c r="BT929">
        <v>6</v>
      </c>
      <c r="BU929" t="str">
        <f t="shared" si="127"/>
        <v>2024-7</v>
      </c>
      <c r="BV929">
        <f t="shared" si="128"/>
        <v>0</v>
      </c>
      <c r="BX929" t="s">
        <v>36</v>
      </c>
      <c r="BY929" t="s">
        <v>436</v>
      </c>
      <c r="BZ929">
        <v>74075</v>
      </c>
      <c r="CA929">
        <f t="shared" si="129"/>
        <v>8</v>
      </c>
      <c r="CB929">
        <f t="shared" si="130"/>
        <v>2024</v>
      </c>
      <c r="CC929" t="str">
        <f t="shared" si="131"/>
        <v>2024-8</v>
      </c>
    </row>
    <row r="930" spans="1:81" x14ac:dyDescent="0.25">
      <c r="A930" t="s">
        <v>32</v>
      </c>
      <c r="B930" t="s">
        <v>112</v>
      </c>
      <c r="C930" t="s">
        <v>436</v>
      </c>
      <c r="D930">
        <v>50305</v>
      </c>
      <c r="E930">
        <v>5</v>
      </c>
      <c r="P930" t="s">
        <v>5</v>
      </c>
      <c r="Q930" t="s">
        <v>135</v>
      </c>
      <c r="R930">
        <v>8</v>
      </c>
      <c r="AI930" t="s">
        <v>396</v>
      </c>
      <c r="AJ930">
        <v>77450</v>
      </c>
      <c r="AL930">
        <f>COUNTIF(AI:AI,AK930)</f>
        <v>0</v>
      </c>
      <c r="AM930">
        <f>SUMIF(AI:AI,AK930,AJ:AJ)</f>
        <v>0</v>
      </c>
      <c r="BP930" t="s">
        <v>32</v>
      </c>
      <c r="BQ930" t="s">
        <v>415</v>
      </c>
      <c r="BR930">
        <f t="shared" si="132"/>
        <v>7</v>
      </c>
      <c r="BS930">
        <f t="shared" si="126"/>
        <v>2024</v>
      </c>
      <c r="BT930">
        <v>5</v>
      </c>
      <c r="BU930" t="str">
        <f t="shared" si="127"/>
        <v>2024-7</v>
      </c>
      <c r="BV930">
        <f t="shared" si="128"/>
        <v>0</v>
      </c>
      <c r="BX930" t="s">
        <v>32</v>
      </c>
      <c r="BY930" t="s">
        <v>436</v>
      </c>
      <c r="BZ930">
        <v>50305</v>
      </c>
      <c r="CA930">
        <f t="shared" si="129"/>
        <v>8</v>
      </c>
      <c r="CB930">
        <f t="shared" si="130"/>
        <v>2024</v>
      </c>
      <c r="CC930" t="str">
        <f t="shared" si="131"/>
        <v>2024-8</v>
      </c>
    </row>
    <row r="931" spans="1:81" x14ac:dyDescent="0.25">
      <c r="A931" t="s">
        <v>23</v>
      </c>
      <c r="B931" t="s">
        <v>396</v>
      </c>
      <c r="C931" t="s">
        <v>437</v>
      </c>
      <c r="D931">
        <v>77450</v>
      </c>
      <c r="E931">
        <v>6</v>
      </c>
      <c r="P931" t="s">
        <v>8</v>
      </c>
      <c r="Q931" t="s">
        <v>253</v>
      </c>
      <c r="R931">
        <v>6</v>
      </c>
      <c r="AI931" t="s">
        <v>131</v>
      </c>
      <c r="AJ931">
        <v>62127</v>
      </c>
      <c r="AL931">
        <f>COUNTIF(AI:AI,AK931)</f>
        <v>0</v>
      </c>
      <c r="AM931">
        <f>SUMIF(AI:AI,AK931,AJ:AJ)</f>
        <v>0</v>
      </c>
      <c r="BP931" t="s">
        <v>32</v>
      </c>
      <c r="BQ931" t="s">
        <v>423</v>
      </c>
      <c r="BR931">
        <f t="shared" si="132"/>
        <v>7</v>
      </c>
      <c r="BS931">
        <f t="shared" si="126"/>
        <v>2024</v>
      </c>
      <c r="BT931">
        <v>6</v>
      </c>
      <c r="BU931" t="str">
        <f t="shared" si="127"/>
        <v>2024-7</v>
      </c>
      <c r="BV931">
        <f t="shared" si="128"/>
        <v>0</v>
      </c>
      <c r="BX931" t="s">
        <v>23</v>
      </c>
      <c r="BY931" t="s">
        <v>437</v>
      </c>
      <c r="BZ931">
        <v>77450</v>
      </c>
      <c r="CA931">
        <f t="shared" si="129"/>
        <v>8</v>
      </c>
      <c r="CB931">
        <f t="shared" si="130"/>
        <v>2024</v>
      </c>
      <c r="CC931" t="str">
        <f t="shared" si="131"/>
        <v>2024-8</v>
      </c>
    </row>
    <row r="932" spans="1:81" x14ac:dyDescent="0.25">
      <c r="A932" t="s">
        <v>14</v>
      </c>
      <c r="B932" t="s">
        <v>131</v>
      </c>
      <c r="C932" t="s">
        <v>437</v>
      </c>
      <c r="D932">
        <v>62127</v>
      </c>
      <c r="E932">
        <v>0</v>
      </c>
      <c r="P932" t="s">
        <v>27</v>
      </c>
      <c r="Q932" t="s">
        <v>184</v>
      </c>
      <c r="R932">
        <v>4</v>
      </c>
      <c r="AI932" t="s">
        <v>127</v>
      </c>
      <c r="AJ932">
        <v>26618</v>
      </c>
      <c r="AL932">
        <f>COUNTIF(AI:AI,AK932)</f>
        <v>0</v>
      </c>
      <c r="AM932">
        <f>SUMIF(AI:AI,AK932,AJ:AJ)</f>
        <v>0</v>
      </c>
      <c r="BP932" t="s">
        <v>32</v>
      </c>
      <c r="BQ932" t="s">
        <v>424</v>
      </c>
      <c r="BR932">
        <f t="shared" si="132"/>
        <v>7</v>
      </c>
      <c r="BS932">
        <f t="shared" si="126"/>
        <v>2024</v>
      </c>
      <c r="BT932">
        <v>0</v>
      </c>
      <c r="BU932" t="str">
        <f t="shared" si="127"/>
        <v>2024-7</v>
      </c>
      <c r="BV932">
        <f t="shared" si="128"/>
        <v>0</v>
      </c>
      <c r="BX932" t="s">
        <v>14</v>
      </c>
      <c r="BY932" t="s">
        <v>437</v>
      </c>
      <c r="BZ932">
        <v>62127</v>
      </c>
      <c r="CA932">
        <f t="shared" si="129"/>
        <v>8</v>
      </c>
      <c r="CB932">
        <f t="shared" si="130"/>
        <v>2024</v>
      </c>
      <c r="CC932" t="str">
        <f t="shared" si="131"/>
        <v>2024-8</v>
      </c>
    </row>
    <row r="933" spans="1:81" x14ac:dyDescent="0.25">
      <c r="A933" t="s">
        <v>5</v>
      </c>
      <c r="B933" t="s">
        <v>127</v>
      </c>
      <c r="C933" t="s">
        <v>437</v>
      </c>
      <c r="D933">
        <v>26618</v>
      </c>
      <c r="E933">
        <v>3</v>
      </c>
      <c r="P933" t="s">
        <v>36</v>
      </c>
      <c r="Q933" t="s">
        <v>47</v>
      </c>
      <c r="R933">
        <v>6</v>
      </c>
      <c r="AI933" t="s">
        <v>53</v>
      </c>
      <c r="AJ933">
        <v>30346</v>
      </c>
      <c r="AL933">
        <f>COUNTIF(AI:AI,AK933)</f>
        <v>0</v>
      </c>
      <c r="AM933">
        <f>SUMIF(AI:AI,AK933,AJ:AJ)</f>
        <v>0</v>
      </c>
      <c r="BP933" t="s">
        <v>32</v>
      </c>
      <c r="BQ933" t="s">
        <v>427</v>
      </c>
      <c r="BR933">
        <f t="shared" si="132"/>
        <v>7</v>
      </c>
      <c r="BS933">
        <f t="shared" si="126"/>
        <v>2024</v>
      </c>
      <c r="BT933">
        <v>3</v>
      </c>
      <c r="BU933" t="str">
        <f t="shared" si="127"/>
        <v>2024-7</v>
      </c>
      <c r="BV933">
        <f t="shared" si="128"/>
        <v>0</v>
      </c>
      <c r="BX933" t="s">
        <v>5</v>
      </c>
      <c r="BY933" t="s">
        <v>437</v>
      </c>
      <c r="BZ933">
        <v>26618</v>
      </c>
      <c r="CA933">
        <f t="shared" si="129"/>
        <v>8</v>
      </c>
      <c r="CB933">
        <f t="shared" si="130"/>
        <v>2024</v>
      </c>
      <c r="CC933" t="str">
        <f t="shared" si="131"/>
        <v>2024-8</v>
      </c>
    </row>
    <row r="934" spans="1:81" x14ac:dyDescent="0.25">
      <c r="A934" t="s">
        <v>23</v>
      </c>
      <c r="B934" t="s">
        <v>53</v>
      </c>
      <c r="C934" t="s">
        <v>438</v>
      </c>
      <c r="D934">
        <v>30346</v>
      </c>
      <c r="E934">
        <v>7</v>
      </c>
      <c r="P934" t="s">
        <v>14</v>
      </c>
      <c r="Q934" t="s">
        <v>100</v>
      </c>
      <c r="R934">
        <v>5</v>
      </c>
      <c r="AI934" t="s">
        <v>396</v>
      </c>
      <c r="AJ934">
        <v>17106</v>
      </c>
      <c r="AL934">
        <f>COUNTIF(AI:AI,AK934)</f>
        <v>0</v>
      </c>
      <c r="AM934">
        <f>SUMIF(AI:AI,AK934,AJ:AJ)</f>
        <v>0</v>
      </c>
      <c r="BP934" t="s">
        <v>32</v>
      </c>
      <c r="BQ934" t="s">
        <v>428</v>
      </c>
      <c r="BR934">
        <f t="shared" si="132"/>
        <v>7</v>
      </c>
      <c r="BS934">
        <f t="shared" si="126"/>
        <v>2024</v>
      </c>
      <c r="BT934">
        <v>7</v>
      </c>
      <c r="BU934" t="str">
        <f t="shared" si="127"/>
        <v>2024-7</v>
      </c>
      <c r="BV934">
        <f t="shared" si="128"/>
        <v>1</v>
      </c>
      <c r="BX934" t="s">
        <v>23</v>
      </c>
      <c r="BY934" t="s">
        <v>438</v>
      </c>
      <c r="BZ934">
        <v>30346</v>
      </c>
      <c r="CA934">
        <f t="shared" si="129"/>
        <v>8</v>
      </c>
      <c r="CB934">
        <f t="shared" si="130"/>
        <v>2024</v>
      </c>
      <c r="CC934" t="str">
        <f t="shared" si="131"/>
        <v>2024-8</v>
      </c>
    </row>
    <row r="935" spans="1:81" x14ac:dyDescent="0.25">
      <c r="A935" t="s">
        <v>12</v>
      </c>
      <c r="B935" t="s">
        <v>396</v>
      </c>
      <c r="C935" t="s">
        <v>438</v>
      </c>
      <c r="D935">
        <v>17106</v>
      </c>
      <c r="E935">
        <v>6</v>
      </c>
      <c r="P935" t="s">
        <v>27</v>
      </c>
      <c r="Q935" t="s">
        <v>132</v>
      </c>
      <c r="R935">
        <v>5</v>
      </c>
      <c r="AI935" t="s">
        <v>131</v>
      </c>
      <c r="AJ935">
        <v>13036</v>
      </c>
      <c r="AL935">
        <f>COUNTIF(AI:AI,AK935)</f>
        <v>0</v>
      </c>
      <c r="AM935">
        <f>SUMIF(AI:AI,AK935,AJ:AJ)</f>
        <v>0</v>
      </c>
      <c r="BP935" t="s">
        <v>32</v>
      </c>
      <c r="BQ935" t="s">
        <v>436</v>
      </c>
      <c r="BR935">
        <f t="shared" si="132"/>
        <v>8</v>
      </c>
      <c r="BS935">
        <f t="shared" si="126"/>
        <v>2024</v>
      </c>
      <c r="BT935">
        <v>6</v>
      </c>
      <c r="BU935" t="str">
        <f t="shared" si="127"/>
        <v>2024-8</v>
      </c>
      <c r="BV935">
        <f t="shared" si="128"/>
        <v>0</v>
      </c>
      <c r="BX935" t="s">
        <v>12</v>
      </c>
      <c r="BY935" t="s">
        <v>438</v>
      </c>
      <c r="BZ935">
        <v>17106</v>
      </c>
      <c r="CA935">
        <f t="shared" si="129"/>
        <v>8</v>
      </c>
      <c r="CB935">
        <f t="shared" si="130"/>
        <v>2024</v>
      </c>
      <c r="CC935" t="str">
        <f t="shared" si="131"/>
        <v>2024-8</v>
      </c>
    </row>
    <row r="936" spans="1:81" x14ac:dyDescent="0.25">
      <c r="A936" t="s">
        <v>8</v>
      </c>
      <c r="B936" t="s">
        <v>131</v>
      </c>
      <c r="C936" t="s">
        <v>438</v>
      </c>
      <c r="D936">
        <v>13036</v>
      </c>
      <c r="E936">
        <v>7</v>
      </c>
      <c r="P936" t="s">
        <v>27</v>
      </c>
      <c r="Q936" t="s">
        <v>124</v>
      </c>
      <c r="R936">
        <v>7</v>
      </c>
      <c r="AI936" t="s">
        <v>396</v>
      </c>
      <c r="AJ936">
        <v>23611</v>
      </c>
      <c r="AL936">
        <f>COUNTIF(AI:AI,AK936)</f>
        <v>0</v>
      </c>
      <c r="AM936">
        <f>SUMIF(AI:AI,AK936,AJ:AJ)</f>
        <v>0</v>
      </c>
      <c r="BP936" t="s">
        <v>32</v>
      </c>
      <c r="BQ936" t="s">
        <v>439</v>
      </c>
      <c r="BR936">
        <f t="shared" si="132"/>
        <v>8</v>
      </c>
      <c r="BS936">
        <f t="shared" si="126"/>
        <v>2024</v>
      </c>
      <c r="BT936">
        <v>7</v>
      </c>
      <c r="BU936" t="str">
        <f t="shared" si="127"/>
        <v>2024-8</v>
      </c>
      <c r="BV936">
        <f t="shared" si="128"/>
        <v>1</v>
      </c>
      <c r="BX936" t="s">
        <v>8</v>
      </c>
      <c r="BY936" t="s">
        <v>438</v>
      </c>
      <c r="BZ936">
        <v>13036</v>
      </c>
      <c r="CA936">
        <f t="shared" si="129"/>
        <v>8</v>
      </c>
      <c r="CB936">
        <f t="shared" si="130"/>
        <v>2024</v>
      </c>
      <c r="CC936" t="str">
        <f t="shared" si="131"/>
        <v>2024-8</v>
      </c>
    </row>
    <row r="937" spans="1:81" x14ac:dyDescent="0.25">
      <c r="A937" t="s">
        <v>12</v>
      </c>
      <c r="B937" t="s">
        <v>396</v>
      </c>
      <c r="C937" t="s">
        <v>438</v>
      </c>
      <c r="D937">
        <v>23611</v>
      </c>
      <c r="E937">
        <v>6</v>
      </c>
      <c r="P937" t="s">
        <v>23</v>
      </c>
      <c r="Q937" t="s">
        <v>334</v>
      </c>
      <c r="R937">
        <v>6</v>
      </c>
      <c r="AI937" t="s">
        <v>197</v>
      </c>
      <c r="AJ937">
        <v>72632</v>
      </c>
      <c r="AL937">
        <f>COUNTIF(AI:AI,AK937)</f>
        <v>0</v>
      </c>
      <c r="AM937">
        <f>SUMIF(AI:AI,AK937,AJ:AJ)</f>
        <v>0</v>
      </c>
      <c r="BP937" t="s">
        <v>32</v>
      </c>
      <c r="BQ937" t="s">
        <v>441</v>
      </c>
      <c r="BR937">
        <f t="shared" si="132"/>
        <v>8</v>
      </c>
      <c r="BS937">
        <f t="shared" si="126"/>
        <v>2024</v>
      </c>
      <c r="BT937">
        <v>6</v>
      </c>
      <c r="BU937" t="str">
        <f t="shared" si="127"/>
        <v>2024-8</v>
      </c>
      <c r="BV937">
        <f t="shared" si="128"/>
        <v>0</v>
      </c>
      <c r="BX937" t="s">
        <v>12</v>
      </c>
      <c r="BY937" t="s">
        <v>438</v>
      </c>
      <c r="BZ937">
        <v>23611</v>
      </c>
      <c r="CA937">
        <f t="shared" si="129"/>
        <v>8</v>
      </c>
      <c r="CB937">
        <f t="shared" si="130"/>
        <v>2024</v>
      </c>
      <c r="CC937" t="str">
        <f t="shared" si="131"/>
        <v>2024-8</v>
      </c>
    </row>
    <row r="938" spans="1:81" x14ac:dyDescent="0.25">
      <c r="A938" t="s">
        <v>20</v>
      </c>
      <c r="B938" t="s">
        <v>197</v>
      </c>
      <c r="C938" t="s">
        <v>438</v>
      </c>
      <c r="D938">
        <v>72632</v>
      </c>
      <c r="E938">
        <v>8</v>
      </c>
      <c r="P938" t="s">
        <v>17</v>
      </c>
      <c r="Q938" t="s">
        <v>173</v>
      </c>
      <c r="R938">
        <v>9</v>
      </c>
      <c r="AI938" t="s">
        <v>336</v>
      </c>
      <c r="AJ938">
        <v>82675</v>
      </c>
      <c r="AL938">
        <f>COUNTIF(AI:AI,AK938)</f>
        <v>0</v>
      </c>
      <c r="AM938">
        <f>SUMIF(AI:AI,AK938,AJ:AJ)</f>
        <v>0</v>
      </c>
      <c r="BP938" t="s">
        <v>32</v>
      </c>
      <c r="BQ938" t="s">
        <v>442</v>
      </c>
      <c r="BR938">
        <f t="shared" si="132"/>
        <v>8</v>
      </c>
      <c r="BS938">
        <f t="shared" si="126"/>
        <v>2024</v>
      </c>
      <c r="BT938">
        <v>8</v>
      </c>
      <c r="BU938" t="str">
        <f t="shared" si="127"/>
        <v>2024-8</v>
      </c>
      <c r="BV938">
        <f t="shared" si="128"/>
        <v>1</v>
      </c>
      <c r="BX938" t="s">
        <v>20</v>
      </c>
      <c r="BY938" t="s">
        <v>438</v>
      </c>
      <c r="BZ938">
        <v>72632</v>
      </c>
      <c r="CA938">
        <f t="shared" si="129"/>
        <v>8</v>
      </c>
      <c r="CB938">
        <f t="shared" si="130"/>
        <v>2024</v>
      </c>
      <c r="CC938" t="str">
        <f t="shared" si="131"/>
        <v>2024-8</v>
      </c>
    </row>
    <row r="939" spans="1:81" x14ac:dyDescent="0.25">
      <c r="A939" t="s">
        <v>14</v>
      </c>
      <c r="B939" t="s">
        <v>336</v>
      </c>
      <c r="C939" t="s">
        <v>438</v>
      </c>
      <c r="D939">
        <v>82675</v>
      </c>
      <c r="E939">
        <v>4</v>
      </c>
      <c r="P939" t="s">
        <v>20</v>
      </c>
      <c r="Q939" t="s">
        <v>26</v>
      </c>
      <c r="R939">
        <v>9</v>
      </c>
      <c r="AI939" t="s">
        <v>81</v>
      </c>
      <c r="AJ939">
        <v>22578</v>
      </c>
      <c r="AL939">
        <f>COUNTIF(AI:AI,AK939)</f>
        <v>0</v>
      </c>
      <c r="AM939">
        <f>SUMIF(AI:AI,AK939,AJ:AJ)</f>
        <v>0</v>
      </c>
      <c r="BP939" t="s">
        <v>20</v>
      </c>
      <c r="BQ939" t="s">
        <v>16</v>
      </c>
      <c r="BR939">
        <f t="shared" si="132"/>
        <v>9</v>
      </c>
      <c r="BS939">
        <f t="shared" si="126"/>
        <v>2023</v>
      </c>
      <c r="BT939">
        <v>4</v>
      </c>
      <c r="BU939" t="str">
        <f t="shared" si="127"/>
        <v>2023-9</v>
      </c>
      <c r="BV939">
        <f t="shared" si="128"/>
        <v>0</v>
      </c>
      <c r="BX939" t="s">
        <v>14</v>
      </c>
      <c r="BY939" t="s">
        <v>438</v>
      </c>
      <c r="BZ939">
        <v>82675</v>
      </c>
      <c r="CA939">
        <f t="shared" si="129"/>
        <v>8</v>
      </c>
      <c r="CB939">
        <f t="shared" si="130"/>
        <v>2024</v>
      </c>
      <c r="CC939" t="str">
        <f t="shared" si="131"/>
        <v>2024-8</v>
      </c>
    </row>
    <row r="940" spans="1:81" x14ac:dyDescent="0.25">
      <c r="A940" t="s">
        <v>23</v>
      </c>
      <c r="B940" t="s">
        <v>81</v>
      </c>
      <c r="C940" t="s">
        <v>438</v>
      </c>
      <c r="D940">
        <v>22578</v>
      </c>
      <c r="E940">
        <v>8</v>
      </c>
      <c r="P940" t="s">
        <v>23</v>
      </c>
      <c r="Q940" t="s">
        <v>445</v>
      </c>
      <c r="R940">
        <v>9</v>
      </c>
      <c r="AI940" t="s">
        <v>92</v>
      </c>
      <c r="AJ940">
        <v>45508</v>
      </c>
      <c r="AL940">
        <f>COUNTIF(AI:AI,AK940)</f>
        <v>0</v>
      </c>
      <c r="AM940">
        <f>SUMIF(AI:AI,AK940,AJ:AJ)</f>
        <v>0</v>
      </c>
      <c r="BP940" t="s">
        <v>20</v>
      </c>
      <c r="BQ940" t="s">
        <v>117</v>
      </c>
      <c r="BR940">
        <f t="shared" si="132"/>
        <v>10</v>
      </c>
      <c r="BS940">
        <f t="shared" si="126"/>
        <v>2023</v>
      </c>
      <c r="BT940">
        <v>8</v>
      </c>
      <c r="BU940" t="str">
        <f t="shared" si="127"/>
        <v>2023-10</v>
      </c>
      <c r="BV940">
        <f t="shared" si="128"/>
        <v>1</v>
      </c>
      <c r="BX940" t="s">
        <v>23</v>
      </c>
      <c r="BY940" t="s">
        <v>438</v>
      </c>
      <c r="BZ940">
        <v>22578</v>
      </c>
      <c r="CA940">
        <f t="shared" si="129"/>
        <v>8</v>
      </c>
      <c r="CB940">
        <f t="shared" si="130"/>
        <v>2024</v>
      </c>
      <c r="CC940" t="str">
        <f t="shared" si="131"/>
        <v>2024-8</v>
      </c>
    </row>
    <row r="941" spans="1:81" x14ac:dyDescent="0.25">
      <c r="A941" t="s">
        <v>12</v>
      </c>
      <c r="B941" t="s">
        <v>92</v>
      </c>
      <c r="C941" t="s">
        <v>438</v>
      </c>
      <c r="D941">
        <v>45508</v>
      </c>
      <c r="E941">
        <v>4</v>
      </c>
      <c r="P941" t="s">
        <v>8</v>
      </c>
      <c r="Q941" t="s">
        <v>319</v>
      </c>
      <c r="R941">
        <v>6</v>
      </c>
      <c r="AI941" t="s">
        <v>61</v>
      </c>
      <c r="AJ941">
        <v>55927</v>
      </c>
      <c r="AL941">
        <f>COUNTIF(AI:AI,AK941)</f>
        <v>0</v>
      </c>
      <c r="AM941">
        <f>SUMIF(AI:AI,AK941,AJ:AJ)</f>
        <v>0</v>
      </c>
      <c r="BP941" t="s">
        <v>20</v>
      </c>
      <c r="BQ941" t="s">
        <v>128</v>
      </c>
      <c r="BR941">
        <f t="shared" si="132"/>
        <v>10</v>
      </c>
      <c r="BS941">
        <f t="shared" si="126"/>
        <v>2023</v>
      </c>
      <c r="BT941">
        <v>4</v>
      </c>
      <c r="BU941" t="str">
        <f t="shared" si="127"/>
        <v>2023-10</v>
      </c>
      <c r="BV941">
        <f t="shared" si="128"/>
        <v>0</v>
      </c>
      <c r="BX941" t="s">
        <v>12</v>
      </c>
      <c r="BY941" t="s">
        <v>438</v>
      </c>
      <c r="BZ941">
        <v>45508</v>
      </c>
      <c r="CA941">
        <f t="shared" si="129"/>
        <v>8</v>
      </c>
      <c r="CB941">
        <f t="shared" si="130"/>
        <v>2024</v>
      </c>
      <c r="CC941" t="str">
        <f t="shared" si="131"/>
        <v>2024-8</v>
      </c>
    </row>
    <row r="942" spans="1:81" x14ac:dyDescent="0.25">
      <c r="A942" t="s">
        <v>5</v>
      </c>
      <c r="B942" t="s">
        <v>61</v>
      </c>
      <c r="C942" t="s">
        <v>438</v>
      </c>
      <c r="D942">
        <v>55927</v>
      </c>
      <c r="E942">
        <v>4</v>
      </c>
      <c r="P942" t="s">
        <v>33</v>
      </c>
      <c r="Q942" t="s">
        <v>206</v>
      </c>
      <c r="R942">
        <v>7</v>
      </c>
      <c r="AI942" t="s">
        <v>242</v>
      </c>
      <c r="AJ942">
        <v>84158</v>
      </c>
      <c r="AL942">
        <f>COUNTIF(AI:AI,AK942)</f>
        <v>0</v>
      </c>
      <c r="AM942">
        <f>SUMIF(AI:AI,AK942,AJ:AJ)</f>
        <v>0</v>
      </c>
      <c r="BP942" t="s">
        <v>20</v>
      </c>
      <c r="BQ942" t="s">
        <v>130</v>
      </c>
      <c r="BR942">
        <f t="shared" si="132"/>
        <v>10</v>
      </c>
      <c r="BS942">
        <f t="shared" si="126"/>
        <v>2023</v>
      </c>
      <c r="BT942">
        <v>4</v>
      </c>
      <c r="BU942" t="str">
        <f t="shared" si="127"/>
        <v>2023-10</v>
      </c>
      <c r="BV942">
        <f t="shared" si="128"/>
        <v>0</v>
      </c>
      <c r="BX942" t="s">
        <v>5</v>
      </c>
      <c r="BY942" t="s">
        <v>438</v>
      </c>
      <c r="BZ942">
        <v>55927</v>
      </c>
      <c r="CA942">
        <f t="shared" si="129"/>
        <v>8</v>
      </c>
      <c r="CB942">
        <f t="shared" si="130"/>
        <v>2024</v>
      </c>
      <c r="CC942" t="str">
        <f t="shared" si="131"/>
        <v>2024-8</v>
      </c>
    </row>
    <row r="943" spans="1:81" x14ac:dyDescent="0.25">
      <c r="A943" t="s">
        <v>20</v>
      </c>
      <c r="B943" t="s">
        <v>242</v>
      </c>
      <c r="C943" t="s">
        <v>438</v>
      </c>
      <c r="D943">
        <v>84158</v>
      </c>
      <c r="E943">
        <v>5</v>
      </c>
      <c r="P943" t="s">
        <v>8</v>
      </c>
      <c r="Q943" t="s">
        <v>22</v>
      </c>
      <c r="R943">
        <v>3</v>
      </c>
      <c r="AI943" t="s">
        <v>67</v>
      </c>
      <c r="AJ943">
        <v>62653</v>
      </c>
      <c r="AL943">
        <f>COUNTIF(AI:AI,AK943)</f>
        <v>0</v>
      </c>
      <c r="AM943">
        <f>SUMIF(AI:AI,AK943,AJ:AJ)</f>
        <v>0</v>
      </c>
      <c r="BP943" t="s">
        <v>20</v>
      </c>
      <c r="BQ943" t="s">
        <v>130</v>
      </c>
      <c r="BR943">
        <f t="shared" si="132"/>
        <v>10</v>
      </c>
      <c r="BS943">
        <f t="shared" si="126"/>
        <v>2023</v>
      </c>
      <c r="BT943">
        <v>5</v>
      </c>
      <c r="BU943" t="str">
        <f t="shared" si="127"/>
        <v>2023-10</v>
      </c>
      <c r="BV943">
        <f t="shared" si="128"/>
        <v>0</v>
      </c>
      <c r="BX943" t="s">
        <v>20</v>
      </c>
      <c r="BY943" t="s">
        <v>438</v>
      </c>
      <c r="BZ943">
        <v>84158</v>
      </c>
      <c r="CA943">
        <f t="shared" si="129"/>
        <v>8</v>
      </c>
      <c r="CB943">
        <f t="shared" si="130"/>
        <v>2024</v>
      </c>
      <c r="CC943" t="str">
        <f t="shared" si="131"/>
        <v>2024-8</v>
      </c>
    </row>
    <row r="944" spans="1:81" x14ac:dyDescent="0.25">
      <c r="A944" t="s">
        <v>10</v>
      </c>
      <c r="B944" t="s">
        <v>67</v>
      </c>
      <c r="C944" t="s">
        <v>438</v>
      </c>
      <c r="D944">
        <v>62653</v>
      </c>
      <c r="E944">
        <v>9</v>
      </c>
      <c r="P944" t="s">
        <v>10</v>
      </c>
      <c r="Q944" t="s">
        <v>61</v>
      </c>
      <c r="R944">
        <v>7</v>
      </c>
      <c r="AI944" t="s">
        <v>127</v>
      </c>
      <c r="AJ944">
        <v>66905</v>
      </c>
      <c r="AL944">
        <f>COUNTIF(AI:AI,AK944)</f>
        <v>0</v>
      </c>
      <c r="AM944">
        <f>SUMIF(AI:AI,AK944,AJ:AJ)</f>
        <v>0</v>
      </c>
      <c r="BP944" t="s">
        <v>20</v>
      </c>
      <c r="BQ944" t="s">
        <v>137</v>
      </c>
      <c r="BR944">
        <f t="shared" si="132"/>
        <v>10</v>
      </c>
      <c r="BS944">
        <f t="shared" si="126"/>
        <v>2023</v>
      </c>
      <c r="BT944">
        <v>9</v>
      </c>
      <c r="BU944" t="str">
        <f t="shared" si="127"/>
        <v>2023-10</v>
      </c>
      <c r="BV944">
        <f t="shared" si="128"/>
        <v>2</v>
      </c>
      <c r="BX944" t="s">
        <v>10</v>
      </c>
      <c r="BY944" t="s">
        <v>438</v>
      </c>
      <c r="BZ944">
        <v>62653</v>
      </c>
      <c r="CA944">
        <f t="shared" si="129"/>
        <v>8</v>
      </c>
      <c r="CB944">
        <f t="shared" si="130"/>
        <v>2024</v>
      </c>
      <c r="CC944" t="str">
        <f t="shared" si="131"/>
        <v>2024-8</v>
      </c>
    </row>
    <row r="945" spans="1:81" x14ac:dyDescent="0.25">
      <c r="A945" t="s">
        <v>32</v>
      </c>
      <c r="B945" t="s">
        <v>127</v>
      </c>
      <c r="C945" t="s">
        <v>439</v>
      </c>
      <c r="D945">
        <v>66905</v>
      </c>
      <c r="E945">
        <v>10</v>
      </c>
      <c r="P945" t="s">
        <v>10</v>
      </c>
      <c r="Q945" t="s">
        <v>133</v>
      </c>
      <c r="R945">
        <v>3</v>
      </c>
      <c r="AI945" t="s">
        <v>171</v>
      </c>
      <c r="AJ945">
        <v>62499</v>
      </c>
      <c r="AL945">
        <f>COUNTIF(AI:AI,AK945)</f>
        <v>0</v>
      </c>
      <c r="AM945">
        <f>SUMIF(AI:AI,AK945,AJ:AJ)</f>
        <v>0</v>
      </c>
      <c r="BP945" t="s">
        <v>20</v>
      </c>
      <c r="BQ945" t="s">
        <v>140</v>
      </c>
      <c r="BR945">
        <f t="shared" si="132"/>
        <v>10</v>
      </c>
      <c r="BS945">
        <f t="shared" si="126"/>
        <v>2023</v>
      </c>
      <c r="BT945">
        <v>10</v>
      </c>
      <c r="BU945" t="str">
        <f t="shared" si="127"/>
        <v>2023-10</v>
      </c>
      <c r="BV945">
        <f t="shared" si="128"/>
        <v>2</v>
      </c>
      <c r="BX945" t="s">
        <v>32</v>
      </c>
      <c r="BY945" t="s">
        <v>439</v>
      </c>
      <c r="BZ945">
        <v>66905</v>
      </c>
      <c r="CA945">
        <f t="shared" si="129"/>
        <v>8</v>
      </c>
      <c r="CB945">
        <f t="shared" si="130"/>
        <v>2024</v>
      </c>
      <c r="CC945" t="str">
        <f t="shared" si="131"/>
        <v>2024-8</v>
      </c>
    </row>
    <row r="946" spans="1:81" x14ac:dyDescent="0.25">
      <c r="A946" t="s">
        <v>14</v>
      </c>
      <c r="B946" t="s">
        <v>171</v>
      </c>
      <c r="C946" t="s">
        <v>439</v>
      </c>
      <c r="D946">
        <v>62499</v>
      </c>
      <c r="E946">
        <v>7</v>
      </c>
      <c r="P946" t="s">
        <v>33</v>
      </c>
      <c r="Q946" t="s">
        <v>180</v>
      </c>
      <c r="R946">
        <v>3</v>
      </c>
      <c r="AI946" t="s">
        <v>195</v>
      </c>
      <c r="AJ946">
        <v>31868</v>
      </c>
      <c r="AL946">
        <f>COUNTIF(AI:AI,AK946)</f>
        <v>0</v>
      </c>
      <c r="AM946">
        <f>SUMIF(AI:AI,AK946,AJ:AJ)</f>
        <v>0</v>
      </c>
      <c r="BP946" t="s">
        <v>20</v>
      </c>
      <c r="BQ946" t="s">
        <v>140</v>
      </c>
      <c r="BR946">
        <f t="shared" si="132"/>
        <v>10</v>
      </c>
      <c r="BS946">
        <f t="shared" si="126"/>
        <v>2023</v>
      </c>
      <c r="BT946">
        <v>7</v>
      </c>
      <c r="BU946" t="str">
        <f t="shared" si="127"/>
        <v>2023-10</v>
      </c>
      <c r="BV946">
        <f t="shared" si="128"/>
        <v>1</v>
      </c>
      <c r="BX946" t="s">
        <v>14</v>
      </c>
      <c r="BY946" t="s">
        <v>439</v>
      </c>
      <c r="BZ946">
        <v>62499</v>
      </c>
      <c r="CA946">
        <f t="shared" si="129"/>
        <v>8</v>
      </c>
      <c r="CB946">
        <f t="shared" si="130"/>
        <v>2024</v>
      </c>
      <c r="CC946" t="str">
        <f t="shared" si="131"/>
        <v>2024-8</v>
      </c>
    </row>
    <row r="947" spans="1:81" x14ac:dyDescent="0.25">
      <c r="A947" t="s">
        <v>5</v>
      </c>
      <c r="B947" t="s">
        <v>195</v>
      </c>
      <c r="C947" t="s">
        <v>439</v>
      </c>
      <c r="D947">
        <v>31868</v>
      </c>
      <c r="E947">
        <v>6</v>
      </c>
      <c r="P947" t="s">
        <v>36</v>
      </c>
      <c r="Q947" t="s">
        <v>196</v>
      </c>
      <c r="R947">
        <v>7</v>
      </c>
      <c r="AI947" t="s">
        <v>296</v>
      </c>
      <c r="AJ947">
        <v>87705</v>
      </c>
      <c r="AL947">
        <f>COUNTIF(AI:AI,AK947)</f>
        <v>0</v>
      </c>
      <c r="AM947">
        <f>SUMIF(AI:AI,AK947,AJ:AJ)</f>
        <v>0</v>
      </c>
      <c r="BP947" t="s">
        <v>20</v>
      </c>
      <c r="BQ947" t="s">
        <v>141</v>
      </c>
      <c r="BR947">
        <f t="shared" si="132"/>
        <v>10</v>
      </c>
      <c r="BS947">
        <f t="shared" si="126"/>
        <v>2023</v>
      </c>
      <c r="BT947">
        <v>6</v>
      </c>
      <c r="BU947" t="str">
        <f t="shared" si="127"/>
        <v>2023-10</v>
      </c>
      <c r="BV947">
        <f t="shared" si="128"/>
        <v>0</v>
      </c>
      <c r="BX947" t="s">
        <v>5</v>
      </c>
      <c r="BY947" t="s">
        <v>439</v>
      </c>
      <c r="BZ947">
        <v>31868</v>
      </c>
      <c r="CA947">
        <f t="shared" si="129"/>
        <v>8</v>
      </c>
      <c r="CB947">
        <f t="shared" si="130"/>
        <v>2024</v>
      </c>
      <c r="CC947" t="str">
        <f t="shared" si="131"/>
        <v>2024-8</v>
      </c>
    </row>
    <row r="948" spans="1:81" x14ac:dyDescent="0.25">
      <c r="A948" t="s">
        <v>8</v>
      </c>
      <c r="B948" t="s">
        <v>296</v>
      </c>
      <c r="C948" t="s">
        <v>440</v>
      </c>
      <c r="D948">
        <v>87705</v>
      </c>
      <c r="E948">
        <v>6</v>
      </c>
      <c r="P948" t="s">
        <v>33</v>
      </c>
      <c r="Q948" t="s">
        <v>29</v>
      </c>
      <c r="R948">
        <v>6</v>
      </c>
      <c r="AI948" t="s">
        <v>327</v>
      </c>
      <c r="AJ948">
        <v>27024</v>
      </c>
      <c r="AL948">
        <f>COUNTIF(AI:AI,AK948)</f>
        <v>0</v>
      </c>
      <c r="AM948">
        <f>SUMIF(AI:AI,AK948,AJ:AJ)</f>
        <v>0</v>
      </c>
      <c r="BP948" t="s">
        <v>20</v>
      </c>
      <c r="BQ948" t="s">
        <v>176</v>
      </c>
      <c r="BR948">
        <f t="shared" si="132"/>
        <v>11</v>
      </c>
      <c r="BS948">
        <f t="shared" si="126"/>
        <v>2023</v>
      </c>
      <c r="BT948">
        <v>6</v>
      </c>
      <c r="BU948" t="str">
        <f t="shared" si="127"/>
        <v>2023-11</v>
      </c>
      <c r="BV948">
        <f t="shared" si="128"/>
        <v>0</v>
      </c>
      <c r="BX948" t="s">
        <v>8</v>
      </c>
      <c r="BY948" t="s">
        <v>440</v>
      </c>
      <c r="BZ948">
        <v>87705</v>
      </c>
      <c r="CA948">
        <f t="shared" si="129"/>
        <v>8</v>
      </c>
      <c r="CB948">
        <f t="shared" si="130"/>
        <v>2024</v>
      </c>
      <c r="CC948" t="str">
        <f t="shared" si="131"/>
        <v>2024-8</v>
      </c>
    </row>
    <row r="949" spans="1:81" x14ac:dyDescent="0.25">
      <c r="A949" t="s">
        <v>8</v>
      </c>
      <c r="B949" t="s">
        <v>327</v>
      </c>
      <c r="C949" t="s">
        <v>440</v>
      </c>
      <c r="D949">
        <v>27024</v>
      </c>
      <c r="E949">
        <v>9</v>
      </c>
      <c r="P949" t="s">
        <v>12</v>
      </c>
      <c r="Q949" t="s">
        <v>352</v>
      </c>
      <c r="R949">
        <v>7</v>
      </c>
      <c r="AI949" t="s">
        <v>39</v>
      </c>
      <c r="AJ949">
        <v>51330</v>
      </c>
      <c r="AL949">
        <f>COUNTIF(AI:AI,AK949)</f>
        <v>0</v>
      </c>
      <c r="AM949">
        <f>SUMIF(AI:AI,AK949,AJ:AJ)</f>
        <v>0</v>
      </c>
      <c r="BP949" t="s">
        <v>20</v>
      </c>
      <c r="BQ949" t="s">
        <v>192</v>
      </c>
      <c r="BR949">
        <f t="shared" si="132"/>
        <v>11</v>
      </c>
      <c r="BS949">
        <f t="shared" si="126"/>
        <v>2023</v>
      </c>
      <c r="BT949">
        <v>9</v>
      </c>
      <c r="BU949" t="str">
        <f t="shared" si="127"/>
        <v>2023-11</v>
      </c>
      <c r="BV949">
        <f t="shared" si="128"/>
        <v>2</v>
      </c>
      <c r="BX949" t="s">
        <v>8</v>
      </c>
      <c r="BY949" t="s">
        <v>440</v>
      </c>
      <c r="BZ949">
        <v>27024</v>
      </c>
      <c r="CA949">
        <f t="shared" si="129"/>
        <v>8</v>
      </c>
      <c r="CB949">
        <f t="shared" si="130"/>
        <v>2024</v>
      </c>
      <c r="CC949" t="str">
        <f t="shared" si="131"/>
        <v>2024-8</v>
      </c>
    </row>
    <row r="950" spans="1:81" x14ac:dyDescent="0.25">
      <c r="A950" t="s">
        <v>17</v>
      </c>
      <c r="B950" t="s">
        <v>39</v>
      </c>
      <c r="C950" t="s">
        <v>440</v>
      </c>
      <c r="D950">
        <v>51330</v>
      </c>
      <c r="E950">
        <v>8</v>
      </c>
      <c r="P950" t="s">
        <v>5</v>
      </c>
      <c r="Q950" t="s">
        <v>214</v>
      </c>
      <c r="R950">
        <v>3</v>
      </c>
      <c r="AI950" t="s">
        <v>65</v>
      </c>
      <c r="AJ950">
        <v>24178</v>
      </c>
      <c r="AL950">
        <f>COUNTIF(AI:AI,AK950)</f>
        <v>0</v>
      </c>
      <c r="AM950">
        <f>SUMIF(AI:AI,AK950,AJ:AJ)</f>
        <v>0</v>
      </c>
      <c r="BP950" t="s">
        <v>20</v>
      </c>
      <c r="BQ950" t="s">
        <v>205</v>
      </c>
      <c r="BR950">
        <f t="shared" si="132"/>
        <v>11</v>
      </c>
      <c r="BS950">
        <f t="shared" si="126"/>
        <v>2023</v>
      </c>
      <c r="BT950">
        <v>8</v>
      </c>
      <c r="BU950" t="str">
        <f t="shared" si="127"/>
        <v>2023-11</v>
      </c>
      <c r="BV950">
        <f t="shared" si="128"/>
        <v>1</v>
      </c>
      <c r="BX950" t="s">
        <v>17</v>
      </c>
      <c r="BY950" t="s">
        <v>440</v>
      </c>
      <c r="BZ950">
        <v>51330</v>
      </c>
      <c r="CA950">
        <f t="shared" si="129"/>
        <v>8</v>
      </c>
      <c r="CB950">
        <f t="shared" si="130"/>
        <v>2024</v>
      </c>
      <c r="CC950" t="str">
        <f t="shared" si="131"/>
        <v>2024-8</v>
      </c>
    </row>
    <row r="951" spans="1:81" x14ac:dyDescent="0.25">
      <c r="A951" t="s">
        <v>33</v>
      </c>
      <c r="B951" t="s">
        <v>65</v>
      </c>
      <c r="C951" t="s">
        <v>440</v>
      </c>
      <c r="D951">
        <v>24178</v>
      </c>
      <c r="E951">
        <v>8</v>
      </c>
      <c r="P951" t="s">
        <v>8</v>
      </c>
      <c r="Q951" t="s">
        <v>325</v>
      </c>
      <c r="R951">
        <v>8</v>
      </c>
      <c r="AI951" t="s">
        <v>118</v>
      </c>
      <c r="AJ951">
        <v>33027</v>
      </c>
      <c r="AL951">
        <f>COUNTIF(AI:AI,AK951)</f>
        <v>0</v>
      </c>
      <c r="AM951">
        <f>SUMIF(AI:AI,AK951,AJ:AJ)</f>
        <v>0</v>
      </c>
      <c r="BP951" t="s">
        <v>20</v>
      </c>
      <c r="BQ951" t="s">
        <v>210</v>
      </c>
      <c r="BR951">
        <f t="shared" si="132"/>
        <v>12</v>
      </c>
      <c r="BS951">
        <f t="shared" si="126"/>
        <v>2023</v>
      </c>
      <c r="BT951">
        <v>8</v>
      </c>
      <c r="BU951" t="str">
        <f t="shared" si="127"/>
        <v>2023-12</v>
      </c>
      <c r="BV951">
        <f t="shared" si="128"/>
        <v>1</v>
      </c>
      <c r="BX951" t="s">
        <v>33</v>
      </c>
      <c r="BY951" t="s">
        <v>440</v>
      </c>
      <c r="BZ951">
        <v>24178</v>
      </c>
      <c r="CA951">
        <f t="shared" si="129"/>
        <v>8</v>
      </c>
      <c r="CB951">
        <f t="shared" si="130"/>
        <v>2024</v>
      </c>
      <c r="CC951" t="str">
        <f t="shared" si="131"/>
        <v>2024-8</v>
      </c>
    </row>
    <row r="952" spans="1:81" x14ac:dyDescent="0.25">
      <c r="A952" t="s">
        <v>17</v>
      </c>
      <c r="B952" t="s">
        <v>118</v>
      </c>
      <c r="C952" t="s">
        <v>441</v>
      </c>
      <c r="D952">
        <v>33027</v>
      </c>
      <c r="E952">
        <v>6</v>
      </c>
      <c r="P952" t="s">
        <v>36</v>
      </c>
      <c r="Q952" t="s">
        <v>255</v>
      </c>
      <c r="R952">
        <v>7</v>
      </c>
      <c r="AI952" t="s">
        <v>212</v>
      </c>
      <c r="AJ952">
        <v>43227</v>
      </c>
      <c r="AL952">
        <f>COUNTIF(AI:AI,AK952)</f>
        <v>0</v>
      </c>
      <c r="AM952">
        <f>SUMIF(AI:AI,AK952,AJ:AJ)</f>
        <v>0</v>
      </c>
      <c r="BP952" t="s">
        <v>20</v>
      </c>
      <c r="BQ952" t="s">
        <v>234</v>
      </c>
      <c r="BR952">
        <f t="shared" si="132"/>
        <v>12</v>
      </c>
      <c r="BS952">
        <f t="shared" si="126"/>
        <v>2023</v>
      </c>
      <c r="BT952">
        <v>6</v>
      </c>
      <c r="BU952" t="str">
        <f t="shared" si="127"/>
        <v>2023-12</v>
      </c>
      <c r="BV952">
        <f t="shared" si="128"/>
        <v>0</v>
      </c>
      <c r="BX952" t="s">
        <v>17</v>
      </c>
      <c r="BY952" t="s">
        <v>441</v>
      </c>
      <c r="BZ952">
        <v>33027</v>
      </c>
      <c r="CA952">
        <f t="shared" si="129"/>
        <v>8</v>
      </c>
      <c r="CB952">
        <f t="shared" si="130"/>
        <v>2024</v>
      </c>
      <c r="CC952" t="str">
        <f t="shared" si="131"/>
        <v>2024-8</v>
      </c>
    </row>
    <row r="953" spans="1:81" x14ac:dyDescent="0.25">
      <c r="A953" t="s">
        <v>32</v>
      </c>
      <c r="B953" t="s">
        <v>212</v>
      </c>
      <c r="C953" t="s">
        <v>441</v>
      </c>
      <c r="D953">
        <v>43227</v>
      </c>
      <c r="E953">
        <v>9</v>
      </c>
      <c r="P953" t="s">
        <v>27</v>
      </c>
      <c r="Q953" t="s">
        <v>93</v>
      </c>
      <c r="R953">
        <v>8</v>
      </c>
      <c r="AI953" t="s">
        <v>85</v>
      </c>
      <c r="AJ953">
        <v>67217</v>
      </c>
      <c r="AL953">
        <f>COUNTIF(AI:AI,AK953)</f>
        <v>0</v>
      </c>
      <c r="AM953">
        <f>SUMIF(AI:AI,AK953,AJ:AJ)</f>
        <v>0</v>
      </c>
      <c r="BP953" t="s">
        <v>20</v>
      </c>
      <c r="BQ953" t="s">
        <v>235</v>
      </c>
      <c r="BR953">
        <f t="shared" si="132"/>
        <v>12</v>
      </c>
      <c r="BS953">
        <f t="shared" si="126"/>
        <v>2023</v>
      </c>
      <c r="BT953">
        <v>9</v>
      </c>
      <c r="BU953" t="str">
        <f t="shared" si="127"/>
        <v>2023-12</v>
      </c>
      <c r="BV953">
        <f t="shared" si="128"/>
        <v>2</v>
      </c>
      <c r="BX953" t="s">
        <v>32</v>
      </c>
      <c r="BY953" t="s">
        <v>441</v>
      </c>
      <c r="BZ953">
        <v>43227</v>
      </c>
      <c r="CA953">
        <f t="shared" si="129"/>
        <v>8</v>
      </c>
      <c r="CB953">
        <f t="shared" si="130"/>
        <v>2024</v>
      </c>
      <c r="CC953" t="str">
        <f t="shared" si="131"/>
        <v>2024-8</v>
      </c>
    </row>
    <row r="954" spans="1:81" x14ac:dyDescent="0.25">
      <c r="A954" t="s">
        <v>14</v>
      </c>
      <c r="B954" t="s">
        <v>85</v>
      </c>
      <c r="C954" t="s">
        <v>441</v>
      </c>
      <c r="D954">
        <v>67217</v>
      </c>
      <c r="E954">
        <v>5</v>
      </c>
      <c r="P954" t="s">
        <v>12</v>
      </c>
      <c r="Q954" t="s">
        <v>327</v>
      </c>
      <c r="R954">
        <v>8</v>
      </c>
      <c r="AI954" t="s">
        <v>158</v>
      </c>
      <c r="AJ954">
        <v>33592</v>
      </c>
      <c r="AL954">
        <f>COUNTIF(AI:AI,AK954)</f>
        <v>0</v>
      </c>
      <c r="AM954">
        <f>SUMIF(AI:AI,AK954,AJ:AJ)</f>
        <v>0</v>
      </c>
      <c r="BP954" t="s">
        <v>20</v>
      </c>
      <c r="BQ954" t="s">
        <v>239</v>
      </c>
      <c r="BR954">
        <f t="shared" si="132"/>
        <v>12</v>
      </c>
      <c r="BS954">
        <f t="shared" si="126"/>
        <v>2023</v>
      </c>
      <c r="BT954">
        <v>5</v>
      </c>
      <c r="BU954" t="str">
        <f t="shared" si="127"/>
        <v>2023-12</v>
      </c>
      <c r="BV954">
        <f t="shared" si="128"/>
        <v>0</v>
      </c>
      <c r="BX954" t="s">
        <v>14</v>
      </c>
      <c r="BY954" t="s">
        <v>441</v>
      </c>
      <c r="BZ954">
        <v>67217</v>
      </c>
      <c r="CA954">
        <f t="shared" si="129"/>
        <v>8</v>
      </c>
      <c r="CB954">
        <f t="shared" si="130"/>
        <v>2024</v>
      </c>
      <c r="CC954" t="str">
        <f t="shared" si="131"/>
        <v>2024-8</v>
      </c>
    </row>
    <row r="955" spans="1:81" x14ac:dyDescent="0.25">
      <c r="A955" t="s">
        <v>8</v>
      </c>
      <c r="B955" t="s">
        <v>158</v>
      </c>
      <c r="C955" t="s">
        <v>441</v>
      </c>
      <c r="D955">
        <v>33592</v>
      </c>
      <c r="E955">
        <v>6</v>
      </c>
      <c r="P955" t="s">
        <v>33</v>
      </c>
      <c r="Q955" t="s">
        <v>55</v>
      </c>
      <c r="R955">
        <v>8</v>
      </c>
      <c r="AI955" t="s">
        <v>199</v>
      </c>
      <c r="AJ955">
        <v>10879</v>
      </c>
      <c r="AL955">
        <f>COUNTIF(AI:AI,AK955)</f>
        <v>0</v>
      </c>
      <c r="AM955">
        <f>SUMIF(AI:AI,AK955,AJ:AJ)</f>
        <v>0</v>
      </c>
      <c r="BP955" t="s">
        <v>20</v>
      </c>
      <c r="BQ955" t="s">
        <v>262</v>
      </c>
      <c r="BR955">
        <f t="shared" si="132"/>
        <v>1</v>
      </c>
      <c r="BS955">
        <f t="shared" si="126"/>
        <v>2024</v>
      </c>
      <c r="BT955">
        <v>6</v>
      </c>
      <c r="BU955" t="str">
        <f t="shared" si="127"/>
        <v>2024-1</v>
      </c>
      <c r="BV955">
        <f t="shared" si="128"/>
        <v>0</v>
      </c>
      <c r="BX955" t="s">
        <v>8</v>
      </c>
      <c r="BY955" t="s">
        <v>441</v>
      </c>
      <c r="BZ955">
        <v>33592</v>
      </c>
      <c r="CA955">
        <f t="shared" si="129"/>
        <v>8</v>
      </c>
      <c r="CB955">
        <f t="shared" si="130"/>
        <v>2024</v>
      </c>
      <c r="CC955" t="str">
        <f t="shared" si="131"/>
        <v>2024-8</v>
      </c>
    </row>
    <row r="956" spans="1:81" x14ac:dyDescent="0.25">
      <c r="A956" t="s">
        <v>17</v>
      </c>
      <c r="B956" t="s">
        <v>199</v>
      </c>
      <c r="C956" t="s">
        <v>441</v>
      </c>
      <c r="D956">
        <v>10879</v>
      </c>
      <c r="E956">
        <v>3</v>
      </c>
      <c r="P956" t="s">
        <v>17</v>
      </c>
      <c r="Q956" t="s">
        <v>451</v>
      </c>
      <c r="R956">
        <v>8</v>
      </c>
      <c r="AI956" t="s">
        <v>22</v>
      </c>
      <c r="AJ956">
        <v>25938</v>
      </c>
      <c r="AL956">
        <f>COUNTIF(AI:AI,AK956)</f>
        <v>0</v>
      </c>
      <c r="AM956">
        <f>SUMIF(AI:AI,AK956,AJ:AJ)</f>
        <v>0</v>
      </c>
      <c r="BP956" t="s">
        <v>20</v>
      </c>
      <c r="BQ956" t="s">
        <v>268</v>
      </c>
      <c r="BR956">
        <f t="shared" si="132"/>
        <v>1</v>
      </c>
      <c r="BS956">
        <f t="shared" si="126"/>
        <v>2024</v>
      </c>
      <c r="BT956">
        <v>3</v>
      </c>
      <c r="BU956" t="str">
        <f t="shared" si="127"/>
        <v>2024-1</v>
      </c>
      <c r="BV956">
        <f t="shared" si="128"/>
        <v>0</v>
      </c>
      <c r="BX956" t="s">
        <v>17</v>
      </c>
      <c r="BY956" t="s">
        <v>441</v>
      </c>
      <c r="BZ956">
        <v>10879</v>
      </c>
      <c r="CA956">
        <f t="shared" si="129"/>
        <v>8</v>
      </c>
      <c r="CB956">
        <f t="shared" si="130"/>
        <v>2024</v>
      </c>
      <c r="CC956" t="str">
        <f t="shared" si="131"/>
        <v>2024-8</v>
      </c>
    </row>
    <row r="957" spans="1:81" x14ac:dyDescent="0.25">
      <c r="A957" t="s">
        <v>10</v>
      </c>
      <c r="B957" t="s">
        <v>22</v>
      </c>
      <c r="C957" t="s">
        <v>441</v>
      </c>
      <c r="D957">
        <v>25938</v>
      </c>
      <c r="E957">
        <v>7</v>
      </c>
      <c r="P957" t="s">
        <v>33</v>
      </c>
      <c r="Q957" t="s">
        <v>118</v>
      </c>
      <c r="R957">
        <v>2</v>
      </c>
      <c r="AI957" t="s">
        <v>174</v>
      </c>
      <c r="AJ957">
        <v>59849</v>
      </c>
      <c r="AL957">
        <f>COUNTIF(AI:AI,AK957)</f>
        <v>0</v>
      </c>
      <c r="AM957">
        <f>SUMIF(AI:AI,AK957,AJ:AJ)</f>
        <v>0</v>
      </c>
      <c r="BP957" t="s">
        <v>20</v>
      </c>
      <c r="BQ957" t="s">
        <v>270</v>
      </c>
      <c r="BR957">
        <f t="shared" si="132"/>
        <v>1</v>
      </c>
      <c r="BS957">
        <f t="shared" si="126"/>
        <v>2024</v>
      </c>
      <c r="BT957">
        <v>7</v>
      </c>
      <c r="BU957" t="str">
        <f t="shared" si="127"/>
        <v>2024-1</v>
      </c>
      <c r="BV957">
        <f t="shared" si="128"/>
        <v>1</v>
      </c>
      <c r="BX957" t="s">
        <v>10</v>
      </c>
      <c r="BY957" t="s">
        <v>441</v>
      </c>
      <c r="BZ957">
        <v>25938</v>
      </c>
      <c r="CA957">
        <f t="shared" si="129"/>
        <v>8</v>
      </c>
      <c r="CB957">
        <f t="shared" si="130"/>
        <v>2024</v>
      </c>
      <c r="CC957" t="str">
        <f t="shared" si="131"/>
        <v>2024-8</v>
      </c>
    </row>
    <row r="958" spans="1:81" x14ac:dyDescent="0.25">
      <c r="A958" t="s">
        <v>27</v>
      </c>
      <c r="B958" t="s">
        <v>174</v>
      </c>
      <c r="C958" t="s">
        <v>441</v>
      </c>
      <c r="D958">
        <v>59849</v>
      </c>
      <c r="E958">
        <v>7</v>
      </c>
      <c r="P958" t="s">
        <v>8</v>
      </c>
      <c r="Q958" t="s">
        <v>279</v>
      </c>
      <c r="R958">
        <v>10</v>
      </c>
      <c r="AI958" t="s">
        <v>142</v>
      </c>
      <c r="AJ958">
        <v>65313</v>
      </c>
      <c r="AL958">
        <f>COUNTIF(AI:AI,AK958)</f>
        <v>0</v>
      </c>
      <c r="AM958">
        <f>SUMIF(AI:AI,AK958,AJ:AJ)</f>
        <v>0</v>
      </c>
      <c r="BP958" t="s">
        <v>20</v>
      </c>
      <c r="BQ958" t="s">
        <v>282</v>
      </c>
      <c r="BR958">
        <f t="shared" si="132"/>
        <v>1</v>
      </c>
      <c r="BS958">
        <f t="shared" si="126"/>
        <v>2024</v>
      </c>
      <c r="BT958">
        <v>7</v>
      </c>
      <c r="BU958" t="str">
        <f t="shared" si="127"/>
        <v>2024-1</v>
      </c>
      <c r="BV958">
        <f t="shared" si="128"/>
        <v>1</v>
      </c>
      <c r="BX958" t="s">
        <v>27</v>
      </c>
      <c r="BY958" t="s">
        <v>441</v>
      </c>
      <c r="BZ958">
        <v>59849</v>
      </c>
      <c r="CA958">
        <f t="shared" si="129"/>
        <v>8</v>
      </c>
      <c r="CB958">
        <f t="shared" si="130"/>
        <v>2024</v>
      </c>
      <c r="CC958" t="str">
        <f t="shared" si="131"/>
        <v>2024-8</v>
      </c>
    </row>
    <row r="959" spans="1:81" x14ac:dyDescent="0.25">
      <c r="A959" t="s">
        <v>10</v>
      </c>
      <c r="B959" t="s">
        <v>142</v>
      </c>
      <c r="C959" t="s">
        <v>441</v>
      </c>
      <c r="D959">
        <v>65313</v>
      </c>
      <c r="E959">
        <v>10</v>
      </c>
      <c r="P959" t="s">
        <v>33</v>
      </c>
      <c r="Q959" t="s">
        <v>165</v>
      </c>
      <c r="R959">
        <v>2</v>
      </c>
      <c r="AI959" t="s">
        <v>53</v>
      </c>
      <c r="AJ959">
        <v>81460</v>
      </c>
      <c r="AL959">
        <f>COUNTIF(AI:AI,AK959)</f>
        <v>0</v>
      </c>
      <c r="AM959">
        <f>SUMIF(AI:AI,AK959,AJ:AJ)</f>
        <v>0</v>
      </c>
      <c r="BP959" t="s">
        <v>20</v>
      </c>
      <c r="BQ959" t="s">
        <v>298</v>
      </c>
      <c r="BR959">
        <f t="shared" si="132"/>
        <v>2</v>
      </c>
      <c r="BS959">
        <f t="shared" si="126"/>
        <v>2024</v>
      </c>
      <c r="BT959">
        <v>10</v>
      </c>
      <c r="BU959" t="str">
        <f t="shared" si="127"/>
        <v>2024-2</v>
      </c>
      <c r="BV959">
        <f t="shared" si="128"/>
        <v>2</v>
      </c>
      <c r="BX959" t="s">
        <v>10</v>
      </c>
      <c r="BY959" t="s">
        <v>441</v>
      </c>
      <c r="BZ959">
        <v>65313</v>
      </c>
      <c r="CA959">
        <f t="shared" si="129"/>
        <v>8</v>
      </c>
      <c r="CB959">
        <f t="shared" si="130"/>
        <v>2024</v>
      </c>
      <c r="CC959" t="str">
        <f t="shared" si="131"/>
        <v>2024-8</v>
      </c>
    </row>
    <row r="960" spans="1:81" x14ac:dyDescent="0.25">
      <c r="A960" t="s">
        <v>33</v>
      </c>
      <c r="B960" t="s">
        <v>53</v>
      </c>
      <c r="C960" t="s">
        <v>442</v>
      </c>
      <c r="D960">
        <v>81460</v>
      </c>
      <c r="E960">
        <v>5</v>
      </c>
      <c r="P960" t="s">
        <v>14</v>
      </c>
      <c r="Q960" t="s">
        <v>296</v>
      </c>
      <c r="R960">
        <v>6</v>
      </c>
      <c r="AI960" t="s">
        <v>81</v>
      </c>
      <c r="AJ960">
        <v>38701</v>
      </c>
      <c r="AL960">
        <f>COUNTIF(AI:AI,AK960)</f>
        <v>0</v>
      </c>
      <c r="AM960">
        <f>SUMIF(AI:AI,AK960,AJ:AJ)</f>
        <v>0</v>
      </c>
      <c r="BP960" t="s">
        <v>20</v>
      </c>
      <c r="BQ960" t="s">
        <v>300</v>
      </c>
      <c r="BR960">
        <f t="shared" si="132"/>
        <v>2</v>
      </c>
      <c r="BS960">
        <f t="shared" si="126"/>
        <v>2024</v>
      </c>
      <c r="BT960">
        <v>5</v>
      </c>
      <c r="BU960" t="str">
        <f t="shared" si="127"/>
        <v>2024-2</v>
      </c>
      <c r="BV960">
        <f t="shared" si="128"/>
        <v>0</v>
      </c>
      <c r="BX960" t="s">
        <v>33</v>
      </c>
      <c r="BY960" t="s">
        <v>442</v>
      </c>
      <c r="BZ960">
        <v>81460</v>
      </c>
      <c r="CA960">
        <f t="shared" si="129"/>
        <v>8</v>
      </c>
      <c r="CB960">
        <f t="shared" si="130"/>
        <v>2024</v>
      </c>
      <c r="CC960" t="str">
        <f t="shared" si="131"/>
        <v>2024-8</v>
      </c>
    </row>
    <row r="961" spans="1:81" x14ac:dyDescent="0.25">
      <c r="A961" t="s">
        <v>32</v>
      </c>
      <c r="B961" t="s">
        <v>81</v>
      </c>
      <c r="C961" t="s">
        <v>442</v>
      </c>
      <c r="D961">
        <v>38701</v>
      </c>
      <c r="E961">
        <v>9</v>
      </c>
      <c r="P961" t="s">
        <v>8</v>
      </c>
      <c r="Q961" t="s">
        <v>253</v>
      </c>
      <c r="R961">
        <v>4</v>
      </c>
      <c r="AI961" t="s">
        <v>135</v>
      </c>
      <c r="AJ961">
        <v>25921</v>
      </c>
      <c r="AL961">
        <f>COUNTIF(AI:AI,AK961)</f>
        <v>0</v>
      </c>
      <c r="AM961">
        <f>SUMIF(AI:AI,AK961,AJ:AJ)</f>
        <v>0</v>
      </c>
      <c r="BP961" t="s">
        <v>20</v>
      </c>
      <c r="BQ961" t="s">
        <v>300</v>
      </c>
      <c r="BR961">
        <f t="shared" si="132"/>
        <v>2</v>
      </c>
      <c r="BS961">
        <f t="shared" si="126"/>
        <v>2024</v>
      </c>
      <c r="BT961">
        <v>9</v>
      </c>
      <c r="BU961" t="str">
        <f t="shared" si="127"/>
        <v>2024-2</v>
      </c>
      <c r="BV961">
        <f t="shared" si="128"/>
        <v>2</v>
      </c>
      <c r="BX961" t="s">
        <v>32</v>
      </c>
      <c r="BY961" t="s">
        <v>442</v>
      </c>
      <c r="BZ961">
        <v>38701</v>
      </c>
      <c r="CA961">
        <f t="shared" si="129"/>
        <v>8</v>
      </c>
      <c r="CB961">
        <f t="shared" si="130"/>
        <v>2024</v>
      </c>
      <c r="CC961" t="str">
        <f t="shared" si="131"/>
        <v>2024-8</v>
      </c>
    </row>
    <row r="962" spans="1:81" x14ac:dyDescent="0.25">
      <c r="A962" t="s">
        <v>5</v>
      </c>
      <c r="B962" t="s">
        <v>135</v>
      </c>
      <c r="C962" t="s">
        <v>442</v>
      </c>
      <c r="D962">
        <v>25921</v>
      </c>
      <c r="E962">
        <v>8</v>
      </c>
      <c r="P962" t="s">
        <v>20</v>
      </c>
      <c r="Q962" t="s">
        <v>238</v>
      </c>
      <c r="R962">
        <v>10</v>
      </c>
      <c r="AI962" t="s">
        <v>336</v>
      </c>
      <c r="AJ962">
        <v>97277</v>
      </c>
      <c r="AL962">
        <f>COUNTIF(AI:AI,AK962)</f>
        <v>0</v>
      </c>
      <c r="AM962">
        <f>SUMIF(AI:AI,AK962,AJ:AJ)</f>
        <v>0</v>
      </c>
      <c r="BP962" t="s">
        <v>20</v>
      </c>
      <c r="BQ962" t="s">
        <v>302</v>
      </c>
      <c r="BR962">
        <f t="shared" si="132"/>
        <v>2</v>
      </c>
      <c r="BS962">
        <f t="shared" si="126"/>
        <v>2024</v>
      </c>
      <c r="BT962">
        <v>8</v>
      </c>
      <c r="BU962" t="str">
        <f t="shared" si="127"/>
        <v>2024-2</v>
      </c>
      <c r="BV962">
        <f t="shared" si="128"/>
        <v>1</v>
      </c>
      <c r="BX962" t="s">
        <v>5</v>
      </c>
      <c r="BY962" t="s">
        <v>442</v>
      </c>
      <c r="BZ962">
        <v>25921</v>
      </c>
      <c r="CA962">
        <f t="shared" si="129"/>
        <v>8</v>
      </c>
      <c r="CB962">
        <f t="shared" si="130"/>
        <v>2024</v>
      </c>
      <c r="CC962" t="str">
        <f t="shared" si="131"/>
        <v>2024-8</v>
      </c>
    </row>
    <row r="963" spans="1:81" x14ac:dyDescent="0.25">
      <c r="A963" t="s">
        <v>14</v>
      </c>
      <c r="B963" t="s">
        <v>336</v>
      </c>
      <c r="C963" t="s">
        <v>442</v>
      </c>
      <c r="D963">
        <v>97277</v>
      </c>
      <c r="E963">
        <v>4</v>
      </c>
      <c r="P963" t="s">
        <v>14</v>
      </c>
      <c r="Q963" t="s">
        <v>287</v>
      </c>
      <c r="R963">
        <v>9</v>
      </c>
      <c r="AI963" t="s">
        <v>253</v>
      </c>
      <c r="AJ963">
        <v>19058</v>
      </c>
      <c r="AL963">
        <f>COUNTIF(AI:AI,AK963)</f>
        <v>0</v>
      </c>
      <c r="AM963">
        <f>SUMIF(AI:AI,AK963,AJ:AJ)</f>
        <v>0</v>
      </c>
      <c r="BP963" t="s">
        <v>20</v>
      </c>
      <c r="BQ963" t="s">
        <v>312</v>
      </c>
      <c r="BR963">
        <f t="shared" si="132"/>
        <v>2</v>
      </c>
      <c r="BS963">
        <f t="shared" ref="BS963:BS1001" si="133">YEAR(BQ963)</f>
        <v>2024</v>
      </c>
      <c r="BT963">
        <v>4</v>
      </c>
      <c r="BU963" t="str">
        <f t="shared" ref="BU963:BU1001" si="134">BS963&amp;"-"&amp;BR963</f>
        <v>2024-2</v>
      </c>
      <c r="BV963">
        <f t="shared" ref="BV963:BV1001" si="135">IF(BT963&lt;7,0,IF(BT963&lt;9,1,2))</f>
        <v>0</v>
      </c>
      <c r="BX963" t="s">
        <v>14</v>
      </c>
      <c r="BY963" t="s">
        <v>442</v>
      </c>
      <c r="BZ963">
        <v>97277</v>
      </c>
      <c r="CA963">
        <f t="shared" ref="CA963:CA1001" si="136">MONTH(BY963)</f>
        <v>8</v>
      </c>
      <c r="CB963">
        <f t="shared" ref="CB963:CB1001" si="137">YEAR(BY963)</f>
        <v>2024</v>
      </c>
      <c r="CC963" t="str">
        <f t="shared" ref="CC963:CC1001" si="138">CB963&amp;"-"&amp;CA963</f>
        <v>2024-8</v>
      </c>
    </row>
    <row r="964" spans="1:81" x14ac:dyDescent="0.25">
      <c r="A964" t="s">
        <v>8</v>
      </c>
      <c r="B964" t="s">
        <v>253</v>
      </c>
      <c r="C964" t="s">
        <v>443</v>
      </c>
      <c r="D964">
        <v>19058</v>
      </c>
      <c r="E964">
        <v>6</v>
      </c>
      <c r="P964" t="s">
        <v>33</v>
      </c>
      <c r="Q964" t="s">
        <v>220</v>
      </c>
      <c r="R964">
        <v>7</v>
      </c>
      <c r="AI964" t="s">
        <v>184</v>
      </c>
      <c r="AJ964">
        <v>32967</v>
      </c>
      <c r="AL964">
        <f>COUNTIF(AI:AI,AK964)</f>
        <v>0</v>
      </c>
      <c r="AM964">
        <f>SUMIF(AI:AI,AK964,AJ:AJ)</f>
        <v>0</v>
      </c>
      <c r="BP964" t="s">
        <v>20</v>
      </c>
      <c r="BQ964" t="s">
        <v>315</v>
      </c>
      <c r="BR964">
        <f t="shared" si="132"/>
        <v>3</v>
      </c>
      <c r="BS964">
        <f t="shared" si="133"/>
        <v>2024</v>
      </c>
      <c r="BT964">
        <v>6</v>
      </c>
      <c r="BU964" t="str">
        <f t="shared" si="134"/>
        <v>2024-3</v>
      </c>
      <c r="BV964">
        <f t="shared" si="135"/>
        <v>0</v>
      </c>
      <c r="BX964" t="s">
        <v>8</v>
      </c>
      <c r="BY964" t="s">
        <v>443</v>
      </c>
      <c r="BZ964">
        <v>19058</v>
      </c>
      <c r="CA964">
        <f t="shared" si="136"/>
        <v>8</v>
      </c>
      <c r="CB964">
        <f t="shared" si="137"/>
        <v>2024</v>
      </c>
      <c r="CC964" t="str">
        <f t="shared" si="138"/>
        <v>2024-8</v>
      </c>
    </row>
    <row r="965" spans="1:81" x14ac:dyDescent="0.25">
      <c r="A965" t="s">
        <v>27</v>
      </c>
      <c r="B965" t="s">
        <v>184</v>
      </c>
      <c r="C965" t="s">
        <v>443</v>
      </c>
      <c r="D965">
        <v>32967</v>
      </c>
      <c r="E965">
        <v>4</v>
      </c>
      <c r="P965" t="s">
        <v>17</v>
      </c>
      <c r="Q965" t="s">
        <v>214</v>
      </c>
      <c r="R965">
        <v>3</v>
      </c>
      <c r="AI965" t="s">
        <v>47</v>
      </c>
      <c r="AJ965">
        <v>99619</v>
      </c>
      <c r="AL965">
        <f>COUNTIF(AI:AI,AK965)</f>
        <v>0</v>
      </c>
      <c r="AM965">
        <f>SUMIF(AI:AI,AK965,AJ:AJ)</f>
        <v>0</v>
      </c>
      <c r="BP965" t="s">
        <v>20</v>
      </c>
      <c r="BQ965" t="s">
        <v>321</v>
      </c>
      <c r="BR965">
        <f t="shared" si="132"/>
        <v>3</v>
      </c>
      <c r="BS965">
        <f t="shared" si="133"/>
        <v>2024</v>
      </c>
      <c r="BT965">
        <v>4</v>
      </c>
      <c r="BU965" t="str">
        <f t="shared" si="134"/>
        <v>2024-3</v>
      </c>
      <c r="BV965">
        <f t="shared" si="135"/>
        <v>0</v>
      </c>
      <c r="BX965" t="s">
        <v>27</v>
      </c>
      <c r="BY965" t="s">
        <v>443</v>
      </c>
      <c r="BZ965">
        <v>32967</v>
      </c>
      <c r="CA965">
        <f t="shared" si="136"/>
        <v>8</v>
      </c>
      <c r="CB965">
        <f t="shared" si="137"/>
        <v>2024</v>
      </c>
      <c r="CC965" t="str">
        <f t="shared" si="138"/>
        <v>2024-8</v>
      </c>
    </row>
    <row r="966" spans="1:81" x14ac:dyDescent="0.25">
      <c r="A966" t="s">
        <v>36</v>
      </c>
      <c r="B966" t="s">
        <v>47</v>
      </c>
      <c r="C966" t="s">
        <v>443</v>
      </c>
      <c r="D966">
        <v>99619</v>
      </c>
      <c r="E966">
        <v>6</v>
      </c>
      <c r="P966" t="s">
        <v>12</v>
      </c>
      <c r="Q966" t="s">
        <v>180</v>
      </c>
      <c r="R966">
        <v>6</v>
      </c>
      <c r="AI966" t="s">
        <v>100</v>
      </c>
      <c r="AJ966">
        <v>51783</v>
      </c>
      <c r="AL966">
        <f>COUNTIF(AI:AI,AK966)</f>
        <v>0</v>
      </c>
      <c r="AM966">
        <f>SUMIF(AI:AI,AK966,AJ:AJ)</f>
        <v>0</v>
      </c>
      <c r="BP966" t="s">
        <v>20</v>
      </c>
      <c r="BQ966" t="s">
        <v>321</v>
      </c>
      <c r="BR966">
        <f t="shared" si="132"/>
        <v>3</v>
      </c>
      <c r="BS966">
        <f t="shared" si="133"/>
        <v>2024</v>
      </c>
      <c r="BT966">
        <v>6</v>
      </c>
      <c r="BU966" t="str">
        <f t="shared" si="134"/>
        <v>2024-3</v>
      </c>
      <c r="BV966">
        <f t="shared" si="135"/>
        <v>0</v>
      </c>
      <c r="BX966" t="s">
        <v>36</v>
      </c>
      <c r="BY966" t="s">
        <v>443</v>
      </c>
      <c r="BZ966">
        <v>99619</v>
      </c>
      <c r="CA966">
        <f t="shared" si="136"/>
        <v>8</v>
      </c>
      <c r="CB966">
        <f t="shared" si="137"/>
        <v>2024</v>
      </c>
      <c r="CC966" t="str">
        <f t="shared" si="138"/>
        <v>2024-8</v>
      </c>
    </row>
    <row r="967" spans="1:81" x14ac:dyDescent="0.25">
      <c r="A967" t="s">
        <v>14</v>
      </c>
      <c r="B967" t="s">
        <v>100</v>
      </c>
      <c r="C967" t="s">
        <v>443</v>
      </c>
      <c r="D967">
        <v>51783</v>
      </c>
      <c r="E967">
        <v>5</v>
      </c>
      <c r="AI967" t="s">
        <v>18</v>
      </c>
      <c r="AJ967">
        <v>87916</v>
      </c>
      <c r="AL967">
        <f>COUNTIF(AI:AI,AK967)</f>
        <v>0</v>
      </c>
      <c r="AM967">
        <f>SUMIF(AI:AI,AK967,AJ:AJ)</f>
        <v>0</v>
      </c>
      <c r="BP967" t="s">
        <v>20</v>
      </c>
      <c r="BQ967" t="s">
        <v>321</v>
      </c>
      <c r="BR967">
        <f t="shared" si="132"/>
        <v>3</v>
      </c>
      <c r="BS967">
        <f t="shared" si="133"/>
        <v>2024</v>
      </c>
      <c r="BT967">
        <v>5</v>
      </c>
      <c r="BU967" t="str">
        <f t="shared" si="134"/>
        <v>2024-3</v>
      </c>
      <c r="BV967">
        <f t="shared" si="135"/>
        <v>0</v>
      </c>
      <c r="BX967" t="s">
        <v>14</v>
      </c>
      <c r="BY967" t="s">
        <v>443</v>
      </c>
      <c r="BZ967">
        <v>51783</v>
      </c>
      <c r="CA967">
        <f t="shared" si="136"/>
        <v>8</v>
      </c>
      <c r="CB967">
        <f t="shared" si="137"/>
        <v>2024</v>
      </c>
      <c r="CC967" t="str">
        <f t="shared" si="138"/>
        <v>2024-8</v>
      </c>
    </row>
    <row r="968" spans="1:81" x14ac:dyDescent="0.25">
      <c r="A968" t="s">
        <v>10</v>
      </c>
      <c r="B968" t="s">
        <v>18</v>
      </c>
      <c r="C968" t="s">
        <v>443</v>
      </c>
      <c r="D968">
        <v>87916</v>
      </c>
      <c r="E968">
        <v>7</v>
      </c>
      <c r="AI968" t="s">
        <v>132</v>
      </c>
      <c r="AJ968">
        <v>32835</v>
      </c>
      <c r="AL968">
        <f>COUNTIF(AI:AI,AK968)</f>
        <v>0</v>
      </c>
      <c r="AM968">
        <f>SUMIF(AI:AI,AK968,AJ:AJ)</f>
        <v>0</v>
      </c>
      <c r="BP968" t="s">
        <v>20</v>
      </c>
      <c r="BQ968" t="s">
        <v>322</v>
      </c>
      <c r="BR968">
        <f t="shared" si="132"/>
        <v>3</v>
      </c>
      <c r="BS968">
        <f t="shared" si="133"/>
        <v>2024</v>
      </c>
      <c r="BT968">
        <v>7</v>
      </c>
      <c r="BU968" t="str">
        <f t="shared" si="134"/>
        <v>2024-3</v>
      </c>
      <c r="BV968">
        <f t="shared" si="135"/>
        <v>1</v>
      </c>
      <c r="BX968" t="s">
        <v>10</v>
      </c>
      <c r="BY968" t="s">
        <v>443</v>
      </c>
      <c r="BZ968">
        <v>87916</v>
      </c>
      <c r="CA968">
        <f t="shared" si="136"/>
        <v>8</v>
      </c>
      <c r="CB968">
        <f t="shared" si="137"/>
        <v>2024</v>
      </c>
      <c r="CC968" t="str">
        <f t="shared" si="138"/>
        <v>2024-8</v>
      </c>
    </row>
    <row r="969" spans="1:81" x14ac:dyDescent="0.25">
      <c r="A969" t="s">
        <v>27</v>
      </c>
      <c r="B969" t="s">
        <v>132</v>
      </c>
      <c r="C969" t="s">
        <v>443</v>
      </c>
      <c r="D969">
        <v>32835</v>
      </c>
      <c r="E969">
        <v>5</v>
      </c>
      <c r="AI969" t="s">
        <v>124</v>
      </c>
      <c r="AJ969">
        <v>40198</v>
      </c>
      <c r="AL969">
        <f>COUNTIF(AI:AI,AK969)</f>
        <v>0</v>
      </c>
      <c r="AM969">
        <f>SUMIF(AI:AI,AK969,AJ:AJ)</f>
        <v>0</v>
      </c>
      <c r="BP969" t="s">
        <v>20</v>
      </c>
      <c r="BQ969" t="s">
        <v>326</v>
      </c>
      <c r="BR969">
        <f t="shared" si="132"/>
        <v>3</v>
      </c>
      <c r="BS969">
        <f t="shared" si="133"/>
        <v>2024</v>
      </c>
      <c r="BT969">
        <v>5</v>
      </c>
      <c r="BU969" t="str">
        <f t="shared" si="134"/>
        <v>2024-3</v>
      </c>
      <c r="BV969">
        <f t="shared" si="135"/>
        <v>0</v>
      </c>
      <c r="BX969" t="s">
        <v>27</v>
      </c>
      <c r="BY969" t="s">
        <v>443</v>
      </c>
      <c r="BZ969">
        <v>32835</v>
      </c>
      <c r="CA969">
        <f t="shared" si="136"/>
        <v>8</v>
      </c>
      <c r="CB969">
        <f t="shared" si="137"/>
        <v>2024</v>
      </c>
      <c r="CC969" t="str">
        <f t="shared" si="138"/>
        <v>2024-8</v>
      </c>
    </row>
    <row r="970" spans="1:81" x14ac:dyDescent="0.25">
      <c r="A970" t="s">
        <v>27</v>
      </c>
      <c r="B970" t="s">
        <v>124</v>
      </c>
      <c r="C970" t="s">
        <v>443</v>
      </c>
      <c r="D970">
        <v>40198</v>
      </c>
      <c r="E970">
        <v>7</v>
      </c>
      <c r="AI970" t="s">
        <v>334</v>
      </c>
      <c r="AJ970">
        <v>98093</v>
      </c>
      <c r="AL970">
        <f>COUNTIF(AI:AI,AK970)</f>
        <v>0</v>
      </c>
      <c r="AM970">
        <f>SUMIF(AI:AI,AK970,AJ:AJ)</f>
        <v>0</v>
      </c>
      <c r="BP970" t="s">
        <v>20</v>
      </c>
      <c r="BQ970" t="s">
        <v>328</v>
      </c>
      <c r="BR970">
        <f t="shared" si="132"/>
        <v>3</v>
      </c>
      <c r="BS970">
        <f t="shared" si="133"/>
        <v>2024</v>
      </c>
      <c r="BT970">
        <v>7</v>
      </c>
      <c r="BU970" t="str">
        <f t="shared" si="134"/>
        <v>2024-3</v>
      </c>
      <c r="BV970">
        <f t="shared" si="135"/>
        <v>1</v>
      </c>
      <c r="BX970" t="s">
        <v>27</v>
      </c>
      <c r="BY970" t="s">
        <v>443</v>
      </c>
      <c r="BZ970">
        <v>40198</v>
      </c>
      <c r="CA970">
        <f t="shared" si="136"/>
        <v>8</v>
      </c>
      <c r="CB970">
        <f t="shared" si="137"/>
        <v>2024</v>
      </c>
      <c r="CC970" t="str">
        <f t="shared" si="138"/>
        <v>2024-8</v>
      </c>
    </row>
    <row r="971" spans="1:81" x14ac:dyDescent="0.25">
      <c r="A971" t="s">
        <v>23</v>
      </c>
      <c r="B971" t="s">
        <v>334</v>
      </c>
      <c r="C971" t="s">
        <v>443</v>
      </c>
      <c r="D971">
        <v>98093</v>
      </c>
      <c r="E971">
        <v>6</v>
      </c>
      <c r="AI971" t="s">
        <v>173</v>
      </c>
      <c r="AJ971">
        <v>63004</v>
      </c>
      <c r="AL971">
        <f>COUNTIF(AI:AI,AK971)</f>
        <v>0</v>
      </c>
      <c r="AM971">
        <f>SUMIF(AI:AI,AK971,AJ:AJ)</f>
        <v>0</v>
      </c>
      <c r="BP971" t="s">
        <v>20</v>
      </c>
      <c r="BQ971" t="s">
        <v>331</v>
      </c>
      <c r="BR971">
        <f t="shared" si="132"/>
        <v>3</v>
      </c>
      <c r="BS971">
        <f t="shared" si="133"/>
        <v>2024</v>
      </c>
      <c r="BT971">
        <v>6</v>
      </c>
      <c r="BU971" t="str">
        <f t="shared" si="134"/>
        <v>2024-3</v>
      </c>
      <c r="BV971">
        <f t="shared" si="135"/>
        <v>0</v>
      </c>
      <c r="BX971" t="s">
        <v>23</v>
      </c>
      <c r="BY971" t="s">
        <v>443</v>
      </c>
      <c r="BZ971">
        <v>98093</v>
      </c>
      <c r="CA971">
        <f t="shared" si="136"/>
        <v>8</v>
      </c>
      <c r="CB971">
        <f t="shared" si="137"/>
        <v>2024</v>
      </c>
      <c r="CC971" t="str">
        <f t="shared" si="138"/>
        <v>2024-8</v>
      </c>
    </row>
    <row r="972" spans="1:81" x14ac:dyDescent="0.25">
      <c r="A972" t="s">
        <v>17</v>
      </c>
      <c r="B972" t="s">
        <v>173</v>
      </c>
      <c r="C972" t="s">
        <v>443</v>
      </c>
      <c r="D972">
        <v>63004</v>
      </c>
      <c r="E972">
        <v>9</v>
      </c>
      <c r="AI972" t="s">
        <v>26</v>
      </c>
      <c r="AJ972">
        <v>20720</v>
      </c>
      <c r="AL972">
        <f>COUNTIF(AI:AI,AK972)</f>
        <v>0</v>
      </c>
      <c r="AM972">
        <f>SUMIF(AI:AI,AK972,AJ:AJ)</f>
        <v>0</v>
      </c>
      <c r="BP972" t="s">
        <v>20</v>
      </c>
      <c r="BQ972" t="s">
        <v>342</v>
      </c>
      <c r="BR972">
        <f t="shared" si="132"/>
        <v>4</v>
      </c>
      <c r="BS972">
        <f t="shared" si="133"/>
        <v>2024</v>
      </c>
      <c r="BT972">
        <v>9</v>
      </c>
      <c r="BU972" t="str">
        <f t="shared" si="134"/>
        <v>2024-4</v>
      </c>
      <c r="BV972">
        <f t="shared" si="135"/>
        <v>2</v>
      </c>
      <c r="BX972" t="s">
        <v>17</v>
      </c>
      <c r="BY972" t="s">
        <v>443</v>
      </c>
      <c r="BZ972">
        <v>63004</v>
      </c>
      <c r="CA972">
        <f t="shared" si="136"/>
        <v>8</v>
      </c>
      <c r="CB972">
        <f t="shared" si="137"/>
        <v>2024</v>
      </c>
      <c r="CC972" t="str">
        <f t="shared" si="138"/>
        <v>2024-8</v>
      </c>
    </row>
    <row r="973" spans="1:81" x14ac:dyDescent="0.25">
      <c r="A973" t="s">
        <v>20</v>
      </c>
      <c r="B973" t="s">
        <v>26</v>
      </c>
      <c r="C973" t="s">
        <v>444</v>
      </c>
      <c r="D973">
        <v>20720</v>
      </c>
      <c r="E973">
        <v>9</v>
      </c>
      <c r="AI973" t="s">
        <v>445</v>
      </c>
      <c r="AJ973">
        <v>42749</v>
      </c>
      <c r="AL973">
        <f>COUNTIF(AI:AI,AK973)</f>
        <v>0</v>
      </c>
      <c r="AM973">
        <f>SUMIF(AI:AI,AK973,AJ:AJ)</f>
        <v>0</v>
      </c>
      <c r="BP973" t="s">
        <v>20</v>
      </c>
      <c r="BQ973" t="s">
        <v>346</v>
      </c>
      <c r="BR973">
        <f t="shared" si="132"/>
        <v>4</v>
      </c>
      <c r="BS973">
        <f t="shared" si="133"/>
        <v>2024</v>
      </c>
      <c r="BT973">
        <v>9</v>
      </c>
      <c r="BU973" t="str">
        <f t="shared" si="134"/>
        <v>2024-4</v>
      </c>
      <c r="BV973">
        <f t="shared" si="135"/>
        <v>2</v>
      </c>
      <c r="BX973" t="s">
        <v>20</v>
      </c>
      <c r="BY973" t="s">
        <v>444</v>
      </c>
      <c r="BZ973">
        <v>20720</v>
      </c>
      <c r="CA973">
        <f t="shared" si="136"/>
        <v>8</v>
      </c>
      <c r="CB973">
        <f t="shared" si="137"/>
        <v>2024</v>
      </c>
      <c r="CC973" t="str">
        <f t="shared" si="138"/>
        <v>2024-8</v>
      </c>
    </row>
    <row r="974" spans="1:81" x14ac:dyDescent="0.25">
      <c r="A974" t="s">
        <v>23</v>
      </c>
      <c r="B974" t="s">
        <v>445</v>
      </c>
      <c r="C974" t="s">
        <v>444</v>
      </c>
      <c r="D974">
        <v>42749</v>
      </c>
      <c r="E974">
        <v>9</v>
      </c>
      <c r="AI974" t="s">
        <v>319</v>
      </c>
      <c r="AJ974">
        <v>54427</v>
      </c>
      <c r="AL974">
        <f>COUNTIF(AI:AI,AK974)</f>
        <v>0</v>
      </c>
      <c r="AM974">
        <f>SUMIF(AI:AI,AK974,AJ:AJ)</f>
        <v>0</v>
      </c>
      <c r="BP974" t="s">
        <v>20</v>
      </c>
      <c r="BQ974" t="s">
        <v>350</v>
      </c>
      <c r="BR974">
        <f t="shared" si="132"/>
        <v>4</v>
      </c>
      <c r="BS974">
        <f t="shared" si="133"/>
        <v>2024</v>
      </c>
      <c r="BT974">
        <v>9</v>
      </c>
      <c r="BU974" t="str">
        <f t="shared" si="134"/>
        <v>2024-4</v>
      </c>
      <c r="BV974">
        <f t="shared" si="135"/>
        <v>2</v>
      </c>
      <c r="BX974" t="s">
        <v>23</v>
      </c>
      <c r="BY974" t="s">
        <v>444</v>
      </c>
      <c r="BZ974">
        <v>42749</v>
      </c>
      <c r="CA974">
        <f t="shared" si="136"/>
        <v>8</v>
      </c>
      <c r="CB974">
        <f t="shared" si="137"/>
        <v>2024</v>
      </c>
      <c r="CC974" t="str">
        <f t="shared" si="138"/>
        <v>2024-8</v>
      </c>
    </row>
    <row r="975" spans="1:81" x14ac:dyDescent="0.25">
      <c r="A975" t="s">
        <v>8</v>
      </c>
      <c r="B975" t="s">
        <v>319</v>
      </c>
      <c r="C975" t="s">
        <v>446</v>
      </c>
      <c r="D975">
        <v>54427</v>
      </c>
      <c r="E975">
        <v>6</v>
      </c>
      <c r="AI975" t="s">
        <v>206</v>
      </c>
      <c r="AJ975">
        <v>32465</v>
      </c>
      <c r="AL975">
        <f>COUNTIF(AI:AI,AK975)</f>
        <v>0</v>
      </c>
      <c r="AM975">
        <f>SUMIF(AI:AI,AK975,AJ:AJ)</f>
        <v>0</v>
      </c>
      <c r="BP975" t="s">
        <v>20</v>
      </c>
      <c r="BQ975" t="s">
        <v>357</v>
      </c>
      <c r="BR975">
        <f t="shared" si="132"/>
        <v>4</v>
      </c>
      <c r="BS975">
        <f t="shared" si="133"/>
        <v>2024</v>
      </c>
      <c r="BT975">
        <v>6</v>
      </c>
      <c r="BU975" t="str">
        <f t="shared" si="134"/>
        <v>2024-4</v>
      </c>
      <c r="BV975">
        <f t="shared" si="135"/>
        <v>0</v>
      </c>
      <c r="BX975" t="s">
        <v>8</v>
      </c>
      <c r="BY975" t="s">
        <v>446</v>
      </c>
      <c r="BZ975">
        <v>54427</v>
      </c>
      <c r="CA975">
        <f t="shared" si="136"/>
        <v>8</v>
      </c>
      <c r="CB975">
        <f t="shared" si="137"/>
        <v>2024</v>
      </c>
      <c r="CC975" t="str">
        <f t="shared" si="138"/>
        <v>2024-8</v>
      </c>
    </row>
    <row r="976" spans="1:81" x14ac:dyDescent="0.25">
      <c r="A976" t="s">
        <v>33</v>
      </c>
      <c r="B976" t="s">
        <v>206</v>
      </c>
      <c r="C976" t="s">
        <v>446</v>
      </c>
      <c r="D976">
        <v>32465</v>
      </c>
      <c r="E976">
        <v>7</v>
      </c>
      <c r="AI976" t="s">
        <v>22</v>
      </c>
      <c r="AJ976">
        <v>77867</v>
      </c>
      <c r="AL976">
        <f>COUNTIF(AI:AI,AK976)</f>
        <v>0</v>
      </c>
      <c r="AM976">
        <f>SUMIF(AI:AI,AK976,AJ:AJ)</f>
        <v>0</v>
      </c>
      <c r="BP976" t="s">
        <v>20</v>
      </c>
      <c r="BQ976" t="s">
        <v>358</v>
      </c>
      <c r="BR976">
        <f t="shared" si="132"/>
        <v>4</v>
      </c>
      <c r="BS976">
        <f t="shared" si="133"/>
        <v>2024</v>
      </c>
      <c r="BT976">
        <v>7</v>
      </c>
      <c r="BU976" t="str">
        <f t="shared" si="134"/>
        <v>2024-4</v>
      </c>
      <c r="BV976">
        <f t="shared" si="135"/>
        <v>1</v>
      </c>
      <c r="BX976" t="s">
        <v>33</v>
      </c>
      <c r="BY976" t="s">
        <v>446</v>
      </c>
      <c r="BZ976">
        <v>32465</v>
      </c>
      <c r="CA976">
        <f t="shared" si="136"/>
        <v>8</v>
      </c>
      <c r="CB976">
        <f t="shared" si="137"/>
        <v>2024</v>
      </c>
      <c r="CC976" t="str">
        <f t="shared" si="138"/>
        <v>2024-8</v>
      </c>
    </row>
    <row r="977" spans="1:81" x14ac:dyDescent="0.25">
      <c r="A977" t="s">
        <v>8</v>
      </c>
      <c r="B977" t="s">
        <v>22</v>
      </c>
      <c r="C977" t="s">
        <v>446</v>
      </c>
      <c r="D977">
        <v>77867</v>
      </c>
      <c r="E977">
        <v>3</v>
      </c>
      <c r="AI977" t="s">
        <v>61</v>
      </c>
      <c r="AJ977">
        <v>45256</v>
      </c>
      <c r="AL977">
        <f>COUNTIF(AI:AI,AK977)</f>
        <v>0</v>
      </c>
      <c r="AM977">
        <f>SUMIF(AI:AI,AK977,AJ:AJ)</f>
        <v>0</v>
      </c>
      <c r="BP977" t="s">
        <v>20</v>
      </c>
      <c r="BQ977" t="s">
        <v>360</v>
      </c>
      <c r="BR977">
        <f t="shared" si="132"/>
        <v>4</v>
      </c>
      <c r="BS977">
        <f t="shared" si="133"/>
        <v>2024</v>
      </c>
      <c r="BT977">
        <v>3</v>
      </c>
      <c r="BU977" t="str">
        <f t="shared" si="134"/>
        <v>2024-4</v>
      </c>
      <c r="BV977">
        <f t="shared" si="135"/>
        <v>0</v>
      </c>
      <c r="BX977" t="s">
        <v>8</v>
      </c>
      <c r="BY977" t="s">
        <v>446</v>
      </c>
      <c r="BZ977">
        <v>77867</v>
      </c>
      <c r="CA977">
        <f t="shared" si="136"/>
        <v>8</v>
      </c>
      <c r="CB977">
        <f t="shared" si="137"/>
        <v>2024</v>
      </c>
      <c r="CC977" t="str">
        <f t="shared" si="138"/>
        <v>2024-8</v>
      </c>
    </row>
    <row r="978" spans="1:81" x14ac:dyDescent="0.25">
      <c r="A978" t="s">
        <v>10</v>
      </c>
      <c r="B978" t="s">
        <v>61</v>
      </c>
      <c r="C978" t="s">
        <v>446</v>
      </c>
      <c r="D978">
        <v>45256</v>
      </c>
      <c r="E978">
        <v>7</v>
      </c>
      <c r="AI978" t="s">
        <v>133</v>
      </c>
      <c r="AJ978">
        <v>33037</v>
      </c>
      <c r="AL978">
        <f>COUNTIF(AI:AI,AK978)</f>
        <v>0</v>
      </c>
      <c r="AM978">
        <f>SUMIF(AI:AI,AK978,AJ:AJ)</f>
        <v>0</v>
      </c>
      <c r="BP978" t="s">
        <v>20</v>
      </c>
      <c r="BQ978" t="s">
        <v>367</v>
      </c>
      <c r="BR978">
        <f t="shared" si="132"/>
        <v>5</v>
      </c>
      <c r="BS978">
        <f t="shared" si="133"/>
        <v>2024</v>
      </c>
      <c r="BT978">
        <v>7</v>
      </c>
      <c r="BU978" t="str">
        <f t="shared" si="134"/>
        <v>2024-5</v>
      </c>
      <c r="BV978">
        <f t="shared" si="135"/>
        <v>1</v>
      </c>
      <c r="BX978" t="s">
        <v>10</v>
      </c>
      <c r="BY978" t="s">
        <v>446</v>
      </c>
      <c r="BZ978">
        <v>45256</v>
      </c>
      <c r="CA978">
        <f t="shared" si="136"/>
        <v>8</v>
      </c>
      <c r="CB978">
        <f t="shared" si="137"/>
        <v>2024</v>
      </c>
      <c r="CC978" t="str">
        <f t="shared" si="138"/>
        <v>2024-8</v>
      </c>
    </row>
    <row r="979" spans="1:81" x14ac:dyDescent="0.25">
      <c r="A979" t="s">
        <v>10</v>
      </c>
      <c r="B979" t="s">
        <v>133</v>
      </c>
      <c r="C979" t="s">
        <v>446</v>
      </c>
      <c r="D979">
        <v>33037</v>
      </c>
      <c r="E979">
        <v>3</v>
      </c>
      <c r="AI979" t="s">
        <v>180</v>
      </c>
      <c r="AJ979">
        <v>48429</v>
      </c>
      <c r="AL979">
        <f>COUNTIF(AI:AI,AK979)</f>
        <v>0</v>
      </c>
      <c r="AM979">
        <f>SUMIF(AI:AI,AK979,AJ:AJ)</f>
        <v>0</v>
      </c>
      <c r="BP979" t="s">
        <v>20</v>
      </c>
      <c r="BQ979" t="s">
        <v>372</v>
      </c>
      <c r="BR979">
        <f t="shared" si="132"/>
        <v>5</v>
      </c>
      <c r="BS979">
        <f t="shared" si="133"/>
        <v>2024</v>
      </c>
      <c r="BT979">
        <v>3</v>
      </c>
      <c r="BU979" t="str">
        <f t="shared" si="134"/>
        <v>2024-5</v>
      </c>
      <c r="BV979">
        <f t="shared" si="135"/>
        <v>0</v>
      </c>
      <c r="BX979" t="s">
        <v>10</v>
      </c>
      <c r="BY979" t="s">
        <v>446</v>
      </c>
      <c r="BZ979">
        <v>33037</v>
      </c>
      <c r="CA979">
        <f t="shared" si="136"/>
        <v>8</v>
      </c>
      <c r="CB979">
        <f t="shared" si="137"/>
        <v>2024</v>
      </c>
      <c r="CC979" t="str">
        <f t="shared" si="138"/>
        <v>2024-8</v>
      </c>
    </row>
    <row r="980" spans="1:81" x14ac:dyDescent="0.25">
      <c r="A980" t="s">
        <v>33</v>
      </c>
      <c r="B980" t="s">
        <v>180</v>
      </c>
      <c r="C980" t="s">
        <v>446</v>
      </c>
      <c r="D980">
        <v>48429</v>
      </c>
      <c r="E980">
        <v>3</v>
      </c>
      <c r="AI980" t="s">
        <v>196</v>
      </c>
      <c r="AJ980">
        <v>24128</v>
      </c>
      <c r="AL980">
        <f>COUNTIF(AI:AI,AK980)</f>
        <v>0</v>
      </c>
      <c r="AM980">
        <f>SUMIF(AI:AI,AK980,AJ:AJ)</f>
        <v>0</v>
      </c>
      <c r="BP980" t="s">
        <v>20</v>
      </c>
      <c r="BQ980" t="s">
        <v>376</v>
      </c>
      <c r="BR980">
        <f t="shared" si="132"/>
        <v>5</v>
      </c>
      <c r="BS980">
        <f t="shared" si="133"/>
        <v>2024</v>
      </c>
      <c r="BT980">
        <v>3</v>
      </c>
      <c r="BU980" t="str">
        <f t="shared" si="134"/>
        <v>2024-5</v>
      </c>
      <c r="BV980">
        <f t="shared" si="135"/>
        <v>0</v>
      </c>
      <c r="BX980" t="s">
        <v>33</v>
      </c>
      <c r="BY980" t="s">
        <v>446</v>
      </c>
      <c r="BZ980">
        <v>48429</v>
      </c>
      <c r="CA980">
        <f t="shared" si="136"/>
        <v>8</v>
      </c>
      <c r="CB980">
        <f t="shared" si="137"/>
        <v>2024</v>
      </c>
      <c r="CC980" t="str">
        <f t="shared" si="138"/>
        <v>2024-8</v>
      </c>
    </row>
    <row r="981" spans="1:81" x14ac:dyDescent="0.25">
      <c r="A981" t="s">
        <v>36</v>
      </c>
      <c r="B981" t="s">
        <v>196</v>
      </c>
      <c r="C981" t="s">
        <v>447</v>
      </c>
      <c r="D981">
        <v>24128</v>
      </c>
      <c r="E981">
        <v>7</v>
      </c>
      <c r="AI981" t="s">
        <v>29</v>
      </c>
      <c r="AJ981">
        <v>55486</v>
      </c>
      <c r="AL981">
        <f>COUNTIF(AI:AI,AK981)</f>
        <v>0</v>
      </c>
      <c r="AM981">
        <f>SUMIF(AI:AI,AK981,AJ:AJ)</f>
        <v>0</v>
      </c>
      <c r="BP981" t="s">
        <v>20</v>
      </c>
      <c r="BQ981" t="s">
        <v>378</v>
      </c>
      <c r="BR981">
        <f t="shared" si="132"/>
        <v>5</v>
      </c>
      <c r="BS981">
        <f t="shared" si="133"/>
        <v>2024</v>
      </c>
      <c r="BT981">
        <v>7</v>
      </c>
      <c r="BU981" t="str">
        <f t="shared" si="134"/>
        <v>2024-5</v>
      </c>
      <c r="BV981">
        <f t="shared" si="135"/>
        <v>1</v>
      </c>
      <c r="BX981" t="s">
        <v>36</v>
      </c>
      <c r="BY981" t="s">
        <v>447</v>
      </c>
      <c r="BZ981">
        <v>24128</v>
      </c>
      <c r="CA981">
        <f t="shared" si="136"/>
        <v>8</v>
      </c>
      <c r="CB981">
        <f t="shared" si="137"/>
        <v>2024</v>
      </c>
      <c r="CC981" t="str">
        <f t="shared" si="138"/>
        <v>2024-8</v>
      </c>
    </row>
    <row r="982" spans="1:81" x14ac:dyDescent="0.25">
      <c r="A982" t="s">
        <v>33</v>
      </c>
      <c r="B982" t="s">
        <v>29</v>
      </c>
      <c r="C982" t="s">
        <v>447</v>
      </c>
      <c r="D982">
        <v>55486</v>
      </c>
      <c r="E982">
        <v>6</v>
      </c>
      <c r="AI982" t="s">
        <v>352</v>
      </c>
      <c r="AJ982">
        <v>82617</v>
      </c>
      <c r="AL982">
        <f>COUNTIF(AI:AI,AK982)</f>
        <v>0</v>
      </c>
      <c r="AM982">
        <f>SUMIF(AI:AI,AK982,AJ:AJ)</f>
        <v>0</v>
      </c>
      <c r="BP982" t="s">
        <v>20</v>
      </c>
      <c r="BQ982" t="s">
        <v>383</v>
      </c>
      <c r="BR982">
        <f t="shared" si="132"/>
        <v>5</v>
      </c>
      <c r="BS982">
        <f t="shared" si="133"/>
        <v>2024</v>
      </c>
      <c r="BT982">
        <v>6</v>
      </c>
      <c r="BU982" t="str">
        <f t="shared" si="134"/>
        <v>2024-5</v>
      </c>
      <c r="BV982">
        <f t="shared" si="135"/>
        <v>0</v>
      </c>
      <c r="BX982" t="s">
        <v>33</v>
      </c>
      <c r="BY982" t="s">
        <v>447</v>
      </c>
      <c r="BZ982">
        <v>55486</v>
      </c>
      <c r="CA982">
        <f t="shared" si="136"/>
        <v>8</v>
      </c>
      <c r="CB982">
        <f t="shared" si="137"/>
        <v>2024</v>
      </c>
      <c r="CC982" t="str">
        <f t="shared" si="138"/>
        <v>2024-8</v>
      </c>
    </row>
    <row r="983" spans="1:81" x14ac:dyDescent="0.25">
      <c r="A983" t="s">
        <v>12</v>
      </c>
      <c r="B983" t="s">
        <v>352</v>
      </c>
      <c r="C983" t="s">
        <v>448</v>
      </c>
      <c r="D983">
        <v>82617</v>
      </c>
      <c r="E983">
        <v>7</v>
      </c>
      <c r="AI983" t="s">
        <v>214</v>
      </c>
      <c r="AJ983">
        <v>95453</v>
      </c>
      <c r="AL983">
        <f>COUNTIF(AI:AI,AK983)</f>
        <v>0</v>
      </c>
      <c r="AM983">
        <f>SUMIF(AI:AI,AK983,AJ:AJ)</f>
        <v>0</v>
      </c>
      <c r="BP983" t="s">
        <v>20</v>
      </c>
      <c r="BQ983" t="s">
        <v>389</v>
      </c>
      <c r="BR983">
        <f t="shared" ref="BR983:BR1001" si="139">MONTH(BQ983)</f>
        <v>6</v>
      </c>
      <c r="BS983">
        <f t="shared" si="133"/>
        <v>2024</v>
      </c>
      <c r="BT983">
        <v>7</v>
      </c>
      <c r="BU983" t="str">
        <f t="shared" si="134"/>
        <v>2024-6</v>
      </c>
      <c r="BV983">
        <f t="shared" si="135"/>
        <v>1</v>
      </c>
      <c r="BX983" t="s">
        <v>12</v>
      </c>
      <c r="BY983" t="s">
        <v>448</v>
      </c>
      <c r="BZ983">
        <v>82617</v>
      </c>
      <c r="CA983">
        <f t="shared" si="136"/>
        <v>8</v>
      </c>
      <c r="CB983">
        <f t="shared" si="137"/>
        <v>2024</v>
      </c>
      <c r="CC983" t="str">
        <f t="shared" si="138"/>
        <v>2024-8</v>
      </c>
    </row>
    <row r="984" spans="1:81" x14ac:dyDescent="0.25">
      <c r="A984" t="s">
        <v>5</v>
      </c>
      <c r="B984" t="s">
        <v>214</v>
      </c>
      <c r="C984" t="s">
        <v>448</v>
      </c>
      <c r="D984">
        <v>95453</v>
      </c>
      <c r="E984">
        <v>3</v>
      </c>
      <c r="AI984" t="s">
        <v>325</v>
      </c>
      <c r="AJ984">
        <v>16815</v>
      </c>
      <c r="AL984">
        <f>COUNTIF(AI:AI,AK984)</f>
        <v>0</v>
      </c>
      <c r="AM984">
        <f>SUMIF(AI:AI,AK984,AJ:AJ)</f>
        <v>0</v>
      </c>
      <c r="BP984" t="s">
        <v>20</v>
      </c>
      <c r="BQ984" t="s">
        <v>389</v>
      </c>
      <c r="BR984">
        <f t="shared" si="139"/>
        <v>6</v>
      </c>
      <c r="BS984">
        <f t="shared" si="133"/>
        <v>2024</v>
      </c>
      <c r="BT984">
        <v>3</v>
      </c>
      <c r="BU984" t="str">
        <f t="shared" si="134"/>
        <v>2024-6</v>
      </c>
      <c r="BV984">
        <f t="shared" si="135"/>
        <v>0</v>
      </c>
      <c r="BX984" t="s">
        <v>5</v>
      </c>
      <c r="BY984" t="s">
        <v>448</v>
      </c>
      <c r="BZ984">
        <v>95453</v>
      </c>
      <c r="CA984">
        <f t="shared" si="136"/>
        <v>8</v>
      </c>
      <c r="CB984">
        <f t="shared" si="137"/>
        <v>2024</v>
      </c>
      <c r="CC984" t="str">
        <f t="shared" si="138"/>
        <v>2024-8</v>
      </c>
    </row>
    <row r="985" spans="1:81" x14ac:dyDescent="0.25">
      <c r="A985" t="s">
        <v>8</v>
      </c>
      <c r="B985" t="s">
        <v>325</v>
      </c>
      <c r="C985" t="s">
        <v>448</v>
      </c>
      <c r="D985">
        <v>16815</v>
      </c>
      <c r="E985">
        <v>8</v>
      </c>
      <c r="AI985" t="s">
        <v>255</v>
      </c>
      <c r="AJ985">
        <v>40600</v>
      </c>
      <c r="AL985">
        <f>COUNTIF(AI:AI,AK985)</f>
        <v>0</v>
      </c>
      <c r="AM985">
        <f>SUMIF(AI:AI,AK985,AJ:AJ)</f>
        <v>0</v>
      </c>
      <c r="BP985" t="s">
        <v>20</v>
      </c>
      <c r="BQ985" t="s">
        <v>389</v>
      </c>
      <c r="BR985">
        <f t="shared" si="139"/>
        <v>6</v>
      </c>
      <c r="BS985">
        <f t="shared" si="133"/>
        <v>2024</v>
      </c>
      <c r="BT985">
        <v>8</v>
      </c>
      <c r="BU985" t="str">
        <f t="shared" si="134"/>
        <v>2024-6</v>
      </c>
      <c r="BV985">
        <f t="shared" si="135"/>
        <v>1</v>
      </c>
      <c r="BX985" t="s">
        <v>8</v>
      </c>
      <c r="BY985" t="s">
        <v>448</v>
      </c>
      <c r="BZ985">
        <v>16815</v>
      </c>
      <c r="CA985">
        <f t="shared" si="136"/>
        <v>8</v>
      </c>
      <c r="CB985">
        <f t="shared" si="137"/>
        <v>2024</v>
      </c>
      <c r="CC985" t="str">
        <f t="shared" si="138"/>
        <v>2024-8</v>
      </c>
    </row>
    <row r="986" spans="1:81" x14ac:dyDescent="0.25">
      <c r="A986" t="s">
        <v>36</v>
      </c>
      <c r="B986" t="s">
        <v>255</v>
      </c>
      <c r="C986" t="s">
        <v>448</v>
      </c>
      <c r="D986">
        <v>40600</v>
      </c>
      <c r="E986">
        <v>7</v>
      </c>
      <c r="AI986" t="s">
        <v>93</v>
      </c>
      <c r="AJ986">
        <v>95306</v>
      </c>
      <c r="AL986">
        <f>COUNTIF(AI:AI,AK986)</f>
        <v>0</v>
      </c>
      <c r="AM986">
        <f>SUMIF(AI:AI,AK986,AJ:AJ)</f>
        <v>0</v>
      </c>
      <c r="BP986" t="s">
        <v>20</v>
      </c>
      <c r="BQ986" t="s">
        <v>391</v>
      </c>
      <c r="BR986">
        <f t="shared" si="139"/>
        <v>6</v>
      </c>
      <c r="BS986">
        <f t="shared" si="133"/>
        <v>2024</v>
      </c>
      <c r="BT986">
        <v>7</v>
      </c>
      <c r="BU986" t="str">
        <f t="shared" si="134"/>
        <v>2024-6</v>
      </c>
      <c r="BV986">
        <f t="shared" si="135"/>
        <v>1</v>
      </c>
      <c r="BX986" t="s">
        <v>36</v>
      </c>
      <c r="BY986" t="s">
        <v>448</v>
      </c>
      <c r="BZ986">
        <v>40600</v>
      </c>
      <c r="CA986">
        <f t="shared" si="136"/>
        <v>8</v>
      </c>
      <c r="CB986">
        <f t="shared" si="137"/>
        <v>2024</v>
      </c>
      <c r="CC986" t="str">
        <f t="shared" si="138"/>
        <v>2024-8</v>
      </c>
    </row>
    <row r="987" spans="1:81" x14ac:dyDescent="0.25">
      <c r="A987" t="s">
        <v>27</v>
      </c>
      <c r="B987" t="s">
        <v>93</v>
      </c>
      <c r="C987" t="s">
        <v>448</v>
      </c>
      <c r="D987">
        <v>95306</v>
      </c>
      <c r="E987">
        <v>8</v>
      </c>
      <c r="AI987" t="s">
        <v>327</v>
      </c>
      <c r="AJ987">
        <v>48748</v>
      </c>
      <c r="AL987">
        <f>COUNTIF(AI:AI,AK987)</f>
        <v>0</v>
      </c>
      <c r="AM987">
        <f>SUMIF(AI:AI,AK987,AJ:AJ)</f>
        <v>0</v>
      </c>
      <c r="BP987" t="s">
        <v>20</v>
      </c>
      <c r="BQ987" t="s">
        <v>400</v>
      </c>
      <c r="BR987">
        <f t="shared" si="139"/>
        <v>6</v>
      </c>
      <c r="BS987">
        <f t="shared" si="133"/>
        <v>2024</v>
      </c>
      <c r="BT987">
        <v>8</v>
      </c>
      <c r="BU987" t="str">
        <f t="shared" si="134"/>
        <v>2024-6</v>
      </c>
      <c r="BV987">
        <f t="shared" si="135"/>
        <v>1</v>
      </c>
      <c r="BX987" t="s">
        <v>27</v>
      </c>
      <c r="BY987" t="s">
        <v>448</v>
      </c>
      <c r="BZ987">
        <v>95306</v>
      </c>
      <c r="CA987">
        <f t="shared" si="136"/>
        <v>8</v>
      </c>
      <c r="CB987">
        <f t="shared" si="137"/>
        <v>2024</v>
      </c>
      <c r="CC987" t="str">
        <f t="shared" si="138"/>
        <v>2024-8</v>
      </c>
    </row>
    <row r="988" spans="1:81" x14ac:dyDescent="0.25">
      <c r="A988" t="s">
        <v>12</v>
      </c>
      <c r="B988" t="s">
        <v>327</v>
      </c>
      <c r="C988" t="s">
        <v>449</v>
      </c>
      <c r="D988">
        <v>48748</v>
      </c>
      <c r="E988">
        <v>8</v>
      </c>
      <c r="AI988" t="s">
        <v>55</v>
      </c>
      <c r="AJ988">
        <v>66668</v>
      </c>
      <c r="AL988">
        <f>COUNTIF(AI:AI,AK988)</f>
        <v>0</v>
      </c>
      <c r="AM988">
        <f>SUMIF(AI:AI,AK988,AJ:AJ)</f>
        <v>0</v>
      </c>
      <c r="BP988" t="s">
        <v>20</v>
      </c>
      <c r="BQ988" t="s">
        <v>401</v>
      </c>
      <c r="BR988">
        <f t="shared" si="139"/>
        <v>6</v>
      </c>
      <c r="BS988">
        <f t="shared" si="133"/>
        <v>2024</v>
      </c>
      <c r="BT988">
        <v>8</v>
      </c>
      <c r="BU988" t="str">
        <f t="shared" si="134"/>
        <v>2024-6</v>
      </c>
      <c r="BV988">
        <f t="shared" si="135"/>
        <v>1</v>
      </c>
      <c r="BX988" t="s">
        <v>12</v>
      </c>
      <c r="BY988" t="s">
        <v>449</v>
      </c>
      <c r="BZ988">
        <v>48748</v>
      </c>
      <c r="CA988">
        <f t="shared" si="136"/>
        <v>8</v>
      </c>
      <c r="CB988">
        <f t="shared" si="137"/>
        <v>2024</v>
      </c>
      <c r="CC988" t="str">
        <f t="shared" si="138"/>
        <v>2024-8</v>
      </c>
    </row>
    <row r="989" spans="1:81" x14ac:dyDescent="0.25">
      <c r="A989" t="s">
        <v>33</v>
      </c>
      <c r="B989" t="s">
        <v>55</v>
      </c>
      <c r="C989" t="s">
        <v>449</v>
      </c>
      <c r="D989">
        <v>66668</v>
      </c>
      <c r="E989">
        <v>8</v>
      </c>
      <c r="AI989" t="s">
        <v>90</v>
      </c>
      <c r="AJ989">
        <v>89010</v>
      </c>
      <c r="AL989">
        <f>COUNTIF(AI:AI,AK989)</f>
        <v>0</v>
      </c>
      <c r="AM989">
        <f>SUMIF(AI:AI,AK989,AJ:AJ)</f>
        <v>0</v>
      </c>
      <c r="BP989" t="s">
        <v>20</v>
      </c>
      <c r="BQ989" t="s">
        <v>403</v>
      </c>
      <c r="BR989">
        <f t="shared" si="139"/>
        <v>6</v>
      </c>
      <c r="BS989">
        <f t="shared" si="133"/>
        <v>2024</v>
      </c>
      <c r="BT989">
        <v>8</v>
      </c>
      <c r="BU989" t="str">
        <f t="shared" si="134"/>
        <v>2024-6</v>
      </c>
      <c r="BV989">
        <f t="shared" si="135"/>
        <v>1</v>
      </c>
      <c r="BX989" t="s">
        <v>33</v>
      </c>
      <c r="BY989" t="s">
        <v>449</v>
      </c>
      <c r="BZ989">
        <v>66668</v>
      </c>
      <c r="CA989">
        <f t="shared" si="136"/>
        <v>8</v>
      </c>
      <c r="CB989">
        <f t="shared" si="137"/>
        <v>2024</v>
      </c>
      <c r="CC989" t="str">
        <f t="shared" si="138"/>
        <v>2024-8</v>
      </c>
    </row>
    <row r="990" spans="1:81" x14ac:dyDescent="0.25">
      <c r="A990" t="s">
        <v>8</v>
      </c>
      <c r="B990" t="s">
        <v>90</v>
      </c>
      <c r="C990" t="s">
        <v>450</v>
      </c>
      <c r="D990">
        <v>89010</v>
      </c>
      <c r="E990">
        <v>1</v>
      </c>
      <c r="AI990" t="s">
        <v>451</v>
      </c>
      <c r="AJ990">
        <v>71474</v>
      </c>
      <c r="AL990">
        <f>COUNTIF(AI:AI,AK990)</f>
        <v>0</v>
      </c>
      <c r="AM990">
        <f>SUMIF(AI:AI,AK990,AJ:AJ)</f>
        <v>0</v>
      </c>
      <c r="BP990" t="s">
        <v>20</v>
      </c>
      <c r="BQ990" t="s">
        <v>411</v>
      </c>
      <c r="BR990">
        <f t="shared" si="139"/>
        <v>7</v>
      </c>
      <c r="BS990">
        <f t="shared" si="133"/>
        <v>2024</v>
      </c>
      <c r="BT990">
        <v>1</v>
      </c>
      <c r="BU990" t="str">
        <f t="shared" si="134"/>
        <v>2024-7</v>
      </c>
      <c r="BV990">
        <f t="shared" si="135"/>
        <v>0</v>
      </c>
      <c r="BX990" t="s">
        <v>8</v>
      </c>
      <c r="BY990" t="s">
        <v>450</v>
      </c>
      <c r="BZ990">
        <v>89010</v>
      </c>
      <c r="CA990">
        <f t="shared" si="136"/>
        <v>8</v>
      </c>
      <c r="CB990">
        <f t="shared" si="137"/>
        <v>2024</v>
      </c>
      <c r="CC990" t="str">
        <f t="shared" si="138"/>
        <v>2024-8</v>
      </c>
    </row>
    <row r="991" spans="1:81" x14ac:dyDescent="0.25">
      <c r="A991" t="s">
        <v>17</v>
      </c>
      <c r="B991" t="s">
        <v>451</v>
      </c>
      <c r="C991" t="s">
        <v>450</v>
      </c>
      <c r="D991">
        <v>71474</v>
      </c>
      <c r="E991">
        <v>8</v>
      </c>
      <c r="AI991" t="s">
        <v>118</v>
      </c>
      <c r="AJ991">
        <v>95633</v>
      </c>
      <c r="AL991">
        <f>COUNTIF(AI:AI,AK991)</f>
        <v>0</v>
      </c>
      <c r="AM991">
        <f>SUMIF(AI:AI,AK991,AJ:AJ)</f>
        <v>0</v>
      </c>
      <c r="BP991" t="s">
        <v>20</v>
      </c>
      <c r="BQ991" t="s">
        <v>420</v>
      </c>
      <c r="BR991">
        <f t="shared" si="139"/>
        <v>7</v>
      </c>
      <c r="BS991">
        <f t="shared" si="133"/>
        <v>2024</v>
      </c>
      <c r="BT991">
        <v>8</v>
      </c>
      <c r="BU991" t="str">
        <f t="shared" si="134"/>
        <v>2024-7</v>
      </c>
      <c r="BV991">
        <f t="shared" si="135"/>
        <v>1</v>
      </c>
      <c r="BX991" t="s">
        <v>17</v>
      </c>
      <c r="BY991" t="s">
        <v>450</v>
      </c>
      <c r="BZ991">
        <v>71474</v>
      </c>
      <c r="CA991">
        <f t="shared" si="136"/>
        <v>8</v>
      </c>
      <c r="CB991">
        <f t="shared" si="137"/>
        <v>2024</v>
      </c>
      <c r="CC991" t="str">
        <f t="shared" si="138"/>
        <v>2024-8</v>
      </c>
    </row>
    <row r="992" spans="1:81" x14ac:dyDescent="0.25">
      <c r="A992" t="s">
        <v>33</v>
      </c>
      <c r="B992" t="s">
        <v>118</v>
      </c>
      <c r="C992" t="s">
        <v>452</v>
      </c>
      <c r="D992">
        <v>95633</v>
      </c>
      <c r="E992">
        <v>2</v>
      </c>
      <c r="AI992" t="s">
        <v>279</v>
      </c>
      <c r="AJ992">
        <v>30425</v>
      </c>
      <c r="AL992">
        <f>COUNTIF(AI:AI,AK992)</f>
        <v>0</v>
      </c>
      <c r="AM992">
        <f>SUMIF(AI:AI,AK992,AJ:AJ)</f>
        <v>0</v>
      </c>
      <c r="BP992" t="s">
        <v>20</v>
      </c>
      <c r="BQ992" t="s">
        <v>426</v>
      </c>
      <c r="BR992">
        <f t="shared" si="139"/>
        <v>7</v>
      </c>
      <c r="BS992">
        <f t="shared" si="133"/>
        <v>2024</v>
      </c>
      <c r="BT992">
        <v>2</v>
      </c>
      <c r="BU992" t="str">
        <f t="shared" si="134"/>
        <v>2024-7</v>
      </c>
      <c r="BV992">
        <f t="shared" si="135"/>
        <v>0</v>
      </c>
      <c r="BX992" t="s">
        <v>33</v>
      </c>
      <c r="BY992" t="s">
        <v>452</v>
      </c>
      <c r="BZ992">
        <v>95633</v>
      </c>
      <c r="CA992">
        <f t="shared" si="136"/>
        <v>8</v>
      </c>
      <c r="CB992">
        <f t="shared" si="137"/>
        <v>2024</v>
      </c>
      <c r="CC992" t="str">
        <f t="shared" si="138"/>
        <v>2024-8</v>
      </c>
    </row>
    <row r="993" spans="1:81" x14ac:dyDescent="0.25">
      <c r="A993" t="s">
        <v>8</v>
      </c>
      <c r="B993" t="s">
        <v>279</v>
      </c>
      <c r="C993" t="s">
        <v>452</v>
      </c>
      <c r="D993">
        <v>30425</v>
      </c>
      <c r="E993">
        <v>10</v>
      </c>
      <c r="AI993" t="s">
        <v>165</v>
      </c>
      <c r="AJ993">
        <v>59114</v>
      </c>
      <c r="AL993">
        <f>COUNTIF(AI:AI,AK993)</f>
        <v>0</v>
      </c>
      <c r="AM993">
        <f>SUMIF(AI:AI,AK993,AJ:AJ)</f>
        <v>0</v>
      </c>
      <c r="BP993" t="s">
        <v>20</v>
      </c>
      <c r="BQ993" t="s">
        <v>429</v>
      </c>
      <c r="BR993">
        <f t="shared" si="139"/>
        <v>7</v>
      </c>
      <c r="BS993">
        <f t="shared" si="133"/>
        <v>2024</v>
      </c>
      <c r="BT993">
        <v>10</v>
      </c>
      <c r="BU993" t="str">
        <f t="shared" si="134"/>
        <v>2024-7</v>
      </c>
      <c r="BV993">
        <f t="shared" si="135"/>
        <v>2</v>
      </c>
      <c r="BX993" t="s">
        <v>8</v>
      </c>
      <c r="BY993" t="s">
        <v>452</v>
      </c>
      <c r="BZ993">
        <v>30425</v>
      </c>
      <c r="CA993">
        <f t="shared" si="136"/>
        <v>8</v>
      </c>
      <c r="CB993">
        <f t="shared" si="137"/>
        <v>2024</v>
      </c>
      <c r="CC993" t="str">
        <f t="shared" si="138"/>
        <v>2024-8</v>
      </c>
    </row>
    <row r="994" spans="1:81" x14ac:dyDescent="0.25">
      <c r="A994" t="s">
        <v>33</v>
      </c>
      <c r="B994" t="s">
        <v>165</v>
      </c>
      <c r="C994" t="s">
        <v>452</v>
      </c>
      <c r="D994">
        <v>59114</v>
      </c>
      <c r="E994">
        <v>2</v>
      </c>
      <c r="AI994" t="s">
        <v>296</v>
      </c>
      <c r="AJ994">
        <v>37775</v>
      </c>
      <c r="AL994">
        <f>COUNTIF(AI:AI,AK994)</f>
        <v>0</v>
      </c>
      <c r="AM994">
        <f>SUMIF(AI:AI,AK994,AJ:AJ)</f>
        <v>0</v>
      </c>
      <c r="BP994" t="s">
        <v>20</v>
      </c>
      <c r="BQ994" t="s">
        <v>430</v>
      </c>
      <c r="BR994">
        <f t="shared" si="139"/>
        <v>7</v>
      </c>
      <c r="BS994">
        <f t="shared" si="133"/>
        <v>2024</v>
      </c>
      <c r="BT994">
        <v>2</v>
      </c>
      <c r="BU994" t="str">
        <f t="shared" si="134"/>
        <v>2024-7</v>
      </c>
      <c r="BV994">
        <f t="shared" si="135"/>
        <v>0</v>
      </c>
      <c r="BX994" t="s">
        <v>33</v>
      </c>
      <c r="BY994" t="s">
        <v>452</v>
      </c>
      <c r="BZ994">
        <v>59114</v>
      </c>
      <c r="CA994">
        <f t="shared" si="136"/>
        <v>8</v>
      </c>
      <c r="CB994">
        <f t="shared" si="137"/>
        <v>2024</v>
      </c>
      <c r="CC994" t="str">
        <f t="shared" si="138"/>
        <v>2024-8</v>
      </c>
    </row>
    <row r="995" spans="1:81" x14ac:dyDescent="0.25">
      <c r="A995" t="s">
        <v>14</v>
      </c>
      <c r="B995" t="s">
        <v>296</v>
      </c>
      <c r="C995" t="s">
        <v>452</v>
      </c>
      <c r="D995">
        <v>37775</v>
      </c>
      <c r="E995">
        <v>6</v>
      </c>
      <c r="AI995" t="s">
        <v>253</v>
      </c>
      <c r="AJ995">
        <v>85289</v>
      </c>
      <c r="AL995">
        <f>COUNTIF(AI:AI,AK995)</f>
        <v>0</v>
      </c>
      <c r="AM995">
        <f>SUMIF(AI:AI,AK995,AJ:AJ)</f>
        <v>0</v>
      </c>
      <c r="BP995" t="s">
        <v>20</v>
      </c>
      <c r="BQ995" t="s">
        <v>431</v>
      </c>
      <c r="BR995">
        <f t="shared" si="139"/>
        <v>8</v>
      </c>
      <c r="BS995">
        <f t="shared" si="133"/>
        <v>2024</v>
      </c>
      <c r="BT995">
        <v>6</v>
      </c>
      <c r="BU995" t="str">
        <f t="shared" si="134"/>
        <v>2024-8</v>
      </c>
      <c r="BV995">
        <f t="shared" si="135"/>
        <v>0</v>
      </c>
      <c r="BX995" t="s">
        <v>14</v>
      </c>
      <c r="BY995" t="s">
        <v>452</v>
      </c>
      <c r="BZ995">
        <v>37775</v>
      </c>
      <c r="CA995">
        <f t="shared" si="136"/>
        <v>8</v>
      </c>
      <c r="CB995">
        <f t="shared" si="137"/>
        <v>2024</v>
      </c>
      <c r="CC995" t="str">
        <f t="shared" si="138"/>
        <v>2024-8</v>
      </c>
    </row>
    <row r="996" spans="1:81" x14ac:dyDescent="0.25">
      <c r="A996" t="s">
        <v>8</v>
      </c>
      <c r="B996" t="s">
        <v>253</v>
      </c>
      <c r="C996" t="s">
        <v>453</v>
      </c>
      <c r="D996">
        <v>85289</v>
      </c>
      <c r="E996">
        <v>4</v>
      </c>
      <c r="AI996" t="s">
        <v>238</v>
      </c>
      <c r="AJ996">
        <v>68513</v>
      </c>
      <c r="AL996">
        <f>COUNTIF(AI:AI,AK996)</f>
        <v>0</v>
      </c>
      <c r="AM996">
        <f>SUMIF(AI:AI,AK996,AJ:AJ)</f>
        <v>0</v>
      </c>
      <c r="BP996" t="s">
        <v>20</v>
      </c>
      <c r="BQ996" t="s">
        <v>432</v>
      </c>
      <c r="BR996">
        <f t="shared" si="139"/>
        <v>8</v>
      </c>
      <c r="BS996">
        <f t="shared" si="133"/>
        <v>2024</v>
      </c>
      <c r="BT996">
        <v>4</v>
      </c>
      <c r="BU996" t="str">
        <f t="shared" si="134"/>
        <v>2024-8</v>
      </c>
      <c r="BV996">
        <f t="shared" si="135"/>
        <v>0</v>
      </c>
      <c r="BX996" t="s">
        <v>8</v>
      </c>
      <c r="BY996" t="s">
        <v>453</v>
      </c>
      <c r="BZ996">
        <v>85289</v>
      </c>
      <c r="CA996">
        <f t="shared" si="136"/>
        <v>8</v>
      </c>
      <c r="CB996">
        <f t="shared" si="137"/>
        <v>2024</v>
      </c>
      <c r="CC996" t="str">
        <f t="shared" si="138"/>
        <v>2024-8</v>
      </c>
    </row>
    <row r="997" spans="1:81" x14ac:dyDescent="0.25">
      <c r="A997" t="s">
        <v>20</v>
      </c>
      <c r="B997" t="s">
        <v>238</v>
      </c>
      <c r="C997" t="s">
        <v>453</v>
      </c>
      <c r="D997">
        <v>68513</v>
      </c>
      <c r="E997">
        <v>10</v>
      </c>
      <c r="AI997" t="s">
        <v>287</v>
      </c>
      <c r="AJ997">
        <v>28606</v>
      </c>
      <c r="AL997">
        <f>COUNTIF(AI:AI,AK997)</f>
        <v>0</v>
      </c>
      <c r="AM997">
        <f>SUMIF(AI:AI,AK997,AJ:AJ)</f>
        <v>0</v>
      </c>
      <c r="BP997" t="s">
        <v>20</v>
      </c>
      <c r="BQ997" t="s">
        <v>435</v>
      </c>
      <c r="BR997">
        <f t="shared" si="139"/>
        <v>8</v>
      </c>
      <c r="BS997">
        <f t="shared" si="133"/>
        <v>2024</v>
      </c>
      <c r="BT997">
        <v>10</v>
      </c>
      <c r="BU997" t="str">
        <f t="shared" si="134"/>
        <v>2024-8</v>
      </c>
      <c r="BV997">
        <f t="shared" si="135"/>
        <v>2</v>
      </c>
      <c r="BX997" t="s">
        <v>20</v>
      </c>
      <c r="BY997" t="s">
        <v>453</v>
      </c>
      <c r="BZ997">
        <v>68513</v>
      </c>
      <c r="CA997">
        <f t="shared" si="136"/>
        <v>8</v>
      </c>
      <c r="CB997">
        <f t="shared" si="137"/>
        <v>2024</v>
      </c>
      <c r="CC997" t="str">
        <f t="shared" si="138"/>
        <v>2024-8</v>
      </c>
    </row>
    <row r="998" spans="1:81" x14ac:dyDescent="0.25">
      <c r="A998" t="s">
        <v>14</v>
      </c>
      <c r="B998" t="s">
        <v>287</v>
      </c>
      <c r="C998" t="s">
        <v>454</v>
      </c>
      <c r="D998">
        <v>28606</v>
      </c>
      <c r="E998">
        <v>9</v>
      </c>
      <c r="AI998" t="s">
        <v>220</v>
      </c>
      <c r="AJ998">
        <v>79185</v>
      </c>
      <c r="AL998">
        <f>COUNTIF(AI:AI,AK998)</f>
        <v>0</v>
      </c>
      <c r="AM998">
        <f>SUMIF(AI:AI,AK998,AJ:AJ)</f>
        <v>0</v>
      </c>
      <c r="BP998" t="s">
        <v>20</v>
      </c>
      <c r="BQ998" t="s">
        <v>438</v>
      </c>
      <c r="BR998">
        <f t="shared" si="139"/>
        <v>8</v>
      </c>
      <c r="BS998">
        <f t="shared" si="133"/>
        <v>2024</v>
      </c>
      <c r="BT998">
        <v>9</v>
      </c>
      <c r="BU998" t="str">
        <f t="shared" si="134"/>
        <v>2024-8</v>
      </c>
      <c r="BV998">
        <f t="shared" si="135"/>
        <v>2</v>
      </c>
      <c r="BX998" t="s">
        <v>14</v>
      </c>
      <c r="BY998" t="s">
        <v>454</v>
      </c>
      <c r="BZ998">
        <v>28606</v>
      </c>
      <c r="CA998">
        <f t="shared" si="136"/>
        <v>8</v>
      </c>
      <c r="CB998">
        <f t="shared" si="137"/>
        <v>2024</v>
      </c>
      <c r="CC998" t="str">
        <f t="shared" si="138"/>
        <v>2024-8</v>
      </c>
    </row>
    <row r="999" spans="1:81" x14ac:dyDescent="0.25">
      <c r="A999" t="s">
        <v>33</v>
      </c>
      <c r="B999" t="s">
        <v>220</v>
      </c>
      <c r="C999" t="s">
        <v>454</v>
      </c>
      <c r="D999">
        <v>79185</v>
      </c>
      <c r="E999">
        <v>7</v>
      </c>
      <c r="AI999" t="s">
        <v>214</v>
      </c>
      <c r="AJ999">
        <v>87632</v>
      </c>
      <c r="AL999">
        <f>COUNTIF(AI:AI,AK999)</f>
        <v>0</v>
      </c>
      <c r="AM999">
        <f>SUMIF(AI:AI,AK999,AJ:AJ)</f>
        <v>0</v>
      </c>
      <c r="BP999" t="s">
        <v>20</v>
      </c>
      <c r="BQ999" t="s">
        <v>438</v>
      </c>
      <c r="BR999">
        <f t="shared" si="139"/>
        <v>8</v>
      </c>
      <c r="BS999">
        <f t="shared" si="133"/>
        <v>2024</v>
      </c>
      <c r="BT999">
        <v>7</v>
      </c>
      <c r="BU999" t="str">
        <f t="shared" si="134"/>
        <v>2024-8</v>
      </c>
      <c r="BV999">
        <f t="shared" si="135"/>
        <v>1</v>
      </c>
      <c r="BX999" t="s">
        <v>33</v>
      </c>
      <c r="BY999" t="s">
        <v>454</v>
      </c>
      <c r="BZ999">
        <v>79185</v>
      </c>
      <c r="CA999">
        <f t="shared" si="136"/>
        <v>8</v>
      </c>
      <c r="CB999">
        <f t="shared" si="137"/>
        <v>2024</v>
      </c>
      <c r="CC999" t="str">
        <f t="shared" si="138"/>
        <v>2024-8</v>
      </c>
    </row>
    <row r="1000" spans="1:81" x14ac:dyDescent="0.25">
      <c r="A1000" t="s">
        <v>17</v>
      </c>
      <c r="B1000" t="s">
        <v>214</v>
      </c>
      <c r="C1000" t="s">
        <v>454</v>
      </c>
      <c r="D1000">
        <v>87632</v>
      </c>
      <c r="E1000">
        <v>3</v>
      </c>
      <c r="AI1000" t="s">
        <v>180</v>
      </c>
      <c r="AJ1000">
        <v>74244</v>
      </c>
      <c r="AL1000">
        <f>COUNTIF(AI:AI,AK1000)</f>
        <v>0</v>
      </c>
      <c r="AM1000">
        <f>SUMIF(AI:AI,AK1000,AJ:AJ)</f>
        <v>0</v>
      </c>
      <c r="BP1000" t="s">
        <v>20</v>
      </c>
      <c r="BQ1000" t="s">
        <v>444</v>
      </c>
      <c r="BR1000">
        <f t="shared" si="139"/>
        <v>8</v>
      </c>
      <c r="BS1000">
        <f t="shared" si="133"/>
        <v>2024</v>
      </c>
      <c r="BT1000">
        <v>3</v>
      </c>
      <c r="BU1000" t="str">
        <f t="shared" si="134"/>
        <v>2024-8</v>
      </c>
      <c r="BV1000">
        <f t="shared" si="135"/>
        <v>0</v>
      </c>
      <c r="BX1000" t="s">
        <v>17</v>
      </c>
      <c r="BY1000" t="s">
        <v>454</v>
      </c>
      <c r="BZ1000">
        <v>87632</v>
      </c>
      <c r="CA1000">
        <f t="shared" si="136"/>
        <v>8</v>
      </c>
      <c r="CB1000">
        <f t="shared" si="137"/>
        <v>2024</v>
      </c>
      <c r="CC1000" t="str">
        <f t="shared" si="138"/>
        <v>2024-8</v>
      </c>
    </row>
    <row r="1001" spans="1:81" x14ac:dyDescent="0.25">
      <c r="A1001" t="s">
        <v>12</v>
      </c>
      <c r="B1001" t="s">
        <v>180</v>
      </c>
      <c r="C1001" t="s">
        <v>455</v>
      </c>
      <c r="D1001">
        <v>74244</v>
      </c>
      <c r="E1001">
        <v>6</v>
      </c>
      <c r="AL1001">
        <f>COUNTIF(AI:AI,AK1001)</f>
        <v>0</v>
      </c>
      <c r="AM1001">
        <f>SUMIF(AI:AI,AK1001,AJ:AJ)</f>
        <v>0</v>
      </c>
      <c r="BP1001" t="s">
        <v>20</v>
      </c>
      <c r="BQ1001" t="s">
        <v>453</v>
      </c>
      <c r="BR1001">
        <f t="shared" si="139"/>
        <v>8</v>
      </c>
      <c r="BS1001">
        <f t="shared" si="133"/>
        <v>2024</v>
      </c>
      <c r="BT1001">
        <v>6</v>
      </c>
      <c r="BU1001" t="str">
        <f t="shared" si="134"/>
        <v>2024-8</v>
      </c>
      <c r="BV1001">
        <f t="shared" si="135"/>
        <v>0</v>
      </c>
      <c r="BX1001" t="s">
        <v>12</v>
      </c>
      <c r="BY1001" t="s">
        <v>455</v>
      </c>
      <c r="BZ1001">
        <v>74244</v>
      </c>
      <c r="CA1001">
        <f t="shared" si="136"/>
        <v>9</v>
      </c>
      <c r="CB1001">
        <f t="shared" si="137"/>
        <v>2024</v>
      </c>
      <c r="CC1001" t="str">
        <f t="shared" si="138"/>
        <v>2024-9</v>
      </c>
    </row>
  </sheetData>
  <autoFilter ref="BP1:BQ1001">
    <sortState ref="BP2:BQ1001">
      <sortCondition ref="BP1:BP1001"/>
    </sortState>
  </autoFilter>
  <sortState ref="V2:W1001">
    <sortCondition ref="V2:V1001"/>
    <sortCondition descending="1" ref="W2:W100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5"/>
  <sheetViews>
    <sheetView tabSelected="1" topLeftCell="A10" zoomScaleNormal="100" workbookViewId="0">
      <selection activeCell="G25" sqref="G25:I34"/>
    </sheetView>
  </sheetViews>
  <sheetFormatPr defaultRowHeight="15" x14ac:dyDescent="0.25"/>
  <cols>
    <col min="1" max="1" width="27.140625" customWidth="1"/>
    <col min="2" max="2" width="46.85546875" customWidth="1"/>
    <col min="3" max="3" width="10.140625" bestFit="1" customWidth="1"/>
    <col min="4" max="4" width="10.28515625" bestFit="1" customWidth="1"/>
    <col min="5" max="5" width="10.140625" bestFit="1" customWidth="1"/>
    <col min="7" max="7" width="33.5703125" customWidth="1"/>
    <col min="8" max="9" width="13.140625" customWidth="1"/>
    <col min="10" max="10" width="14.28515625" customWidth="1"/>
    <col min="11" max="35" width="13.140625" customWidth="1"/>
  </cols>
  <sheetData>
    <row r="1" spans="1:12" x14ac:dyDescent="0.25">
      <c r="A1" t="s">
        <v>456</v>
      </c>
      <c r="B1" s="2" t="s">
        <v>505</v>
      </c>
    </row>
    <row r="2" spans="1:12" ht="30" x14ac:dyDescent="0.25">
      <c r="A2" s="3" t="s">
        <v>457</v>
      </c>
      <c r="B2" t="s">
        <v>458</v>
      </c>
      <c r="G2" s="4" t="s">
        <v>459</v>
      </c>
      <c r="H2" s="5" t="s">
        <v>460</v>
      </c>
      <c r="I2" s="5" t="s">
        <v>461</v>
      </c>
      <c r="J2" s="6" t="s">
        <v>462</v>
      </c>
      <c r="K2" s="5" t="s">
        <v>4</v>
      </c>
    </row>
    <row r="3" spans="1:12" x14ac:dyDescent="0.25">
      <c r="B3" t="s">
        <v>463</v>
      </c>
      <c r="F3">
        <v>1</v>
      </c>
      <c r="G3" s="23" t="s">
        <v>12</v>
      </c>
      <c r="H3" s="7">
        <v>78</v>
      </c>
      <c r="I3" s="8">
        <v>4152118</v>
      </c>
      <c r="J3" s="7">
        <v>367</v>
      </c>
      <c r="K3" s="9">
        <v>-0.32467532467532467</v>
      </c>
      <c r="L3" s="22"/>
    </row>
    <row r="4" spans="1:12" x14ac:dyDescent="0.25">
      <c r="B4" t="s">
        <v>464</v>
      </c>
      <c r="F4">
        <v>2</v>
      </c>
      <c r="G4" s="23" t="s">
        <v>10</v>
      </c>
      <c r="H4" s="7">
        <v>96</v>
      </c>
      <c r="I4" s="8">
        <v>4929070</v>
      </c>
      <c r="J4" s="7">
        <v>355</v>
      </c>
      <c r="K4" s="9">
        <v>-0.2608695652173913</v>
      </c>
    </row>
    <row r="5" spans="1:12" x14ac:dyDescent="0.25">
      <c r="B5" t="s">
        <v>465</v>
      </c>
      <c r="F5">
        <v>3</v>
      </c>
      <c r="G5" s="23" t="s">
        <v>14</v>
      </c>
      <c r="H5" s="7">
        <v>83</v>
      </c>
      <c r="I5" s="8">
        <v>4215377</v>
      </c>
      <c r="J5" s="7">
        <v>361</v>
      </c>
      <c r="K5" s="9">
        <v>-0.34177215189873417</v>
      </c>
    </row>
    <row r="6" spans="1:12" x14ac:dyDescent="0.25">
      <c r="B6" s="10" t="s">
        <v>466</v>
      </c>
      <c r="F6">
        <v>4</v>
      </c>
      <c r="G6" s="23" t="s">
        <v>33</v>
      </c>
      <c r="H6" s="7">
        <v>76</v>
      </c>
      <c r="I6" s="8">
        <v>3990672</v>
      </c>
      <c r="J6" s="7">
        <v>360</v>
      </c>
      <c r="K6" s="9">
        <v>-0.36842105263157893</v>
      </c>
    </row>
    <row r="7" spans="1:12" x14ac:dyDescent="0.25">
      <c r="B7" s="11" t="s">
        <v>467</v>
      </c>
      <c r="F7">
        <v>5</v>
      </c>
      <c r="G7" s="23" t="s">
        <v>23</v>
      </c>
      <c r="H7" s="7">
        <v>86</v>
      </c>
      <c r="I7" s="8">
        <v>5002098</v>
      </c>
      <c r="J7" s="7">
        <v>351</v>
      </c>
      <c r="K7" s="9">
        <v>-0.37037037037037035</v>
      </c>
    </row>
    <row r="8" spans="1:12" x14ac:dyDescent="0.25">
      <c r="B8" t="s">
        <v>468</v>
      </c>
      <c r="F8">
        <v>6</v>
      </c>
      <c r="G8" s="23" t="s">
        <v>27</v>
      </c>
      <c r="H8" s="7">
        <v>89</v>
      </c>
      <c r="I8" s="8">
        <v>5367389</v>
      </c>
      <c r="J8" s="7">
        <v>354</v>
      </c>
      <c r="K8" s="9">
        <v>-0.38823529411764707</v>
      </c>
    </row>
    <row r="9" spans="1:12" x14ac:dyDescent="0.25">
      <c r="F9">
        <v>7</v>
      </c>
      <c r="G9" s="23" t="s">
        <v>5</v>
      </c>
      <c r="H9" s="7">
        <v>84</v>
      </c>
      <c r="I9" s="8">
        <v>4205293</v>
      </c>
      <c r="J9" s="7">
        <v>357</v>
      </c>
      <c r="K9" s="9">
        <v>-0.35802469135802467</v>
      </c>
    </row>
    <row r="10" spans="1:12" x14ac:dyDescent="0.25">
      <c r="F10">
        <v>8</v>
      </c>
      <c r="G10" s="23" t="s">
        <v>8</v>
      </c>
      <c r="H10" s="7">
        <v>79</v>
      </c>
      <c r="I10" s="8">
        <v>4606392</v>
      </c>
      <c r="J10" s="7">
        <v>363</v>
      </c>
      <c r="K10" s="9">
        <v>-0.14102564102564102</v>
      </c>
    </row>
    <row r="11" spans="1:12" x14ac:dyDescent="0.25">
      <c r="F11">
        <v>9</v>
      </c>
      <c r="G11" s="23" t="s">
        <v>36</v>
      </c>
      <c r="H11" s="7">
        <v>72</v>
      </c>
      <c r="I11" s="8">
        <v>3469845</v>
      </c>
      <c r="J11" s="7">
        <v>352</v>
      </c>
      <c r="K11" s="9">
        <v>-0.15277777777777779</v>
      </c>
    </row>
    <row r="12" spans="1:12" x14ac:dyDescent="0.25">
      <c r="B12" t="s">
        <v>469</v>
      </c>
      <c r="F12">
        <v>10</v>
      </c>
      <c r="G12" s="23" t="s">
        <v>17</v>
      </c>
      <c r="H12" s="7">
        <v>95</v>
      </c>
      <c r="I12" s="8">
        <v>5081350</v>
      </c>
      <c r="J12" s="7">
        <v>361</v>
      </c>
      <c r="K12" s="9">
        <v>-0.17391304347826086</v>
      </c>
    </row>
    <row r="13" spans="1:12" x14ac:dyDescent="0.25">
      <c r="A13" t="s">
        <v>470</v>
      </c>
      <c r="B13" s="23" t="s">
        <v>32</v>
      </c>
      <c r="F13">
        <v>11</v>
      </c>
      <c r="G13" s="23" t="s">
        <v>32</v>
      </c>
      <c r="H13" s="7">
        <v>99</v>
      </c>
      <c r="I13" s="8">
        <v>5712528</v>
      </c>
      <c r="J13" s="7">
        <v>346</v>
      </c>
      <c r="K13" s="9">
        <v>-0.21505376344086022</v>
      </c>
    </row>
    <row r="14" spans="1:12" x14ac:dyDescent="0.25">
      <c r="F14">
        <v>12</v>
      </c>
      <c r="G14" s="23" t="s">
        <v>20</v>
      </c>
      <c r="H14" s="7">
        <v>63</v>
      </c>
      <c r="I14" s="8">
        <v>3764426</v>
      </c>
      <c r="J14" s="7">
        <v>360</v>
      </c>
      <c r="K14" s="9">
        <v>-0.16949152542372881</v>
      </c>
    </row>
    <row r="15" spans="1:12" x14ac:dyDescent="0.25">
      <c r="A15" t="s">
        <v>471</v>
      </c>
      <c r="B15" s="23" t="s">
        <v>32</v>
      </c>
    </row>
    <row r="17" spans="1:11" ht="15.75" x14ac:dyDescent="0.25">
      <c r="A17" t="s">
        <v>472</v>
      </c>
      <c r="B17" s="23" t="s">
        <v>12</v>
      </c>
      <c r="G17" s="12"/>
    </row>
    <row r="19" spans="1:11" x14ac:dyDescent="0.25">
      <c r="A19" t="s">
        <v>4</v>
      </c>
      <c r="B19" s="23" t="s">
        <v>8</v>
      </c>
    </row>
    <row r="21" spans="1:11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3" spans="1:11" x14ac:dyDescent="0.25">
      <c r="A23" s="3" t="s">
        <v>473</v>
      </c>
      <c r="B23" t="s">
        <v>474</v>
      </c>
      <c r="G23" t="s">
        <v>475</v>
      </c>
    </row>
    <row r="24" spans="1:11" x14ac:dyDescent="0.25">
      <c r="B24" s="14" t="s">
        <v>476</v>
      </c>
      <c r="G24" t="s">
        <v>477</v>
      </c>
      <c r="H24" t="s">
        <v>478</v>
      </c>
      <c r="I24" t="s">
        <v>461</v>
      </c>
    </row>
    <row r="25" spans="1:11" x14ac:dyDescent="0.25">
      <c r="B25" s="14" t="s">
        <v>479</v>
      </c>
      <c r="F25">
        <v>1</v>
      </c>
      <c r="G25" s="7" t="s">
        <v>173</v>
      </c>
      <c r="H25" s="7">
        <v>16</v>
      </c>
      <c r="I25" s="7">
        <v>1235514</v>
      </c>
    </row>
    <row r="26" spans="1:11" x14ac:dyDescent="0.25">
      <c r="B26" s="14" t="s">
        <v>480</v>
      </c>
      <c r="F26">
        <v>2</v>
      </c>
      <c r="G26" s="7" t="s">
        <v>53</v>
      </c>
      <c r="H26" s="7">
        <v>17</v>
      </c>
      <c r="I26" s="7">
        <v>957030</v>
      </c>
    </row>
    <row r="27" spans="1:11" x14ac:dyDescent="0.25">
      <c r="F27">
        <v>3</v>
      </c>
      <c r="G27" s="7" t="s">
        <v>30</v>
      </c>
      <c r="H27" s="7">
        <v>14</v>
      </c>
      <c r="I27" s="7">
        <v>863550</v>
      </c>
    </row>
    <row r="28" spans="1:11" x14ac:dyDescent="0.25">
      <c r="F28">
        <v>4</v>
      </c>
      <c r="G28" s="7" t="s">
        <v>183</v>
      </c>
      <c r="H28" s="7">
        <v>11</v>
      </c>
      <c r="I28" s="7">
        <v>723073</v>
      </c>
    </row>
    <row r="29" spans="1:11" x14ac:dyDescent="0.25">
      <c r="F29">
        <v>5</v>
      </c>
      <c r="G29" s="7" t="s">
        <v>41</v>
      </c>
      <c r="H29" s="7">
        <v>11</v>
      </c>
      <c r="I29" s="7">
        <v>663773</v>
      </c>
    </row>
    <row r="30" spans="1:11" x14ac:dyDescent="0.25">
      <c r="F30">
        <v>6</v>
      </c>
      <c r="G30" s="7" t="s">
        <v>48</v>
      </c>
      <c r="H30" s="7">
        <v>11</v>
      </c>
      <c r="I30" s="7">
        <v>659936</v>
      </c>
    </row>
    <row r="31" spans="1:11" x14ac:dyDescent="0.25">
      <c r="F31">
        <v>7</v>
      </c>
      <c r="G31" s="7" t="s">
        <v>90</v>
      </c>
      <c r="H31" s="7">
        <v>10</v>
      </c>
      <c r="I31" s="7">
        <v>645029</v>
      </c>
    </row>
    <row r="32" spans="1:11" x14ac:dyDescent="0.25">
      <c r="F32">
        <v>8</v>
      </c>
      <c r="G32" s="7" t="s">
        <v>35</v>
      </c>
      <c r="H32" s="7">
        <v>11</v>
      </c>
      <c r="I32" s="7">
        <v>628215</v>
      </c>
    </row>
    <row r="33" spans="6:9" x14ac:dyDescent="0.25">
      <c r="F33">
        <v>9</v>
      </c>
      <c r="G33" s="7" t="s">
        <v>47</v>
      </c>
      <c r="H33" s="7">
        <v>9</v>
      </c>
      <c r="I33" s="7">
        <v>605323</v>
      </c>
    </row>
    <row r="34" spans="6:9" x14ac:dyDescent="0.25">
      <c r="F34">
        <v>10</v>
      </c>
      <c r="G34" s="7" t="s">
        <v>158</v>
      </c>
      <c r="H34" s="7">
        <v>11</v>
      </c>
      <c r="I34" s="7">
        <v>599917</v>
      </c>
    </row>
    <row r="37" spans="6:9" x14ac:dyDescent="0.25">
      <c r="G37" t="s">
        <v>481</v>
      </c>
    </row>
    <row r="38" spans="6:9" x14ac:dyDescent="0.25">
      <c r="G38" t="s">
        <v>477</v>
      </c>
      <c r="H38" t="s">
        <v>478</v>
      </c>
      <c r="I38" t="s">
        <v>461</v>
      </c>
    </row>
    <row r="39" spans="6:9" x14ac:dyDescent="0.25">
      <c r="F39">
        <v>1</v>
      </c>
      <c r="G39" s="23" t="s">
        <v>373</v>
      </c>
      <c r="H39" s="7">
        <v>1</v>
      </c>
      <c r="I39" s="23">
        <v>55373</v>
      </c>
    </row>
    <row r="40" spans="6:9" x14ac:dyDescent="0.25">
      <c r="F40">
        <v>2</v>
      </c>
      <c r="G40" s="23" t="s">
        <v>226</v>
      </c>
      <c r="H40" s="7">
        <v>1</v>
      </c>
      <c r="I40" s="23">
        <v>79157</v>
      </c>
    </row>
    <row r="41" spans="6:9" x14ac:dyDescent="0.25">
      <c r="F41">
        <v>3</v>
      </c>
      <c r="G41" s="23" t="s">
        <v>384</v>
      </c>
      <c r="H41" s="7">
        <v>1</v>
      </c>
      <c r="I41" s="23">
        <v>46574</v>
      </c>
    </row>
    <row r="42" spans="6:9" x14ac:dyDescent="0.25">
      <c r="F42">
        <v>4</v>
      </c>
      <c r="G42" s="23" t="s">
        <v>393</v>
      </c>
      <c r="H42" s="7">
        <v>1</v>
      </c>
      <c r="I42" s="23">
        <v>87879</v>
      </c>
    </row>
    <row r="43" spans="6:9" x14ac:dyDescent="0.25">
      <c r="F43">
        <v>5</v>
      </c>
      <c r="G43" s="23" t="s">
        <v>63</v>
      </c>
      <c r="H43" s="7">
        <v>1</v>
      </c>
      <c r="I43" s="23">
        <v>86606</v>
      </c>
    </row>
    <row r="44" spans="6:9" x14ac:dyDescent="0.25">
      <c r="F44">
        <v>6</v>
      </c>
      <c r="G44" s="23" t="s">
        <v>451</v>
      </c>
      <c r="H44" s="7">
        <v>1</v>
      </c>
      <c r="I44" s="23">
        <v>71474</v>
      </c>
    </row>
    <row r="45" spans="6:9" x14ac:dyDescent="0.25">
      <c r="F45">
        <v>7</v>
      </c>
      <c r="G45" s="23" t="s">
        <v>193</v>
      </c>
      <c r="H45" s="7">
        <v>1</v>
      </c>
      <c r="I45" s="23">
        <v>10026</v>
      </c>
    </row>
    <row r="46" spans="6:9" x14ac:dyDescent="0.25">
      <c r="F46">
        <v>8</v>
      </c>
      <c r="G46" s="23" t="s">
        <v>163</v>
      </c>
      <c r="H46" s="7">
        <v>1</v>
      </c>
      <c r="I46" s="23">
        <v>82423</v>
      </c>
    </row>
    <row r="47" spans="6:9" x14ac:dyDescent="0.25">
      <c r="F47">
        <v>9</v>
      </c>
      <c r="G47" s="23" t="s">
        <v>311</v>
      </c>
      <c r="H47" s="7">
        <v>1</v>
      </c>
      <c r="I47" s="23">
        <v>68339</v>
      </c>
    </row>
    <row r="48" spans="6:9" x14ac:dyDescent="0.25">
      <c r="F48">
        <v>10</v>
      </c>
      <c r="G48" s="23" t="s">
        <v>175</v>
      </c>
      <c r="H48" s="7">
        <v>1</v>
      </c>
      <c r="I48" s="23">
        <v>45774</v>
      </c>
    </row>
    <row r="50" spans="1:20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</row>
    <row r="51" spans="1:20" x14ac:dyDescent="0.25">
      <c r="C51" s="15" t="s">
        <v>482</v>
      </c>
      <c r="D51" s="15">
        <v>13</v>
      </c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</row>
    <row r="52" spans="1:20" x14ac:dyDescent="0.25">
      <c r="A52" s="3" t="s">
        <v>483</v>
      </c>
      <c r="B52" t="s">
        <v>484</v>
      </c>
      <c r="C52" s="15"/>
      <c r="D52" s="15"/>
      <c r="G52" t="s">
        <v>485</v>
      </c>
    </row>
    <row r="53" spans="1:20" x14ac:dyDescent="0.25">
      <c r="B53" t="s">
        <v>486</v>
      </c>
      <c r="C53" s="15" t="s">
        <v>487</v>
      </c>
      <c r="D53" s="15" t="s">
        <v>488</v>
      </c>
      <c r="G53" s="17" t="s">
        <v>459</v>
      </c>
      <c r="H53" s="7" t="s">
        <v>489</v>
      </c>
      <c r="I53" s="7" t="s">
        <v>490</v>
      </c>
      <c r="J53" s="7" t="s">
        <v>491</v>
      </c>
      <c r="K53" s="7" t="s">
        <v>492</v>
      </c>
      <c r="L53" s="7" t="s">
        <v>493</v>
      </c>
      <c r="M53" s="7" t="s">
        <v>494</v>
      </c>
      <c r="N53" s="7" t="s">
        <v>495</v>
      </c>
      <c r="O53" s="7" t="s">
        <v>496</v>
      </c>
      <c r="P53" s="7" t="s">
        <v>497</v>
      </c>
      <c r="Q53" s="7" t="s">
        <v>498</v>
      </c>
      <c r="R53" s="7" t="s">
        <v>499</v>
      </c>
      <c r="S53" s="7" t="s">
        <v>500</v>
      </c>
      <c r="T53" s="7" t="s">
        <v>501</v>
      </c>
    </row>
    <row r="54" spans="1:20" x14ac:dyDescent="0.25">
      <c r="B54" t="s">
        <v>502</v>
      </c>
      <c r="C54" s="18">
        <v>45170</v>
      </c>
      <c r="D54" s="19">
        <v>45537</v>
      </c>
      <c r="G54" s="7" t="s">
        <v>12</v>
      </c>
      <c r="H54" s="7">
        <v>9</v>
      </c>
      <c r="I54" s="7">
        <v>10</v>
      </c>
      <c r="J54" s="7">
        <v>6</v>
      </c>
      <c r="K54" s="7">
        <v>9</v>
      </c>
      <c r="L54" s="7">
        <v>7</v>
      </c>
      <c r="M54" s="7">
        <v>4</v>
      </c>
      <c r="N54" s="7">
        <v>1</v>
      </c>
      <c r="O54" s="7">
        <v>7</v>
      </c>
      <c r="P54" s="7">
        <v>6</v>
      </c>
      <c r="Q54" s="7">
        <v>6</v>
      </c>
      <c r="R54" s="7">
        <v>3</v>
      </c>
      <c r="S54" s="7">
        <v>9</v>
      </c>
      <c r="T54" s="7">
        <v>1</v>
      </c>
    </row>
    <row r="55" spans="1:20" x14ac:dyDescent="0.25">
      <c r="B55" t="s">
        <v>503</v>
      </c>
      <c r="C55" s="15">
        <v>2023</v>
      </c>
      <c r="D55" s="15">
        <v>2024</v>
      </c>
      <c r="G55" s="7" t="s">
        <v>10</v>
      </c>
      <c r="H55" s="7">
        <v>10</v>
      </c>
      <c r="I55" s="7">
        <v>5</v>
      </c>
      <c r="J55" s="7">
        <v>5</v>
      </c>
      <c r="K55" s="7">
        <v>4</v>
      </c>
      <c r="L55" s="7">
        <v>14</v>
      </c>
      <c r="M55" s="7">
        <v>8</v>
      </c>
      <c r="N55" s="7">
        <v>9</v>
      </c>
      <c r="O55" s="7">
        <v>12</v>
      </c>
      <c r="P55" s="7">
        <v>7</v>
      </c>
      <c r="Q55" s="7">
        <v>7</v>
      </c>
      <c r="R55" s="7">
        <v>5</v>
      </c>
      <c r="S55" s="7">
        <v>10</v>
      </c>
      <c r="T55" s="7">
        <v>0</v>
      </c>
    </row>
    <row r="56" spans="1:20" x14ac:dyDescent="0.25">
      <c r="C56" s="15">
        <v>9</v>
      </c>
      <c r="D56" s="15">
        <v>9</v>
      </c>
      <c r="G56" s="7" t="s">
        <v>14</v>
      </c>
      <c r="H56" s="7">
        <v>10</v>
      </c>
      <c r="I56" s="7">
        <v>9</v>
      </c>
      <c r="J56" s="7">
        <v>7</v>
      </c>
      <c r="K56" s="7">
        <v>9</v>
      </c>
      <c r="L56" s="7">
        <v>3</v>
      </c>
      <c r="M56" s="7">
        <v>6</v>
      </c>
      <c r="N56" s="7">
        <v>5</v>
      </c>
      <c r="O56" s="7">
        <v>7</v>
      </c>
      <c r="P56" s="7">
        <v>6</v>
      </c>
      <c r="Q56" s="7">
        <v>3</v>
      </c>
      <c r="R56" s="7">
        <v>8</v>
      </c>
      <c r="S56" s="7">
        <v>10</v>
      </c>
      <c r="T56" s="7">
        <v>0</v>
      </c>
    </row>
    <row r="57" spans="1:20" x14ac:dyDescent="0.25">
      <c r="G57" s="7" t="s">
        <v>33</v>
      </c>
      <c r="H57" s="7">
        <v>6</v>
      </c>
      <c r="I57" s="7">
        <v>5</v>
      </c>
      <c r="J57" s="7">
        <v>6</v>
      </c>
      <c r="K57" s="7">
        <v>6</v>
      </c>
      <c r="L57" s="7">
        <v>7</v>
      </c>
      <c r="M57" s="7">
        <v>7</v>
      </c>
      <c r="N57" s="7">
        <v>6</v>
      </c>
      <c r="O57" s="7">
        <v>5</v>
      </c>
      <c r="P57" s="7">
        <v>7</v>
      </c>
      <c r="Q57" s="7">
        <v>3</v>
      </c>
      <c r="R57" s="7">
        <v>8</v>
      </c>
      <c r="S57" s="7">
        <v>10</v>
      </c>
      <c r="T57" s="7">
        <v>0</v>
      </c>
    </row>
    <row r="58" spans="1:20" x14ac:dyDescent="0.25">
      <c r="G58" s="7" t="s">
        <v>23</v>
      </c>
      <c r="H58" s="7">
        <v>10</v>
      </c>
      <c r="I58" s="7">
        <v>9</v>
      </c>
      <c r="J58" s="7">
        <v>7</v>
      </c>
      <c r="K58" s="7">
        <v>4</v>
      </c>
      <c r="L58" s="7">
        <v>2</v>
      </c>
      <c r="M58" s="7">
        <v>5</v>
      </c>
      <c r="N58" s="7">
        <v>11</v>
      </c>
      <c r="O58" s="7">
        <v>8</v>
      </c>
      <c r="P58" s="7">
        <v>11</v>
      </c>
      <c r="Q58" s="7">
        <v>3</v>
      </c>
      <c r="R58" s="7">
        <v>7</v>
      </c>
      <c r="S58" s="7">
        <v>9</v>
      </c>
      <c r="T58" s="7">
        <v>0</v>
      </c>
    </row>
    <row r="59" spans="1:20" x14ac:dyDescent="0.25">
      <c r="G59" s="7" t="s">
        <v>27</v>
      </c>
      <c r="H59" s="7">
        <v>9</v>
      </c>
      <c r="I59" s="7">
        <v>4</v>
      </c>
      <c r="J59" s="7">
        <v>6</v>
      </c>
      <c r="K59" s="7">
        <v>8</v>
      </c>
      <c r="L59" s="7">
        <v>9</v>
      </c>
      <c r="M59" s="7">
        <v>5</v>
      </c>
      <c r="N59" s="7">
        <v>5</v>
      </c>
      <c r="O59" s="7">
        <v>11</v>
      </c>
      <c r="P59" s="7">
        <v>12</v>
      </c>
      <c r="Q59" s="7">
        <v>5</v>
      </c>
      <c r="R59" s="7">
        <v>7</v>
      </c>
      <c r="S59" s="7">
        <v>8</v>
      </c>
      <c r="T59" s="7">
        <v>0</v>
      </c>
    </row>
    <row r="60" spans="1:20" x14ac:dyDescent="0.25">
      <c r="G60" s="7" t="s">
        <v>5</v>
      </c>
      <c r="H60" s="7">
        <v>8</v>
      </c>
      <c r="I60" s="7">
        <v>7</v>
      </c>
      <c r="J60" s="7">
        <v>3</v>
      </c>
      <c r="K60" s="7">
        <v>4</v>
      </c>
      <c r="L60" s="7">
        <v>4</v>
      </c>
      <c r="M60" s="7">
        <v>6</v>
      </c>
      <c r="N60" s="7">
        <v>10</v>
      </c>
      <c r="O60" s="7">
        <v>10</v>
      </c>
      <c r="P60" s="7">
        <v>7</v>
      </c>
      <c r="Q60" s="7">
        <v>9</v>
      </c>
      <c r="R60" s="7">
        <v>10</v>
      </c>
      <c r="S60" s="7">
        <v>6</v>
      </c>
      <c r="T60" s="7">
        <v>0</v>
      </c>
    </row>
    <row r="61" spans="1:20" x14ac:dyDescent="0.25">
      <c r="G61" s="7" t="s">
        <v>8</v>
      </c>
      <c r="H61" s="7">
        <v>4</v>
      </c>
      <c r="I61" s="7">
        <v>4</v>
      </c>
      <c r="J61" s="7">
        <v>4</v>
      </c>
      <c r="K61" s="7">
        <v>6</v>
      </c>
      <c r="L61" s="7">
        <v>8</v>
      </c>
      <c r="M61" s="7">
        <v>4</v>
      </c>
      <c r="N61" s="7">
        <v>5</v>
      </c>
      <c r="O61" s="7">
        <v>2</v>
      </c>
      <c r="P61" s="7">
        <v>11</v>
      </c>
      <c r="Q61" s="7">
        <v>11</v>
      </c>
      <c r="R61" s="7">
        <v>8</v>
      </c>
      <c r="S61" s="7">
        <v>12</v>
      </c>
      <c r="T61" s="7">
        <v>0</v>
      </c>
    </row>
    <row r="62" spans="1:20" x14ac:dyDescent="0.25">
      <c r="G62" s="7" t="s">
        <v>36</v>
      </c>
      <c r="H62" s="7">
        <v>3</v>
      </c>
      <c r="I62" s="7">
        <v>4</v>
      </c>
      <c r="J62" s="7">
        <v>13</v>
      </c>
      <c r="K62" s="7">
        <v>5</v>
      </c>
      <c r="L62" s="7">
        <v>7</v>
      </c>
      <c r="M62" s="7">
        <v>6</v>
      </c>
      <c r="N62" s="7">
        <v>6</v>
      </c>
      <c r="O62" s="7">
        <v>6</v>
      </c>
      <c r="P62" s="7">
        <v>5</v>
      </c>
      <c r="Q62" s="7">
        <v>6</v>
      </c>
      <c r="R62" s="7">
        <v>6</v>
      </c>
      <c r="S62" s="7">
        <v>5</v>
      </c>
      <c r="T62" s="7">
        <v>0</v>
      </c>
    </row>
    <row r="63" spans="1:20" x14ac:dyDescent="0.25">
      <c r="G63" s="7" t="s">
        <v>17</v>
      </c>
      <c r="H63" s="7">
        <v>5</v>
      </c>
      <c r="I63" s="7">
        <v>8</v>
      </c>
      <c r="J63" s="7">
        <v>5</v>
      </c>
      <c r="K63" s="7">
        <v>7</v>
      </c>
      <c r="L63" s="7">
        <v>11</v>
      </c>
      <c r="M63" s="7">
        <v>11</v>
      </c>
      <c r="N63" s="7">
        <v>10</v>
      </c>
      <c r="O63" s="7">
        <v>6</v>
      </c>
      <c r="P63" s="7">
        <v>11</v>
      </c>
      <c r="Q63" s="7">
        <v>9</v>
      </c>
      <c r="R63" s="7">
        <v>6</v>
      </c>
      <c r="S63" s="7">
        <v>6</v>
      </c>
      <c r="T63" s="7">
        <v>0</v>
      </c>
    </row>
    <row r="64" spans="1:20" x14ac:dyDescent="0.25">
      <c r="G64" s="7" t="s">
        <v>32</v>
      </c>
      <c r="H64" s="7">
        <v>9</v>
      </c>
      <c r="I64" s="7">
        <v>9</v>
      </c>
      <c r="J64" s="7">
        <v>8</v>
      </c>
      <c r="K64" s="7">
        <v>9</v>
      </c>
      <c r="L64" s="7">
        <v>11</v>
      </c>
      <c r="M64" s="7">
        <v>12</v>
      </c>
      <c r="N64" s="7">
        <v>8</v>
      </c>
      <c r="O64" s="7">
        <v>5</v>
      </c>
      <c r="P64" s="7">
        <v>9</v>
      </c>
      <c r="Q64" s="7">
        <v>6</v>
      </c>
      <c r="R64" s="7">
        <v>9</v>
      </c>
      <c r="S64" s="7">
        <v>4</v>
      </c>
      <c r="T64" s="7">
        <v>0</v>
      </c>
    </row>
    <row r="65" spans="7:20" x14ac:dyDescent="0.25">
      <c r="G65" s="7" t="s">
        <v>20</v>
      </c>
      <c r="H65" s="7">
        <v>1</v>
      </c>
      <c r="I65" s="7">
        <v>8</v>
      </c>
      <c r="J65" s="7">
        <v>3</v>
      </c>
      <c r="K65" s="7">
        <v>4</v>
      </c>
      <c r="L65" s="7">
        <v>4</v>
      </c>
      <c r="M65" s="7">
        <v>5</v>
      </c>
      <c r="N65" s="7">
        <v>8</v>
      </c>
      <c r="O65" s="7">
        <v>6</v>
      </c>
      <c r="P65" s="7">
        <v>5</v>
      </c>
      <c r="Q65" s="7">
        <v>7</v>
      </c>
      <c r="R65" s="7">
        <v>5</v>
      </c>
      <c r="S65" s="7">
        <v>7</v>
      </c>
      <c r="T65" s="7">
        <v>0</v>
      </c>
    </row>
    <row r="66" spans="7:20" x14ac:dyDescent="0.25"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</row>
    <row r="67" spans="7:20" x14ac:dyDescent="0.25">
      <c r="G67" t="s">
        <v>4</v>
      </c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</row>
    <row r="68" spans="7:20" x14ac:dyDescent="0.25">
      <c r="G68" s="17" t="s">
        <v>459</v>
      </c>
      <c r="H68" s="7" t="s">
        <v>489</v>
      </c>
      <c r="I68" s="7" t="s">
        <v>490</v>
      </c>
      <c r="J68" s="7" t="s">
        <v>491</v>
      </c>
      <c r="K68" s="7" t="s">
        <v>492</v>
      </c>
      <c r="L68" s="7" t="s">
        <v>493</v>
      </c>
      <c r="M68" s="7" t="s">
        <v>494</v>
      </c>
      <c r="N68" s="7" t="s">
        <v>495</v>
      </c>
      <c r="O68" s="7" t="s">
        <v>496</v>
      </c>
      <c r="P68" s="7" t="s">
        <v>497</v>
      </c>
      <c r="Q68" s="7" t="s">
        <v>498</v>
      </c>
      <c r="R68" s="7" t="s">
        <v>499</v>
      </c>
      <c r="S68" s="7" t="s">
        <v>500</v>
      </c>
      <c r="T68" s="7" t="s">
        <v>501</v>
      </c>
    </row>
    <row r="69" spans="7:20" x14ac:dyDescent="0.25">
      <c r="G69" s="7" t="s">
        <v>12</v>
      </c>
      <c r="H69" s="21">
        <v>0</v>
      </c>
      <c r="I69" s="21">
        <v>-0.5</v>
      </c>
      <c r="J69" s="21">
        <v>-0.16666666666666666</v>
      </c>
      <c r="K69" s="21">
        <v>-0.77777777777777779</v>
      </c>
      <c r="L69" s="21">
        <v>-0.14285714285714285</v>
      </c>
      <c r="M69" s="21">
        <v>-0.25</v>
      </c>
      <c r="N69" s="21">
        <v>-1</v>
      </c>
      <c r="O69" s="21">
        <v>-0.2857142857142857</v>
      </c>
      <c r="P69" s="21">
        <v>-0.5</v>
      </c>
      <c r="Q69" s="21">
        <v>-0.33333333333333331</v>
      </c>
      <c r="R69" s="21">
        <v>-0.33333333333333331</v>
      </c>
      <c r="S69" s="21">
        <v>-0.22222222222222221</v>
      </c>
      <c r="T69" s="21">
        <v>-1</v>
      </c>
    </row>
    <row r="70" spans="7:20" x14ac:dyDescent="0.25">
      <c r="G70" s="7" t="s">
        <v>10</v>
      </c>
      <c r="H70" s="21">
        <v>-0.2</v>
      </c>
      <c r="I70" s="21">
        <v>0.4</v>
      </c>
      <c r="J70" s="21">
        <v>-0.6</v>
      </c>
      <c r="K70" s="21">
        <v>-0.75</v>
      </c>
      <c r="L70" s="21">
        <v>-0.2857142857142857</v>
      </c>
      <c r="M70" s="21">
        <v>0.375</v>
      </c>
      <c r="N70" s="21">
        <v>-0.33333333333333331</v>
      </c>
      <c r="O70" s="21">
        <v>0</v>
      </c>
      <c r="P70" s="21">
        <v>-0.42857142857142855</v>
      </c>
      <c r="Q70" s="21">
        <v>-0.5714285714285714</v>
      </c>
      <c r="R70" s="21">
        <v>-0.4</v>
      </c>
      <c r="S70" s="21">
        <v>-0.6</v>
      </c>
      <c r="T70" s="21"/>
    </row>
    <row r="71" spans="7:20" x14ac:dyDescent="0.25">
      <c r="G71" s="7" t="s">
        <v>14</v>
      </c>
      <c r="H71" s="21">
        <v>-0.1</v>
      </c>
      <c r="I71" s="21">
        <v>-0.33333333333333331</v>
      </c>
      <c r="J71" s="21">
        <v>-0.42857142857142855</v>
      </c>
      <c r="K71" s="21">
        <v>-0.22222222222222221</v>
      </c>
      <c r="L71" s="21">
        <v>-0.66666666666666663</v>
      </c>
      <c r="M71" s="21">
        <v>-0.33333333333333331</v>
      </c>
      <c r="N71" s="21">
        <v>-0.8</v>
      </c>
      <c r="O71" s="21">
        <v>0.14285714285714285</v>
      </c>
      <c r="P71" s="21">
        <v>0.16666666666666666</v>
      </c>
      <c r="Q71" s="21">
        <v>-0.33333333333333331</v>
      </c>
      <c r="R71" s="21">
        <v>0.125</v>
      </c>
      <c r="S71" s="21">
        <v>0</v>
      </c>
      <c r="T71" s="21"/>
    </row>
    <row r="72" spans="7:20" x14ac:dyDescent="0.25">
      <c r="G72" s="7" t="s">
        <v>33</v>
      </c>
      <c r="H72" s="21">
        <v>-0.5</v>
      </c>
      <c r="I72" s="21">
        <v>-0.4</v>
      </c>
      <c r="J72" s="21">
        <v>-0.5</v>
      </c>
      <c r="K72" s="21">
        <v>-0.5</v>
      </c>
      <c r="L72" s="21">
        <v>-0.14285714285714285</v>
      </c>
      <c r="M72" s="21">
        <v>-0.2857142857142857</v>
      </c>
      <c r="N72" s="21">
        <v>-0.33333333333333331</v>
      </c>
      <c r="O72" s="21">
        <v>-0.6</v>
      </c>
      <c r="P72" s="21">
        <v>-0.7142857142857143</v>
      </c>
      <c r="Q72" s="21">
        <v>-0.66666666666666663</v>
      </c>
      <c r="R72" s="21">
        <v>0.125</v>
      </c>
      <c r="S72" s="21">
        <v>-0.6</v>
      </c>
      <c r="T72" s="21"/>
    </row>
    <row r="73" spans="7:20" x14ac:dyDescent="0.25">
      <c r="G73" s="7" t="s">
        <v>23</v>
      </c>
      <c r="H73" s="21">
        <v>0.1</v>
      </c>
      <c r="I73" s="21">
        <v>-0.22222222222222221</v>
      </c>
      <c r="J73" s="21">
        <v>-0.14285714285714285</v>
      </c>
      <c r="K73" s="21">
        <v>0.25</v>
      </c>
      <c r="L73" s="21">
        <v>-0.5</v>
      </c>
      <c r="M73" s="21">
        <v>-0.2</v>
      </c>
      <c r="N73" s="21">
        <v>9.0909090909090912E-2</v>
      </c>
      <c r="O73" s="21">
        <v>-0.5</v>
      </c>
      <c r="P73" s="21">
        <v>-0.45454545454545453</v>
      </c>
      <c r="Q73" s="21">
        <v>-0.66666666666666663</v>
      </c>
      <c r="R73" s="21">
        <v>0.2857142857142857</v>
      </c>
      <c r="S73" s="21">
        <v>0.33333333333333331</v>
      </c>
      <c r="T73" s="21"/>
    </row>
    <row r="74" spans="7:20" x14ac:dyDescent="0.25">
      <c r="G74" s="7" t="s">
        <v>27</v>
      </c>
      <c r="H74" s="21">
        <v>-0.22222222222222221</v>
      </c>
      <c r="I74" s="21">
        <v>-0.75</v>
      </c>
      <c r="J74" s="21">
        <v>-0.33333333333333331</v>
      </c>
      <c r="K74" s="21">
        <v>-0.875</v>
      </c>
      <c r="L74" s="21">
        <v>-0.77777777777777779</v>
      </c>
      <c r="M74" s="21">
        <v>0.4</v>
      </c>
      <c r="N74" s="21">
        <v>-0.4</v>
      </c>
      <c r="O74" s="21">
        <v>-0.45454545454545453</v>
      </c>
      <c r="P74" s="21">
        <v>0</v>
      </c>
      <c r="Q74" s="21">
        <v>0.2</v>
      </c>
      <c r="R74" s="21">
        <v>-0.42857142857142855</v>
      </c>
      <c r="S74" s="21">
        <v>-0.875</v>
      </c>
      <c r="T74" s="21"/>
    </row>
    <row r="75" spans="7:20" x14ac:dyDescent="0.25">
      <c r="G75" s="7" t="s">
        <v>5</v>
      </c>
      <c r="H75" s="21">
        <v>0.125</v>
      </c>
      <c r="I75" s="21">
        <v>0.14285714285714285</v>
      </c>
      <c r="J75" s="21">
        <v>-0.66666666666666663</v>
      </c>
      <c r="K75" s="21">
        <v>0.25</v>
      </c>
      <c r="L75" s="21">
        <v>0.5</v>
      </c>
      <c r="M75" s="21">
        <v>-0.33333333333333331</v>
      </c>
      <c r="N75" s="21">
        <v>-0.4</v>
      </c>
      <c r="O75" s="21">
        <v>-0.6</v>
      </c>
      <c r="P75" s="21">
        <v>-0.5714285714285714</v>
      </c>
      <c r="Q75" s="21">
        <v>-0.1111111111111111</v>
      </c>
      <c r="R75" s="21">
        <v>-0.3</v>
      </c>
      <c r="S75" s="21">
        <v>0.33333333333333331</v>
      </c>
      <c r="T75" s="21"/>
    </row>
    <row r="76" spans="7:20" x14ac:dyDescent="0.25">
      <c r="G76" s="7" t="s">
        <v>8</v>
      </c>
      <c r="H76" s="21">
        <v>-0.75</v>
      </c>
      <c r="I76" s="21">
        <v>0.25</v>
      </c>
      <c r="J76" s="21">
        <v>0</v>
      </c>
      <c r="K76" s="21">
        <v>-0.5</v>
      </c>
      <c r="L76" s="21">
        <v>0</v>
      </c>
      <c r="M76" s="21">
        <v>0.25</v>
      </c>
      <c r="N76" s="21">
        <v>-0.6</v>
      </c>
      <c r="O76" s="21">
        <v>0.5</v>
      </c>
      <c r="P76" s="21">
        <v>-0.18181818181818182</v>
      </c>
      <c r="Q76" s="21">
        <v>-0.45454545454545453</v>
      </c>
      <c r="R76" s="21">
        <v>-0.625</v>
      </c>
      <c r="S76" s="21">
        <v>-0.5</v>
      </c>
      <c r="T76" s="21"/>
    </row>
    <row r="77" spans="7:20" x14ac:dyDescent="0.25">
      <c r="G77" s="7" t="s">
        <v>36</v>
      </c>
      <c r="H77" s="21">
        <v>0.33333333333333331</v>
      </c>
      <c r="I77" s="21">
        <v>-0.25</v>
      </c>
      <c r="J77" s="21">
        <v>-0.69230769230769229</v>
      </c>
      <c r="K77" s="21">
        <v>0.4</v>
      </c>
      <c r="L77" s="21">
        <v>-0.2857142857142857</v>
      </c>
      <c r="M77" s="21">
        <v>-0.5</v>
      </c>
      <c r="N77" s="21">
        <v>-0.33333333333333331</v>
      </c>
      <c r="O77" s="21">
        <v>-0.66666666666666663</v>
      </c>
      <c r="P77" s="21">
        <v>-0.4</v>
      </c>
      <c r="Q77" s="21">
        <v>-0.33333333333333331</v>
      </c>
      <c r="R77" s="21">
        <v>-0.5</v>
      </c>
      <c r="S77" s="21">
        <v>-0.2</v>
      </c>
      <c r="T77" s="21"/>
    </row>
    <row r="78" spans="7:20" x14ac:dyDescent="0.25">
      <c r="G78" s="7" t="s">
        <v>17</v>
      </c>
      <c r="H78" s="21">
        <v>0</v>
      </c>
      <c r="I78" s="21">
        <v>-0.5</v>
      </c>
      <c r="J78" s="21">
        <v>-1</v>
      </c>
      <c r="K78" s="21">
        <v>-0.2857142857142857</v>
      </c>
      <c r="L78" s="21">
        <v>0</v>
      </c>
      <c r="M78" s="21">
        <v>-9.0909090909090912E-2</v>
      </c>
      <c r="N78" s="21">
        <v>-0.1</v>
      </c>
      <c r="O78" s="21">
        <v>-0.16666666666666666</v>
      </c>
      <c r="P78" s="21">
        <v>-0.36363636363636365</v>
      </c>
      <c r="Q78" s="21">
        <v>-0.22222222222222221</v>
      </c>
      <c r="R78" s="21">
        <v>-0.66666666666666663</v>
      </c>
      <c r="S78" s="21">
        <v>-0.33333333333333331</v>
      </c>
      <c r="T78" s="21"/>
    </row>
    <row r="79" spans="7:20" x14ac:dyDescent="0.25">
      <c r="G79" s="7" t="s">
        <v>32</v>
      </c>
      <c r="H79" s="21">
        <v>0</v>
      </c>
      <c r="I79" s="21">
        <v>-0.33333333333333331</v>
      </c>
      <c r="J79" s="21">
        <v>-0.125</v>
      </c>
      <c r="K79" s="21">
        <v>0</v>
      </c>
      <c r="L79" s="21">
        <v>0.18181818181818182</v>
      </c>
      <c r="M79" s="21">
        <v>-0.58333333333333337</v>
      </c>
      <c r="N79" s="21">
        <v>-0.5</v>
      </c>
      <c r="O79" s="21">
        <v>-0.6</v>
      </c>
      <c r="P79" s="21">
        <v>-0.33333333333333331</v>
      </c>
      <c r="Q79" s="21">
        <v>0.16666666666666666</v>
      </c>
      <c r="R79" s="21">
        <v>-0.44444444444444442</v>
      </c>
      <c r="S79" s="21">
        <v>-0.5</v>
      </c>
      <c r="T79" s="21"/>
    </row>
    <row r="80" spans="7:20" x14ac:dyDescent="0.25">
      <c r="G80" s="7" t="s">
        <v>20</v>
      </c>
      <c r="H80" s="21">
        <v>-1</v>
      </c>
      <c r="I80" s="21">
        <v>-0.25</v>
      </c>
      <c r="J80" s="21">
        <v>0</v>
      </c>
      <c r="K80" s="21">
        <v>-0.25</v>
      </c>
      <c r="L80" s="21">
        <v>-0.5</v>
      </c>
      <c r="M80" s="21">
        <v>0</v>
      </c>
      <c r="N80" s="21">
        <v>-0.75</v>
      </c>
      <c r="O80" s="21">
        <v>0.16666666666666666</v>
      </c>
      <c r="P80" s="21">
        <v>-0.6</v>
      </c>
      <c r="Q80" s="21">
        <v>-0.14285714285714285</v>
      </c>
      <c r="R80" s="21">
        <v>-0.4</v>
      </c>
      <c r="S80" s="21">
        <v>-0.2857142857142857</v>
      </c>
      <c r="T80" s="21"/>
    </row>
    <row r="81" spans="7:20" x14ac:dyDescent="0.25"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</row>
    <row r="82" spans="7:20" x14ac:dyDescent="0.25">
      <c r="G82" t="s">
        <v>504</v>
      </c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</row>
    <row r="83" spans="7:20" x14ac:dyDescent="0.25">
      <c r="G83" s="17" t="s">
        <v>459</v>
      </c>
      <c r="H83" s="7" t="s">
        <v>489</v>
      </c>
      <c r="I83" s="7" t="s">
        <v>490</v>
      </c>
      <c r="J83" s="7" t="s">
        <v>491</v>
      </c>
      <c r="K83" s="7" t="s">
        <v>492</v>
      </c>
      <c r="L83" s="7" t="s">
        <v>493</v>
      </c>
      <c r="M83" s="7" t="s">
        <v>494</v>
      </c>
      <c r="N83" s="7" t="s">
        <v>495</v>
      </c>
      <c r="O83" s="7" t="s">
        <v>496</v>
      </c>
      <c r="P83" s="7" t="s">
        <v>497</v>
      </c>
      <c r="Q83" s="7" t="s">
        <v>498</v>
      </c>
      <c r="R83" s="7" t="s">
        <v>499</v>
      </c>
      <c r="S83" s="7" t="s">
        <v>500</v>
      </c>
      <c r="T83" s="7" t="s">
        <v>501</v>
      </c>
    </row>
    <row r="84" spans="7:20" x14ac:dyDescent="0.25">
      <c r="G84" s="7" t="s">
        <v>12</v>
      </c>
      <c r="H84" s="8">
        <v>73575.888888888891</v>
      </c>
      <c r="I84" s="8">
        <v>43261.8</v>
      </c>
      <c r="J84" s="8">
        <v>49238</v>
      </c>
      <c r="K84" s="8">
        <v>48448</v>
      </c>
      <c r="L84" s="8">
        <v>60848.142857142855</v>
      </c>
      <c r="M84" s="8">
        <v>76958.25</v>
      </c>
      <c r="N84" s="8">
        <v>43477</v>
      </c>
      <c r="O84" s="8">
        <v>53168.714285714283</v>
      </c>
      <c r="P84" s="8">
        <v>45168</v>
      </c>
      <c r="Q84" s="8">
        <v>39441.333333333336</v>
      </c>
      <c r="R84" s="8">
        <v>58921</v>
      </c>
      <c r="S84" s="8">
        <v>46418.444444444445</v>
      </c>
      <c r="T84" s="8">
        <v>74244</v>
      </c>
    </row>
    <row r="85" spans="7:20" x14ac:dyDescent="0.25">
      <c r="G85" s="7" t="s">
        <v>10</v>
      </c>
      <c r="H85" s="8">
        <v>49023.199999999997</v>
      </c>
      <c r="I85" s="8">
        <v>40621.800000000003</v>
      </c>
      <c r="J85" s="8">
        <v>42576</v>
      </c>
      <c r="K85" s="8">
        <v>50009.25</v>
      </c>
      <c r="L85" s="8">
        <v>49619.142857142855</v>
      </c>
      <c r="M85" s="8">
        <v>60343.25</v>
      </c>
      <c r="N85" s="8">
        <v>38613.888888888891</v>
      </c>
      <c r="O85" s="8">
        <v>48501.583333333336</v>
      </c>
      <c r="P85" s="8">
        <v>62341.428571428572</v>
      </c>
      <c r="Q85" s="8">
        <v>55990.285714285717</v>
      </c>
      <c r="R85" s="8">
        <v>58740.4</v>
      </c>
      <c r="S85" s="8">
        <v>59383</v>
      </c>
      <c r="T85" s="8"/>
    </row>
    <row r="86" spans="7:20" x14ac:dyDescent="0.25">
      <c r="G86" s="7" t="s">
        <v>14</v>
      </c>
      <c r="H86" s="8">
        <v>52537.7</v>
      </c>
      <c r="I86" s="8">
        <v>56237.777777777781</v>
      </c>
      <c r="J86" s="8">
        <v>35948.571428571428</v>
      </c>
      <c r="K86" s="8">
        <v>46109.888888888891</v>
      </c>
      <c r="L86" s="8">
        <v>39835.666666666664</v>
      </c>
      <c r="M86" s="8">
        <v>46013.666666666664</v>
      </c>
      <c r="N86" s="8">
        <v>63053.2</v>
      </c>
      <c r="O86" s="8">
        <v>31688.714285714286</v>
      </c>
      <c r="P86" s="8">
        <v>53294.333333333336</v>
      </c>
      <c r="Q86" s="8">
        <v>45300.666666666664</v>
      </c>
      <c r="R86" s="8">
        <v>58060.875</v>
      </c>
      <c r="S86" s="8">
        <v>66440</v>
      </c>
      <c r="T86" s="8"/>
    </row>
    <row r="87" spans="7:20" x14ac:dyDescent="0.25">
      <c r="G87" s="7" t="s">
        <v>33</v>
      </c>
      <c r="H87" s="8">
        <v>64356.666666666664</v>
      </c>
      <c r="I87" s="8">
        <v>36633.800000000003</v>
      </c>
      <c r="J87" s="8">
        <v>48833.833333333336</v>
      </c>
      <c r="K87" s="8">
        <v>62519</v>
      </c>
      <c r="L87" s="8">
        <v>76602.28571428571</v>
      </c>
      <c r="M87" s="8">
        <v>47127.714285714283</v>
      </c>
      <c r="N87" s="8">
        <v>28063.666666666668</v>
      </c>
      <c r="O87" s="8">
        <v>58737.599999999999</v>
      </c>
      <c r="P87" s="8">
        <v>37954.714285714283</v>
      </c>
      <c r="Q87" s="8">
        <v>47406</v>
      </c>
      <c r="R87" s="8">
        <v>51541.625</v>
      </c>
      <c r="S87" s="8">
        <v>60483.199999999997</v>
      </c>
      <c r="T87" s="8"/>
    </row>
    <row r="88" spans="7:20" x14ac:dyDescent="0.25">
      <c r="G88" s="7" t="s">
        <v>23</v>
      </c>
      <c r="H88" s="8">
        <v>59747.5</v>
      </c>
      <c r="I88" s="8">
        <v>49282.888888888891</v>
      </c>
      <c r="J88" s="8">
        <v>61886.571428571428</v>
      </c>
      <c r="K88" s="8">
        <v>43775.75</v>
      </c>
      <c r="L88" s="8">
        <v>73611</v>
      </c>
      <c r="M88" s="8">
        <v>53668.6</v>
      </c>
      <c r="N88" s="8">
        <v>52807.454545454544</v>
      </c>
      <c r="O88" s="8">
        <v>75342</v>
      </c>
      <c r="P88" s="8">
        <v>70683.454545454544</v>
      </c>
      <c r="Q88" s="8">
        <v>38930.666666666664</v>
      </c>
      <c r="R88" s="8">
        <v>60431.857142857145</v>
      </c>
      <c r="S88" s="8">
        <v>48472.444444444445</v>
      </c>
      <c r="T88" s="8"/>
    </row>
    <row r="89" spans="7:20" x14ac:dyDescent="0.25">
      <c r="G89" s="7" t="s">
        <v>27</v>
      </c>
      <c r="H89" s="8">
        <v>50076.111111111109</v>
      </c>
      <c r="I89" s="8">
        <v>60147.75</v>
      </c>
      <c r="J89" s="8">
        <v>75328</v>
      </c>
      <c r="K89" s="8">
        <v>53202.5</v>
      </c>
      <c r="L89" s="8">
        <v>76399.666666666672</v>
      </c>
      <c r="M89" s="8">
        <v>57386.8</v>
      </c>
      <c r="N89" s="8">
        <v>61366.400000000001</v>
      </c>
      <c r="O89" s="8">
        <v>67661.363636363632</v>
      </c>
      <c r="P89" s="8">
        <v>68001</v>
      </c>
      <c r="Q89" s="8">
        <v>25009.599999999999</v>
      </c>
      <c r="R89" s="8">
        <v>56788.857142857145</v>
      </c>
      <c r="S89" s="8">
        <v>54288.125</v>
      </c>
      <c r="T89" s="8"/>
    </row>
    <row r="90" spans="7:20" x14ac:dyDescent="0.25">
      <c r="G90" s="7" t="s">
        <v>5</v>
      </c>
      <c r="H90" s="8">
        <v>43839.75</v>
      </c>
      <c r="I90" s="8">
        <v>53630.142857142855</v>
      </c>
      <c r="J90" s="8">
        <v>69940</v>
      </c>
      <c r="K90" s="8">
        <v>36737.75</v>
      </c>
      <c r="L90" s="8">
        <v>57889</v>
      </c>
      <c r="M90" s="8">
        <v>45750</v>
      </c>
      <c r="N90" s="8">
        <v>48509.8</v>
      </c>
      <c r="O90" s="8">
        <v>46743.4</v>
      </c>
      <c r="P90" s="8">
        <v>48187</v>
      </c>
      <c r="Q90" s="8">
        <v>56427.333333333336</v>
      </c>
      <c r="R90" s="8">
        <v>54506.7</v>
      </c>
      <c r="S90" s="8">
        <v>45597.166666666664</v>
      </c>
      <c r="T90" s="8"/>
    </row>
    <row r="91" spans="7:20" x14ac:dyDescent="0.25">
      <c r="G91" s="7" t="s">
        <v>8</v>
      </c>
      <c r="H91" s="8">
        <v>57729.75</v>
      </c>
      <c r="I91" s="8">
        <v>87300.25</v>
      </c>
      <c r="J91" s="8">
        <v>65028.75</v>
      </c>
      <c r="K91" s="8">
        <v>55733</v>
      </c>
      <c r="L91" s="8">
        <v>54225.25</v>
      </c>
      <c r="M91" s="8">
        <v>57947</v>
      </c>
      <c r="N91" s="8">
        <v>35253.800000000003</v>
      </c>
      <c r="O91" s="8">
        <v>62192</v>
      </c>
      <c r="P91" s="8">
        <v>60452.63636363636</v>
      </c>
      <c r="Q91" s="8">
        <v>62416.090909090912</v>
      </c>
      <c r="R91" s="8">
        <v>62990.875</v>
      </c>
      <c r="S91" s="8">
        <v>50836.083333333336</v>
      </c>
      <c r="T91" s="8"/>
    </row>
    <row r="92" spans="7:20" x14ac:dyDescent="0.25">
      <c r="G92" s="7" t="s">
        <v>36</v>
      </c>
      <c r="H92" s="8">
        <v>24168.666666666668</v>
      </c>
      <c r="I92" s="8">
        <v>38561</v>
      </c>
      <c r="J92" s="8">
        <v>54131.923076923078</v>
      </c>
      <c r="K92" s="8">
        <v>60461.2</v>
      </c>
      <c r="L92" s="8">
        <v>49000.142857142855</v>
      </c>
      <c r="M92" s="8">
        <v>52793.166666666664</v>
      </c>
      <c r="N92" s="8">
        <v>34761.5</v>
      </c>
      <c r="O92" s="8">
        <v>42000.166666666664</v>
      </c>
      <c r="P92" s="8">
        <v>49469.599999999999</v>
      </c>
      <c r="Q92" s="8">
        <v>50510.666666666664</v>
      </c>
      <c r="R92" s="8">
        <v>42590.666666666664</v>
      </c>
      <c r="S92" s="8">
        <v>62157.599999999999</v>
      </c>
      <c r="T92" s="8"/>
    </row>
    <row r="93" spans="7:20" x14ac:dyDescent="0.25">
      <c r="G93" s="7" t="s">
        <v>17</v>
      </c>
      <c r="H93" s="8">
        <v>36623.599999999999</v>
      </c>
      <c r="I93" s="8">
        <v>59462.5</v>
      </c>
      <c r="J93" s="8">
        <v>44452.4</v>
      </c>
      <c r="K93" s="8">
        <v>63507.571428571428</v>
      </c>
      <c r="L93" s="8">
        <v>44742.818181818184</v>
      </c>
      <c r="M93" s="8">
        <v>58010.727272727272</v>
      </c>
      <c r="N93" s="8">
        <v>56085.3</v>
      </c>
      <c r="O93" s="8">
        <v>56668.833333333336</v>
      </c>
      <c r="P93" s="8">
        <v>56052.272727272728</v>
      </c>
      <c r="Q93" s="8">
        <v>44920.333333333336</v>
      </c>
      <c r="R93" s="8">
        <v>64393</v>
      </c>
      <c r="S93" s="8">
        <v>52891</v>
      </c>
      <c r="T93" s="8"/>
    </row>
    <row r="94" spans="7:20" x14ac:dyDescent="0.25">
      <c r="G94" s="7" t="s">
        <v>32</v>
      </c>
      <c r="H94" s="8">
        <v>60832.777777777781</v>
      </c>
      <c r="I94" s="8">
        <v>56370.555555555555</v>
      </c>
      <c r="J94" s="8">
        <v>68374.125</v>
      </c>
      <c r="K94" s="8">
        <v>59166.777777777781</v>
      </c>
      <c r="L94" s="8">
        <v>51307.272727272728</v>
      </c>
      <c r="M94" s="8">
        <v>64562.75</v>
      </c>
      <c r="N94" s="8">
        <v>55202.375</v>
      </c>
      <c r="O94" s="8">
        <v>44507.6</v>
      </c>
      <c r="P94" s="8">
        <v>48862.333333333336</v>
      </c>
      <c r="Q94" s="8">
        <v>49690</v>
      </c>
      <c r="R94" s="8">
        <v>70875</v>
      </c>
      <c r="S94" s="8">
        <v>49784.5</v>
      </c>
      <c r="T94" s="8"/>
    </row>
    <row r="95" spans="7:20" x14ac:dyDescent="0.25">
      <c r="G95" s="7" t="s">
        <v>20</v>
      </c>
      <c r="H95" s="8">
        <v>96127</v>
      </c>
      <c r="I95" s="8">
        <v>57411.5</v>
      </c>
      <c r="J95" s="8">
        <v>40354</v>
      </c>
      <c r="K95" s="8">
        <v>53840.5</v>
      </c>
      <c r="L95" s="8">
        <v>58590.75</v>
      </c>
      <c r="M95" s="8">
        <v>62063.4</v>
      </c>
      <c r="N95" s="8">
        <v>62866</v>
      </c>
      <c r="O95" s="8">
        <v>58048</v>
      </c>
      <c r="P95" s="8">
        <v>59023.6</v>
      </c>
      <c r="Q95" s="8">
        <v>58780.857142857145</v>
      </c>
      <c r="R95" s="8">
        <v>78938.2</v>
      </c>
      <c r="S95" s="8">
        <v>53630.285714285717</v>
      </c>
      <c r="T95" s="8"/>
    </row>
  </sheetData>
  <sortState ref="G25:I34">
    <sortCondition descending="1" ref="I25:I34"/>
  </sortState>
  <pageMargins left="0.75" right="0.75" top="1" bottom="1" header="0.5" footer="0.5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результат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Артём Макаров</cp:lastModifiedBy>
  <dcterms:created xsi:type="dcterms:W3CDTF">2025-11-13T20:18:35Z</dcterms:created>
  <dcterms:modified xsi:type="dcterms:W3CDTF">2026-09-21T19:56:01Z</dcterms:modified>
</cp:coreProperties>
</file>