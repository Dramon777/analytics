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10" tabRatio="855" firstSheet="18" activeTab="29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62913"/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F5" i="24"/>
  <c r="D6" i="23"/>
  <c r="D7" i="23"/>
  <c r="D8" i="23"/>
  <c r="D9" i="23"/>
  <c r="D10" i="23"/>
  <c r="D11" i="23"/>
  <c r="D12" i="23"/>
  <c r="D13" i="23"/>
  <c r="D14" i="23"/>
  <c r="D15" i="23"/>
  <c r="D5" i="23"/>
  <c r="H5" i="21"/>
  <c r="F15" i="19"/>
  <c r="F14" i="19"/>
  <c r="F13" i="19"/>
  <c r="F8" i="19"/>
  <c r="F7" i="19"/>
  <c r="F6" i="19"/>
  <c r="D6" i="31"/>
  <c r="E6" i="31"/>
  <c r="D7" i="31"/>
  <c r="E7" i="31"/>
  <c r="D8" i="31"/>
  <c r="E8" i="31"/>
  <c r="D9" i="31"/>
  <c r="E9" i="31"/>
  <c r="D10" i="31"/>
  <c r="E10" i="31"/>
  <c r="D11" i="31"/>
  <c r="E11" i="31"/>
  <c r="D12" i="31"/>
  <c r="E12" i="31"/>
  <c r="D14" i="31"/>
  <c r="E14" i="31"/>
  <c r="E5" i="31"/>
  <c r="D5" i="31"/>
  <c r="C6" i="31"/>
  <c r="C7" i="31"/>
  <c r="C8" i="31"/>
  <c r="C9" i="31"/>
  <c r="C10" i="31"/>
  <c r="C11" i="31"/>
  <c r="C12" i="31"/>
  <c r="C14" i="31"/>
  <c r="C5" i="31"/>
  <c r="D6" i="20"/>
  <c r="G8" i="16"/>
  <c r="G5" i="16"/>
  <c r="C6" i="30"/>
  <c r="D6" i="30"/>
  <c r="E6" i="30"/>
  <c r="C7" i="30"/>
  <c r="D7" i="30"/>
  <c r="E7" i="30"/>
  <c r="C8" i="30"/>
  <c r="D8" i="30"/>
  <c r="E8" i="30"/>
  <c r="C9" i="30"/>
  <c r="D9" i="30"/>
  <c r="E9" i="30"/>
  <c r="C10" i="30"/>
  <c r="D10" i="30"/>
  <c r="E10" i="30"/>
  <c r="C11" i="30"/>
  <c r="D11" i="30"/>
  <c r="E11" i="30"/>
  <c r="C12" i="30"/>
  <c r="D12" i="30"/>
  <c r="E12" i="30"/>
  <c r="C13" i="30"/>
  <c r="D13" i="30"/>
  <c r="E13" i="30"/>
  <c r="E5" i="30"/>
  <c r="D5" i="30"/>
  <c r="C5" i="30"/>
  <c r="E15" i="18"/>
  <c r="E11" i="18"/>
  <c r="E6" i="18"/>
  <c r="E7" i="18"/>
  <c r="E8" i="18"/>
  <c r="E5" i="18"/>
  <c r="C12" i="15"/>
  <c r="C13" i="15"/>
  <c r="C14" i="15"/>
  <c r="C15" i="15"/>
  <c r="C6" i="15"/>
  <c r="C7" i="15"/>
  <c r="C8" i="15"/>
  <c r="C9" i="15"/>
  <c r="C10" i="15"/>
  <c r="C11" i="15"/>
  <c r="C5" i="15"/>
  <c r="C15" i="14"/>
  <c r="C14" i="14"/>
  <c r="C12" i="14"/>
  <c r="C11" i="14"/>
  <c r="C8" i="14"/>
  <c r="C9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6" i="17"/>
  <c r="H7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6" i="29"/>
  <c r="E7" i="29"/>
  <c r="E8" i="29"/>
  <c r="E9" i="29"/>
  <c r="E10" i="29"/>
  <c r="E11" i="29"/>
  <c r="E12" i="29"/>
  <c r="E13" i="29"/>
  <c r="E14" i="29"/>
  <c r="E15" i="29"/>
  <c r="E1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 l="1"/>
  <c r="B8" i="31"/>
  <c r="B13" i="31" s="1"/>
  <c r="E13" i="31" l="1"/>
  <c r="C13" i="31"/>
  <c r="D13" i="31"/>
  <c r="E15" i="25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<sst xmlns="http://schemas.openxmlformats.org/spreadsheetml/2006/main" count="573" uniqueCount="405">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</sst>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/>
    <cellStyle name="Обычный" xfId="0" builtinId="0"/>
    <cellStyle name="Обычный 2" xfId="3"/>
    <cellStyle name="Обычный 3" xfId="5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DAF5D603-537B-42FC-A3B6-DBEF7581C278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/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421A876-4443-4892-AAC2-C8BC632E9D1A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/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DDDA1B61-F329-4E46-9F3F-F763DD1CA7A9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2101AC-F06A-41F0-8A84-C73BD3882965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B012B1-3B30-4862-942B-80AA5B74F125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55DC239-12F1-4403-83F3-7C74E3ABAFE6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E7141795-1AE0-C06A-8389-37E42CBACA78}"/>
            </a:ext>
          </a:extLst>
        </xdr:cNvPr>
        <xdr:cNvGrpSpPr/>
      </xdr:nvGrpSpPr>
      <xdr:grpSpPr>
        <a:xfrm>
          <a:off x="525780" y="2562225"/>
          <a:ext cx="1556385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A211190D-5CBC-4951-8BC3-B56BFC1E8C25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62D7A44-52F2-47DA-8FD6-5C09500E7DF3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8A5AD89D-DD17-1F36-83A3-69D6C423367F}"/>
            </a:ext>
          </a:extLst>
        </xdr:cNvPr>
        <xdr:cNvGrpSpPr/>
      </xdr:nvGrpSpPr>
      <xdr:grpSpPr>
        <a:xfrm>
          <a:off x="2836545" y="2562225"/>
          <a:ext cx="1533525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E41599DE-F055-4441-9F02-54278A752F33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668DFBD-1E41-47C5-AE11-EE6527F7B9BE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7785BEBE-DE8C-CE4B-F286-A6C849A80429}"/>
            </a:ext>
          </a:extLst>
        </xdr:cNvPr>
        <xdr:cNvGrpSpPr/>
      </xdr:nvGrpSpPr>
      <xdr:grpSpPr>
        <a:xfrm>
          <a:off x="5019675" y="1038225"/>
          <a:ext cx="182499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FCFA747-0511-4323-83D2-1869D698B5E7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245FDE4-3EF1-482B-B0A3-EFEEF47F1F39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A6BBC8-424A-41CF-811B-3EAF772D2A5B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607AF32-0479-4F32-B496-EBDDA611F877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6896B3DF-AFB8-4672-BC6D-9CA3AB859D19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9198274A-63E2-4E5F-B853-A1863DC916F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65105F2F-D7D8-532C-BF98-2AB56938A1D7}"/>
            </a:ext>
          </a:extLst>
        </xdr:cNvPr>
        <xdr:cNvGrpSpPr/>
      </xdr:nvGrpSpPr>
      <xdr:grpSpPr>
        <a:xfrm>
          <a:off x="462193" y="2967926"/>
          <a:ext cx="4829175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75BB9307-937E-4502-A149-6B23E01B2ED6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2CE8119-5012-4929-9DDD-DFA9B88BA003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7AFA5679-857E-4ACB-A217-3AD5670DFC6E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A60BE733-5384-228E-5F58-844835E5FF8A}"/>
            </a:ext>
          </a:extLst>
        </xdr:cNvPr>
        <xdr:cNvGrpSpPr/>
      </xdr:nvGrpSpPr>
      <xdr:grpSpPr>
        <a:xfrm>
          <a:off x="5745414" y="1101287"/>
          <a:ext cx="1238250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EE8E49D-03EA-4701-8D43-3D2696F69C2A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8524FAFD-041C-478A-A8F4-48ACCE867275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2E5C9C72-BDE3-19E1-4BA2-4E2D61EEA635}"/>
            </a:ext>
          </a:extLst>
        </xdr:cNvPr>
        <xdr:cNvGrpSpPr/>
      </xdr:nvGrpSpPr>
      <xdr:grpSpPr>
        <a:xfrm>
          <a:off x="7019925" y="1113111"/>
          <a:ext cx="1360170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949B3ED-4D54-46FE-AEF0-F8EEC7DC71C1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4C15F80-3E2A-475E-BFD8-C4ED635C8336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FF5B8BED-AF21-4A46-BA5F-EB29192D205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5BE0A6-F992-4226-87C5-0AF2794737F2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473B3A81-0B8A-4189-8072-C15305D1A527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B3A442-5AA5-4778-B4D4-DA73669E9EFD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670513C7-2903-455C-A42C-30C29650D2CB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zoomScale="160" zoomScaleNormal="160" workbookViewId="0">
      <selection activeCell="I5" sqref="I5:I15"/>
    </sheetView>
  </sheetViews>
  <sheetFormatPr defaultRowHeight="15" x14ac:dyDescent="0.25"/>
  <cols>
    <col min="1" max="1" width="8" customWidth="1"/>
    <col min="2" max="2" width="10.28515625" customWidth="1"/>
    <col min="9" max="9" width="14" customWidth="1"/>
    <col min="15" max="15" width="9.140625" customWidth="1"/>
  </cols>
  <sheetData>
    <row r="1" spans="2:9" x14ac:dyDescent="0.25">
      <c r="B1" s="96" t="s">
        <v>0</v>
      </c>
    </row>
    <row r="2" spans="2:9" ht="22.5" x14ac:dyDescent="0.45">
      <c r="B2" s="95"/>
      <c r="F2" s="1" t="s">
        <v>1</v>
      </c>
    </row>
    <row r="3" spans="2:9" x14ac:dyDescent="0.25">
      <c r="I3" s="2"/>
    </row>
    <row r="4" spans="2:9" ht="15.75" x14ac:dyDescent="0.25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25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25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zoomScale="115" zoomScaleNormal="115" workbookViewId="0">
      <selection activeCell="E5" sqref="E5:E14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126</v>
      </c>
      <c r="C2" s="8" t="s">
        <v>127</v>
      </c>
      <c r="D2" s="44" t="s">
        <v>128</v>
      </c>
    </row>
    <row r="3" spans="2:8" x14ac:dyDescent="0.25">
      <c r="C3" s="2"/>
      <c r="D3" s="2"/>
      <c r="E3" s="2"/>
    </row>
    <row r="4" spans="2:8" ht="15.75" x14ac:dyDescent="0.25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25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25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25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25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25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25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25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25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25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25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topLeftCell="B1" workbookViewId="0">
      <selection activeCell="B21" sqref="B21"/>
    </sheetView>
  </sheetViews>
  <sheetFormatPr defaultRowHeight="15" x14ac:dyDescent="0.25"/>
  <cols>
    <col min="2" max="2" width="33.140625" customWidth="1"/>
    <col min="3" max="3" width="34.140625" bestFit="1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339</v>
      </c>
    </row>
    <row r="4" spans="2:8" ht="15.75" x14ac:dyDescent="0.25">
      <c r="B4" s="87" t="s">
        <v>129</v>
      </c>
      <c r="C4" s="87" t="s">
        <v>165</v>
      </c>
    </row>
    <row r="5" spans="2:8" x14ac:dyDescent="0.25">
      <c r="B5" s="4">
        <f ca="1">TODAY()</f>
        <v>46274</v>
      </c>
      <c r="C5" s="79" t="s">
        <v>340</v>
      </c>
      <c r="D5" s="2" t="s">
        <v>341</v>
      </c>
      <c r="H5" s="10"/>
    </row>
    <row r="6" spans="2:8" x14ac:dyDescent="0.25">
      <c r="B6" s="4">
        <f ca="1">TODAY()-7</f>
        <v>46267</v>
      </c>
      <c r="C6" s="79" t="s">
        <v>342</v>
      </c>
      <c r="D6" s="2" t="s">
        <v>343</v>
      </c>
      <c r="H6" s="10"/>
    </row>
    <row r="7" spans="2:8" x14ac:dyDescent="0.25">
      <c r="B7" s="4">
        <f ca="1">TODAY()+7</f>
        <v>46281</v>
      </c>
      <c r="C7" s="79" t="s">
        <v>344</v>
      </c>
      <c r="D7" s="2" t="s">
        <v>345</v>
      </c>
      <c r="H7" s="10"/>
    </row>
    <row r="8" spans="2:8" x14ac:dyDescent="0.25">
      <c r="B8" s="4">
        <f ca="1">TODAY()+90</f>
        <v>46364</v>
      </c>
      <c r="C8" s="79" t="s">
        <v>346</v>
      </c>
      <c r="D8" s="2" t="s">
        <v>347</v>
      </c>
      <c r="H8" s="10"/>
    </row>
    <row r="9" spans="2:8" x14ac:dyDescent="0.25">
      <c r="B9" s="4">
        <f ca="1">EDATE(TODAY(), 3)</f>
        <v>46365</v>
      </c>
      <c r="C9" s="79" t="s">
        <v>348</v>
      </c>
      <c r="D9" s="2" t="s">
        <v>349</v>
      </c>
      <c r="H9" s="10"/>
    </row>
    <row r="10" spans="2:8" x14ac:dyDescent="0.25">
      <c r="B10" s="4">
        <f ca="1">EDATE(TODAY(), 12)</f>
        <v>46639</v>
      </c>
      <c r="C10" s="79" t="s">
        <v>350</v>
      </c>
      <c r="D10" s="2" t="s">
        <v>351</v>
      </c>
      <c r="H10" s="10"/>
    </row>
    <row r="11" spans="2:8" x14ac:dyDescent="0.25">
      <c r="B11" s="4">
        <f ca="1">EDATE(TODAY(), -12)</f>
        <v>45909</v>
      </c>
      <c r="C11" s="79" t="s">
        <v>352</v>
      </c>
      <c r="D11" s="2" t="s">
        <v>353</v>
      </c>
      <c r="H11" s="10"/>
    </row>
    <row r="12" spans="2:8" x14ac:dyDescent="0.25">
      <c r="B12" s="4">
        <f ca="1">EOMONTH(TODAY(), 0)</f>
        <v>46295</v>
      </c>
      <c r="C12" s="79" t="s">
        <v>354</v>
      </c>
      <c r="D12" s="2" t="s">
        <v>355</v>
      </c>
      <c r="H12" s="10"/>
    </row>
    <row r="13" spans="2:8" x14ac:dyDescent="0.25">
      <c r="B13" s="4">
        <f ca="1">EOMONTH(TODAY(), -1) + 1</f>
        <v>46266</v>
      </c>
      <c r="C13" s="79" t="s">
        <v>356</v>
      </c>
      <c r="D13" s="2" t="s">
        <v>357</v>
      </c>
      <c r="H13" s="10"/>
    </row>
    <row r="14" spans="2:8" x14ac:dyDescent="0.25">
      <c r="B14" s="80">
        <f ca="1">TODAY()+TIME(18,0,0)</f>
        <v>46274.75</v>
      </c>
      <c r="C14" s="81" t="s">
        <v>358</v>
      </c>
      <c r="D14" s="2" t="s">
        <v>359</v>
      </c>
    </row>
    <row r="15" spans="2:8" x14ac:dyDescent="0.25">
      <c r="B15" s="80">
        <f ca="1">TODAY()+TIME(18,0,0)+1</f>
        <v>46275.75</v>
      </c>
      <c r="C15" s="81" t="s">
        <v>360</v>
      </c>
      <c r="D15" s="2" t="s">
        <v>361</v>
      </c>
    </row>
    <row r="19" spans="2:4" ht="21" x14ac:dyDescent="0.35">
      <c r="B19" s="1" t="s">
        <v>376</v>
      </c>
    </row>
    <row r="20" spans="2:4" ht="15.75" x14ac:dyDescent="0.25">
      <c r="B20" s="87" t="s">
        <v>377</v>
      </c>
      <c r="C20" s="87" t="s">
        <v>165</v>
      </c>
    </row>
    <row r="21" spans="2:4" x14ac:dyDescent="0.25">
      <c r="B21" s="80">
        <f ca="1">NOW()</f>
        <v>46274.686734027775</v>
      </c>
      <c r="C21" s="84" t="s">
        <v>378</v>
      </c>
      <c r="D21" t="s">
        <v>379</v>
      </c>
    </row>
    <row r="22" spans="2:4" x14ac:dyDescent="0.25">
      <c r="C22" s="82"/>
    </row>
  </sheetData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zoomScale="145" zoomScaleNormal="145" workbookViewId="0">
      <selection activeCell="H4" sqref="H4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 x14ac:dyDescent="0.35">
      <c r="B2" s="1" t="s">
        <v>362</v>
      </c>
    </row>
    <row r="4" spans="2:10" ht="15.75" x14ac:dyDescent="0.25">
      <c r="B4" s="87" t="s">
        <v>129</v>
      </c>
      <c r="C4" s="87" t="s">
        <v>363</v>
      </c>
      <c r="E4" s="87" t="s">
        <v>5</v>
      </c>
      <c r="J4" s="83"/>
    </row>
    <row r="5" spans="2:10" x14ac:dyDescent="0.25">
      <c r="B5" s="40">
        <v>46784</v>
      </c>
      <c r="C5" s="67">
        <v>1</v>
      </c>
      <c r="E5" s="42">
        <f>EDATE(B5,C5)</f>
        <v>46813</v>
      </c>
      <c r="F5" s="2" t="s">
        <v>364</v>
      </c>
      <c r="J5" s="10"/>
    </row>
    <row r="6" spans="2:10" x14ac:dyDescent="0.25">
      <c r="B6" s="40">
        <v>46784</v>
      </c>
      <c r="C6" s="67">
        <v>2</v>
      </c>
      <c r="E6" s="42">
        <f t="shared" ref="E6:E16" si="0">EDATE(B6,C6)</f>
        <v>46844</v>
      </c>
      <c r="F6" s="2" t="s">
        <v>365</v>
      </c>
      <c r="J6" s="10"/>
    </row>
    <row r="7" spans="2:10" x14ac:dyDescent="0.25">
      <c r="B7" s="40">
        <v>46784</v>
      </c>
      <c r="C7" s="67">
        <v>3</v>
      </c>
      <c r="E7" s="42">
        <f t="shared" si="0"/>
        <v>46874</v>
      </c>
      <c r="F7" s="2" t="s">
        <v>366</v>
      </c>
      <c r="J7" s="10"/>
    </row>
    <row r="8" spans="2:10" x14ac:dyDescent="0.25">
      <c r="B8" s="40">
        <v>46784</v>
      </c>
      <c r="C8" s="67">
        <v>-1</v>
      </c>
      <c r="E8" s="42">
        <f t="shared" si="0"/>
        <v>46753</v>
      </c>
      <c r="F8" s="2" t="s">
        <v>367</v>
      </c>
      <c r="J8" s="10"/>
    </row>
    <row r="9" spans="2:10" x14ac:dyDescent="0.25">
      <c r="B9" s="40">
        <v>46784</v>
      </c>
      <c r="C9" s="67">
        <v>-2</v>
      </c>
      <c r="E9" s="42">
        <f t="shared" si="0"/>
        <v>46722</v>
      </c>
      <c r="F9" s="2" t="s">
        <v>368</v>
      </c>
      <c r="J9" s="10"/>
    </row>
    <row r="10" spans="2:10" x14ac:dyDescent="0.25">
      <c r="B10" s="40">
        <v>46784</v>
      </c>
      <c r="C10" s="67">
        <v>-3</v>
      </c>
      <c r="E10" s="42">
        <f t="shared" si="0"/>
        <v>46692</v>
      </c>
      <c r="F10" s="2" t="s">
        <v>369</v>
      </c>
      <c r="J10" s="10"/>
    </row>
    <row r="11" spans="2:10" x14ac:dyDescent="0.25">
      <c r="B11" s="40">
        <v>46783</v>
      </c>
      <c r="C11" s="67">
        <v>1</v>
      </c>
      <c r="E11" s="42">
        <f t="shared" si="0"/>
        <v>46812</v>
      </c>
      <c r="F11" s="2" t="s">
        <v>370</v>
      </c>
      <c r="J11" s="10"/>
    </row>
    <row r="12" spans="2:10" x14ac:dyDescent="0.25">
      <c r="B12" s="40">
        <v>46827</v>
      </c>
      <c r="C12" s="67">
        <v>1.5</v>
      </c>
      <c r="E12" s="42">
        <f t="shared" si="0"/>
        <v>46858</v>
      </c>
      <c r="F12" s="2" t="s">
        <v>371</v>
      </c>
      <c r="J12" s="10"/>
    </row>
    <row r="13" spans="2:10" x14ac:dyDescent="0.25">
      <c r="B13" s="40">
        <v>46827</v>
      </c>
      <c r="C13" s="67">
        <v>12</v>
      </c>
      <c r="E13" s="42">
        <f t="shared" si="0"/>
        <v>47192</v>
      </c>
      <c r="F13" s="2" t="s">
        <v>372</v>
      </c>
      <c r="J13" s="10"/>
    </row>
    <row r="14" spans="2:10" x14ac:dyDescent="0.25">
      <c r="B14" s="40">
        <v>46827</v>
      </c>
      <c r="C14" s="67">
        <v>24</v>
      </c>
      <c r="E14" s="42">
        <f t="shared" si="0"/>
        <v>47557</v>
      </c>
      <c r="F14" s="2" t="s">
        <v>373</v>
      </c>
    </row>
    <row r="15" spans="2:10" x14ac:dyDescent="0.25">
      <c r="B15" s="40">
        <v>46905</v>
      </c>
      <c r="C15" s="67">
        <v>120</v>
      </c>
      <c r="E15" s="42">
        <f t="shared" si="0"/>
        <v>50557</v>
      </c>
      <c r="F15" s="2" t="s">
        <v>374</v>
      </c>
    </row>
    <row r="16" spans="2:10" x14ac:dyDescent="0.25">
      <c r="B16" s="40">
        <v>47011</v>
      </c>
      <c r="C16" s="67">
        <v>-60</v>
      </c>
      <c r="E16" s="42">
        <f t="shared" si="0"/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J21" sqref="J21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25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>
      <selection activeCell="J13" sqref="J13"/>
    </sheetView>
  </sheetViews>
  <sheetFormatPr defaultColWidth="8.85546875" defaultRowHeight="15" x14ac:dyDescent="0.25"/>
  <cols>
    <col min="1" max="1" width="8.85546875" style="13"/>
    <col min="2" max="2" width="9.28515625" style="13" bestFit="1" customWidth="1"/>
    <col min="3" max="5" width="7.28515625" style="13" bestFit="1" customWidth="1"/>
    <col min="6" max="6" width="12.42578125" style="13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13" si="0">SUM(B6:F6)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30</v>
      </c>
      <c r="K7" s="19"/>
    </row>
    <row r="8" spans="2:11" x14ac:dyDescent="0.25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 t="shared" si="0"/>
        <v>47211.199999999997</v>
      </c>
      <c r="I8" s="19" t="s">
        <v>31</v>
      </c>
      <c r="K8" s="19"/>
    </row>
    <row r="9" spans="2:11" x14ac:dyDescent="0.25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 t="shared" si="0"/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 t="shared" si="0"/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G5" sqref="G5:G14"/>
    </sheetView>
  </sheetViews>
  <sheetFormatPr defaultColWidth="8.85546875" defaultRowHeight="15" x14ac:dyDescent="0.25"/>
  <cols>
    <col min="1" max="1" width="8.85546875" style="30"/>
    <col min="2" max="2" width="9.28515625" style="30" bestFit="1" customWidth="1"/>
    <col min="3" max="3" width="7.285156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 x14ac:dyDescent="0.25">
      <c r="J1" s="14"/>
    </row>
    <row r="2" spans="2:10" ht="21" x14ac:dyDescent="0.35">
      <c r="B2" s="31" t="s">
        <v>74</v>
      </c>
      <c r="C2" s="32"/>
      <c r="D2" s="33"/>
      <c r="E2" s="33"/>
    </row>
    <row r="3" spans="2:10" x14ac:dyDescent="0.25">
      <c r="D3" s="34"/>
      <c r="E3" s="34"/>
    </row>
    <row r="4" spans="2:10" ht="15.75" x14ac:dyDescent="0.25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25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25">
      <c r="B6" s="35">
        <v>3.1926000000000001</v>
      </c>
      <c r="C6" s="35">
        <v>1.2</v>
      </c>
      <c r="D6" s="35">
        <v>3.2</v>
      </c>
      <c r="E6" s="35">
        <v>4.8</v>
      </c>
      <c r="G6" s="36">
        <f t="shared" ref="G6:G14" si="0">AVERAGE(B6:E6)</f>
        <v>3.09815</v>
      </c>
      <c r="H6" s="34" t="s">
        <v>29</v>
      </c>
      <c r="J6" s="34"/>
    </row>
    <row r="7" spans="2:10" x14ac:dyDescent="0.25">
      <c r="B7" s="37">
        <v>-1</v>
      </c>
      <c r="C7" s="37">
        <v>-2</v>
      </c>
      <c r="D7" s="35">
        <v>-3</v>
      </c>
      <c r="E7" s="35">
        <v>-4</v>
      </c>
      <c r="G7" s="36">
        <f t="shared" si="0"/>
        <v>-2.5</v>
      </c>
      <c r="H7" s="34" t="s">
        <v>30</v>
      </c>
      <c r="J7" s="34"/>
    </row>
    <row r="8" spans="2:10" x14ac:dyDescent="0.25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31</v>
      </c>
      <c r="J8" s="34"/>
    </row>
    <row r="9" spans="2:10" x14ac:dyDescent="0.25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25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25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76</v>
      </c>
      <c r="J11" s="34"/>
    </row>
    <row r="12" spans="2:10" x14ac:dyDescent="0.25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25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25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H21" sqref="H21:H22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 x14ac:dyDescent="0.25">
      <c r="J1" s="5"/>
    </row>
    <row r="2" spans="2:10" ht="21" x14ac:dyDescent="0.35">
      <c r="B2" s="1" t="s">
        <v>78</v>
      </c>
    </row>
    <row r="4" spans="2:10" ht="15.75" x14ac:dyDescent="0.25">
      <c r="B4" s="87" t="s">
        <v>79</v>
      </c>
      <c r="C4" s="87" t="s">
        <v>80</v>
      </c>
      <c r="D4" s="87" t="s">
        <v>81</v>
      </c>
    </row>
    <row r="5" spans="2:10" x14ac:dyDescent="0.25">
      <c r="B5" s="40" t="s">
        <v>82</v>
      </c>
      <c r="C5" s="41">
        <v>110000</v>
      </c>
      <c r="D5" s="42" t="str">
        <f>IF(C5&gt;90000,"Да","Нет")</f>
        <v>Да</v>
      </c>
      <c r="F5" s="2"/>
      <c r="G5" s="10"/>
    </row>
    <row r="6" spans="2:10" x14ac:dyDescent="0.25">
      <c r="B6" s="40" t="s">
        <v>83</v>
      </c>
      <c r="C6" s="41">
        <v>113000</v>
      </c>
      <c r="D6" s="42" t="str">
        <f t="shared" ref="D6:D15" si="0">IF(C6&gt;90000,"Да","Нет")</f>
        <v>Да</v>
      </c>
      <c r="F6" s="2"/>
      <c r="G6" s="10"/>
    </row>
    <row r="7" spans="2:10" x14ac:dyDescent="0.25">
      <c r="B7" s="40" t="s">
        <v>84</v>
      </c>
      <c r="C7" s="41">
        <v>106000</v>
      </c>
      <c r="D7" s="42" t="str">
        <f t="shared" si="0"/>
        <v>Да</v>
      </c>
      <c r="F7" s="2"/>
      <c r="G7" s="10"/>
    </row>
    <row r="8" spans="2:10" x14ac:dyDescent="0.25">
      <c r="B8" s="40" t="s">
        <v>85</v>
      </c>
      <c r="C8" s="41">
        <v>84000</v>
      </c>
      <c r="D8" s="42" t="str">
        <f t="shared" si="0"/>
        <v>Нет</v>
      </c>
      <c r="F8" s="2"/>
      <c r="G8" s="10"/>
    </row>
    <row r="9" spans="2:10" x14ac:dyDescent="0.25">
      <c r="B9" s="40" t="s">
        <v>86</v>
      </c>
      <c r="C9" s="41">
        <v>134000</v>
      </c>
      <c r="D9" s="42" t="str">
        <f t="shared" si="0"/>
        <v>Да</v>
      </c>
      <c r="F9" s="2"/>
      <c r="G9" s="10"/>
    </row>
    <row r="10" spans="2:10" x14ac:dyDescent="0.25">
      <c r="B10" s="40" t="s">
        <v>87</v>
      </c>
      <c r="C10" s="41">
        <v>51000</v>
      </c>
      <c r="D10" s="42" t="str">
        <f t="shared" si="0"/>
        <v>Нет</v>
      </c>
      <c r="F10" s="2"/>
      <c r="G10" s="10"/>
    </row>
    <row r="11" spans="2:10" x14ac:dyDescent="0.25">
      <c r="B11" s="40" t="s">
        <v>88</v>
      </c>
      <c r="C11" s="41">
        <v>83000</v>
      </c>
      <c r="D11" s="42" t="str">
        <f t="shared" si="0"/>
        <v>Нет</v>
      </c>
      <c r="F11" s="2"/>
      <c r="G11" s="10"/>
    </row>
    <row r="12" spans="2:10" x14ac:dyDescent="0.25">
      <c r="B12" s="40" t="s">
        <v>89</v>
      </c>
      <c r="C12" s="41">
        <v>75000</v>
      </c>
      <c r="D12" s="42" t="str">
        <f t="shared" si="0"/>
        <v>Нет</v>
      </c>
      <c r="F12" s="2"/>
      <c r="G12" s="10"/>
    </row>
    <row r="13" spans="2:10" x14ac:dyDescent="0.25">
      <c r="B13" s="40" t="s">
        <v>90</v>
      </c>
      <c r="C13" s="41">
        <v>92000</v>
      </c>
      <c r="D13" s="42" t="str">
        <f t="shared" si="0"/>
        <v>Да</v>
      </c>
      <c r="F13" s="2"/>
      <c r="G13" s="10"/>
    </row>
    <row r="14" spans="2:10" x14ac:dyDescent="0.25">
      <c r="B14" s="43" t="s">
        <v>91</v>
      </c>
      <c r="C14" s="41">
        <v>99000</v>
      </c>
      <c r="D14" s="42" t="str">
        <f t="shared" si="0"/>
        <v>Да</v>
      </c>
      <c r="F14" s="2"/>
    </row>
    <row r="15" spans="2:10" x14ac:dyDescent="0.25">
      <c r="B15" s="43" t="s">
        <v>92</v>
      </c>
      <c r="C15" s="41">
        <v>61000</v>
      </c>
      <c r="D15" s="42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H18" sqref="H18"/>
    </sheetView>
  </sheetViews>
  <sheetFormatPr defaultRowHeight="15" x14ac:dyDescent="0.2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 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 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>
      <selection activeCell="H8" sqref="H8"/>
    </sheetView>
  </sheetViews>
  <sheetFormatPr defaultRowHeight="15" x14ac:dyDescent="0.2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25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>
        <f>COUNTIF(C5:C13,"&lt;=5000")</f>
        <v>6</v>
      </c>
    </row>
    <row r="6" spans="2:10" x14ac:dyDescent="0.25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COUNTIF(D5:D13,"&gt;4")</f>
        <v>4</v>
      </c>
    </row>
    <row r="7" spans="2:10" x14ac:dyDescent="0.25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COUNTIF(E5:E13,"=да")</f>
        <v>3</v>
      </c>
    </row>
    <row r="8" spans="2:10" x14ac:dyDescent="0.25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25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25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25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25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25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>
      <selection activeCell="O15" sqref="O15"/>
    </sheetView>
  </sheetViews>
  <sheetFormatPr defaultRowHeight="15" x14ac:dyDescent="0.2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4"/>
    </row>
    <row r="3" spans="2:11" x14ac:dyDescent="0.25">
      <c r="D3" s="2"/>
    </row>
    <row r="4" spans="2:11" ht="15.75" x14ac:dyDescent="0.25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25">
      <c r="B5" s="29" t="s">
        <v>118</v>
      </c>
      <c r="C5" s="3" t="s">
        <v>119</v>
      </c>
      <c r="D5" s="48">
        <v>17000</v>
      </c>
      <c r="G5" s="3" t="s">
        <v>118</v>
      </c>
      <c r="H5" s="49">
        <f>SUMIF(B5:B13,"=Москва",D5:D13)</f>
        <v>33000</v>
      </c>
      <c r="K5" s="2"/>
    </row>
    <row r="6" spans="2:11" x14ac:dyDescent="0.25">
      <c r="B6" s="29" t="s">
        <v>120</v>
      </c>
      <c r="C6" s="3" t="s">
        <v>121</v>
      </c>
      <c r="D6" s="48">
        <v>14000</v>
      </c>
      <c r="K6" s="2"/>
    </row>
    <row r="7" spans="2:11" x14ac:dyDescent="0.25">
      <c r="B7" s="29" t="s">
        <v>118</v>
      </c>
      <c r="C7" s="12" t="s">
        <v>121</v>
      </c>
      <c r="D7" s="48">
        <v>8000</v>
      </c>
      <c r="K7" s="2"/>
    </row>
    <row r="8" spans="2:11" x14ac:dyDescent="0.25">
      <c r="B8" s="29" t="s">
        <v>122</v>
      </c>
      <c r="C8" s="3" t="s">
        <v>119</v>
      </c>
      <c r="D8" s="48">
        <v>13000</v>
      </c>
      <c r="K8" s="2"/>
    </row>
    <row r="9" spans="2:11" x14ac:dyDescent="0.25">
      <c r="B9" s="29" t="s">
        <v>123</v>
      </c>
      <c r="C9" s="3" t="s">
        <v>119</v>
      </c>
      <c r="D9" s="48">
        <v>9000</v>
      </c>
      <c r="K9" s="2"/>
    </row>
    <row r="10" spans="2:11" x14ac:dyDescent="0.25">
      <c r="B10" s="50" t="s">
        <v>124</v>
      </c>
      <c r="C10" s="12" t="s">
        <v>121</v>
      </c>
      <c r="D10" s="48">
        <v>22000</v>
      </c>
      <c r="K10" s="2"/>
    </row>
    <row r="11" spans="2:11" x14ac:dyDescent="0.25">
      <c r="B11" s="29" t="s">
        <v>118</v>
      </c>
      <c r="C11" s="3" t="s">
        <v>121</v>
      </c>
      <c r="D11" s="48">
        <v>8000</v>
      </c>
    </row>
    <row r="12" spans="2:11" x14ac:dyDescent="0.25">
      <c r="B12" s="29" t="s">
        <v>122</v>
      </c>
      <c r="C12" s="3" t="s">
        <v>119</v>
      </c>
      <c r="D12" s="48">
        <v>14000</v>
      </c>
      <c r="K12" s="2"/>
    </row>
    <row r="13" spans="2:11" x14ac:dyDescent="0.25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>
      <selection activeCell="H7" sqref="H7"/>
    </sheetView>
  </sheetViews>
  <sheetFormatPr defaultRowHeight="15" x14ac:dyDescent="0.2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25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AVERAGEIF(C5:C13,"&gt;5000",C5:C13)</f>
        <v>6733.333333333333</v>
      </c>
    </row>
    <row r="6" spans="2:10" x14ac:dyDescent="0.25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AVERAGEIF(E5:E13,"&gt;1",C5:C13)</f>
        <v>4085.7142857142858</v>
      </c>
    </row>
    <row r="7" spans="2:10" x14ac:dyDescent="0.25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AVERAGEIF(D5:D13,"=да",C5:C13)</f>
        <v>6125</v>
      </c>
    </row>
    <row r="8" spans="2:10" x14ac:dyDescent="0.25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E11" sqref="E11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4"/>
    </row>
    <row r="3" spans="1:6" x14ac:dyDescent="0.25">
      <c r="E3" s="2"/>
    </row>
    <row r="4" spans="1:6" ht="15.75" x14ac:dyDescent="0.25">
      <c r="B4" s="87" t="s">
        <v>147</v>
      </c>
      <c r="C4" s="87" t="s">
        <v>148</v>
      </c>
      <c r="E4" s="97" t="s">
        <v>149</v>
      </c>
    </row>
    <row r="5" spans="1:6" x14ac:dyDescent="0.25">
      <c r="B5" s="3" t="s">
        <v>150</v>
      </c>
      <c r="C5" s="3">
        <v>58</v>
      </c>
      <c r="E5" s="98"/>
      <c r="F5" s="2"/>
    </row>
    <row r="6" spans="1:6" x14ac:dyDescent="0.25">
      <c r="B6" s="3" t="s">
        <v>151</v>
      </c>
      <c r="C6" s="3">
        <v>30</v>
      </c>
      <c r="E6" s="27">
        <f>MIN(C5:C15)</f>
        <v>24</v>
      </c>
      <c r="F6" s="2"/>
    </row>
    <row r="7" spans="1:6" ht="15.75" x14ac:dyDescent="0.25">
      <c r="A7" s="51"/>
      <c r="B7" s="3" t="s">
        <v>152</v>
      </c>
      <c r="C7" s="3">
        <v>37</v>
      </c>
      <c r="F7" s="2"/>
    </row>
    <row r="8" spans="1:6" ht="15.75" x14ac:dyDescent="0.25">
      <c r="A8" s="51"/>
      <c r="B8" s="52" t="s">
        <v>153</v>
      </c>
      <c r="C8" s="3">
        <v>96</v>
      </c>
      <c r="E8" s="97" t="s">
        <v>154</v>
      </c>
      <c r="F8" s="2"/>
    </row>
    <row r="9" spans="1:6" ht="15.75" x14ac:dyDescent="0.25">
      <c r="A9" s="51"/>
      <c r="B9" s="40" t="s">
        <v>155</v>
      </c>
      <c r="C9" s="3">
        <v>84</v>
      </c>
      <c r="E9" s="98"/>
      <c r="F9" s="2"/>
    </row>
    <row r="10" spans="1:6" ht="15.75" x14ac:dyDescent="0.25">
      <c r="A10" s="51"/>
      <c r="B10" s="40" t="s">
        <v>156</v>
      </c>
      <c r="C10" s="3">
        <v>89</v>
      </c>
      <c r="E10" s="27">
        <f>MAX(C5:C15)</f>
        <v>96</v>
      </c>
      <c r="F10" s="2"/>
    </row>
    <row r="11" spans="1:6" ht="15.75" x14ac:dyDescent="0.25">
      <c r="A11" s="51"/>
      <c r="B11" s="40" t="s">
        <v>157</v>
      </c>
      <c r="C11" s="3">
        <v>70</v>
      </c>
      <c r="D11" s="2"/>
    </row>
    <row r="12" spans="1:6" ht="15.75" x14ac:dyDescent="0.25">
      <c r="A12" s="51"/>
      <c r="B12" s="40" t="s">
        <v>158</v>
      </c>
      <c r="C12" s="3">
        <v>24</v>
      </c>
      <c r="D12" s="2"/>
      <c r="F12" s="2"/>
    </row>
    <row r="13" spans="1:6" ht="15.75" x14ac:dyDescent="0.25">
      <c r="A13" s="51"/>
      <c r="B13" s="43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>
      <selection activeCell="C5" sqref="C5:C11"/>
    </sheetView>
  </sheetViews>
  <sheetFormatPr defaultRowHeight="15" x14ac:dyDescent="0.2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7" t="s">
        <v>44</v>
      </c>
      <c r="C4" s="87" t="s">
        <v>5</v>
      </c>
    </row>
    <row r="5" spans="2:10" x14ac:dyDescent="0.25">
      <c r="B5" s="3" t="s">
        <v>138</v>
      </c>
      <c r="C5" s="27" t="str">
        <f>TRIM(B5)</f>
        <v>Лучшее - враг хорошего</v>
      </c>
    </row>
    <row r="6" spans="2:10" x14ac:dyDescent="0.25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7" t="str">
        <f t="shared" si="0"/>
        <v>Слово - не воробей</v>
      </c>
    </row>
    <row r="8" spans="2:10" x14ac:dyDescent="0.25">
      <c r="B8" s="3" t="s">
        <v>141</v>
      </c>
      <c r="C8" s="27" t="str">
        <f t="shared" si="0"/>
        <v>Сделал дело - гуляй смело</v>
      </c>
    </row>
    <row r="9" spans="2:10" x14ac:dyDescent="0.25">
      <c r="B9" s="3" t="s">
        <v>142</v>
      </c>
      <c r="C9" s="27" t="str">
        <f t="shared" si="0"/>
        <v>Цыплят по осени считают</v>
      </c>
    </row>
    <row r="10" spans="2:10" x14ac:dyDescent="0.25">
      <c r="B10" s="12" t="s">
        <v>143</v>
      </c>
      <c r="C10" s="27" t="str">
        <f t="shared" si="0"/>
        <v>Береги честь смолоду</v>
      </c>
    </row>
    <row r="11" spans="2:10" x14ac:dyDescent="0.25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E5" sqref="E5:E15"/>
    </sheetView>
  </sheetViews>
  <sheetFormatPr defaultRowHeight="15" x14ac:dyDescent="0.2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25">
      <c r="B5" s="3" t="s">
        <v>47</v>
      </c>
      <c r="C5" s="26" t="s">
        <v>48</v>
      </c>
      <c r="D5" s="27">
        <f>SEARCH(B5,C5)</f>
        <v>1</v>
      </c>
      <c r="E5" s="27">
        <f>FIND(B5,C5)</f>
        <v>1</v>
      </c>
      <c r="F5" s="2" t="s">
        <v>49</v>
      </c>
    </row>
    <row r="6" spans="2:10" x14ac:dyDescent="0.25">
      <c r="B6" s="3" t="s">
        <v>50</v>
      </c>
      <c r="C6" s="28" t="s">
        <v>51</v>
      </c>
      <c r="D6" s="27">
        <f t="shared" ref="D6:D15" si="0">SEARCH(B6,C6)</f>
        <v>3</v>
      </c>
      <c r="E6" s="27">
        <f t="shared" ref="E6:E15" si="1">FIND(B6,C6)</f>
        <v>3</v>
      </c>
      <c r="F6" s="2" t="s">
        <v>52</v>
      </c>
    </row>
    <row r="7" spans="2:10" x14ac:dyDescent="0.25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25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25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25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25">
      <c r="B11" s="12" t="s">
        <v>63</v>
      </c>
      <c r="C11" s="26" t="s">
        <v>64</v>
      </c>
      <c r="D11" s="27">
        <f t="shared" si="0"/>
        <v>1</v>
      </c>
      <c r="E11" s="27" t="e">
        <f t="shared" si="1"/>
        <v>#VALUE!</v>
      </c>
      <c r="F11" s="2" t="s">
        <v>65</v>
      </c>
    </row>
    <row r="12" spans="2:10" x14ac:dyDescent="0.25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66</v>
      </c>
    </row>
    <row r="13" spans="2:10" x14ac:dyDescent="0.25">
      <c r="B13" s="3" t="s">
        <v>67</v>
      </c>
      <c r="C13" s="28" t="s">
        <v>68</v>
      </c>
      <c r="D13" s="27">
        <f t="shared" si="0"/>
        <v>7</v>
      </c>
      <c r="E13" s="27">
        <f t="shared" si="1"/>
        <v>7</v>
      </c>
      <c r="F13" s="2" t="s">
        <v>69</v>
      </c>
    </row>
    <row r="14" spans="2:10" x14ac:dyDescent="0.25">
      <c r="B14" s="3" t="s">
        <v>70</v>
      </c>
      <c r="C14" s="28" t="s">
        <v>71</v>
      </c>
      <c r="D14" s="27">
        <f t="shared" si="0"/>
        <v>4</v>
      </c>
      <c r="E14" s="27">
        <f t="shared" si="1"/>
        <v>4</v>
      </c>
      <c r="F14" s="2" t="s">
        <v>72</v>
      </c>
    </row>
    <row r="15" spans="2:10" x14ac:dyDescent="0.25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C9" sqref="C9"/>
    </sheetView>
  </sheetViews>
  <sheetFormatPr defaultRowHeight="15" x14ac:dyDescent="0.25"/>
  <cols>
    <col min="2" max="2" width="19.28515625" customWidth="1"/>
    <col min="3" max="3" width="15.7109375" bestFit="1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25">
      <c r="B5" s="3" t="s">
        <v>167</v>
      </c>
      <c r="C5" s="53" t="str">
        <f>SUBSTITUTE(B5,"у","о")</f>
        <v>Стол</v>
      </c>
      <c r="D5" s="54" t="s">
        <v>168</v>
      </c>
      <c r="E5" s="28" t="s">
        <v>169</v>
      </c>
    </row>
    <row r="6" spans="2:5" x14ac:dyDescent="0.25">
      <c r="B6" s="3" t="s">
        <v>170</v>
      </c>
      <c r="C6" s="53" t="str">
        <f>SUBSTITUTE(B6,"о","и",2)</f>
        <v>Помидор</v>
      </c>
      <c r="D6" s="54" t="s">
        <v>171</v>
      </c>
      <c r="E6" s="28" t="s">
        <v>172</v>
      </c>
    </row>
    <row r="7" spans="2:5" x14ac:dyDescent="0.25">
      <c r="B7" s="3" t="s">
        <v>173</v>
      </c>
      <c r="C7" s="53" t="str">
        <f>SUBSTITUTE(B7,"кот","тигр")</f>
        <v>Кот, тигр</v>
      </c>
      <c r="D7" s="54" t="s">
        <v>174</v>
      </c>
      <c r="E7" s="28" t="s">
        <v>175</v>
      </c>
    </row>
    <row r="8" spans="2:5" x14ac:dyDescent="0.25">
      <c r="B8" s="3" t="s">
        <v>176</v>
      </c>
      <c r="C8" s="53" t="str">
        <f>SUBSTITUTE(B8,"#","")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E14" sqref="E14"/>
    </sheetView>
  </sheetViews>
  <sheetFormatPr defaultRowHeight="15" x14ac:dyDescent="0.2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 x14ac:dyDescent="0.35">
      <c r="B2" s="1" t="s">
        <v>324</v>
      </c>
    </row>
    <row r="4" spans="2:8" ht="15.75" x14ac:dyDescent="0.25">
      <c r="B4" s="87" t="s">
        <v>325</v>
      </c>
      <c r="C4" s="87" t="s">
        <v>326</v>
      </c>
    </row>
    <row r="5" spans="2:8" x14ac:dyDescent="0.25">
      <c r="B5" s="40" t="s">
        <v>327</v>
      </c>
      <c r="C5" s="77" t="str">
        <f>REPLACE(B5,5,4,"2026")</f>
        <v>ФГС-2026-01</v>
      </c>
      <c r="F5" s="78"/>
      <c r="H5" s="10"/>
    </row>
    <row r="6" spans="2:8" x14ac:dyDescent="0.25">
      <c r="B6" s="40" t="s">
        <v>328</v>
      </c>
      <c r="C6" s="77" t="str">
        <f t="shared" ref="C6:C16" si="0">REPLACE(B6,5,4,"2026")</f>
        <v>ФГС-2026-02</v>
      </c>
      <c r="H6" s="10"/>
    </row>
    <row r="7" spans="2:8" x14ac:dyDescent="0.25">
      <c r="B7" s="40" t="s">
        <v>329</v>
      </c>
      <c r="C7" s="77" t="str">
        <f t="shared" si="0"/>
        <v>ФГС-2026-03</v>
      </c>
      <c r="H7" s="10"/>
    </row>
    <row r="8" spans="2:8" x14ac:dyDescent="0.25">
      <c r="B8" s="40" t="s">
        <v>330</v>
      </c>
      <c r="C8" s="77" t="str">
        <f t="shared" si="0"/>
        <v>ААБ-2026-001</v>
      </c>
      <c r="H8" s="10"/>
    </row>
    <row r="9" spans="2:8" x14ac:dyDescent="0.25">
      <c r="B9" s="40" t="s">
        <v>331</v>
      </c>
      <c r="C9" s="77" t="str">
        <f t="shared" si="0"/>
        <v>ААБ-2026-002</v>
      </c>
      <c r="H9" s="10"/>
    </row>
    <row r="10" spans="2:8" x14ac:dyDescent="0.25">
      <c r="B10" s="40" t="s">
        <v>332</v>
      </c>
      <c r="C10" s="77" t="str">
        <f t="shared" si="0"/>
        <v>ААБ-2026-003</v>
      </c>
      <c r="H10" s="10"/>
    </row>
    <row r="11" spans="2:8" x14ac:dyDescent="0.25">
      <c r="B11" s="40" t="s">
        <v>333</v>
      </c>
      <c r="C11" s="77" t="str">
        <f t="shared" si="0"/>
        <v>ААБ-2026-004</v>
      </c>
      <c r="H11" s="10"/>
    </row>
    <row r="12" spans="2:8" x14ac:dyDescent="0.25">
      <c r="B12" s="40" t="s">
        <v>334</v>
      </c>
      <c r="C12" s="77" t="str">
        <f t="shared" si="0"/>
        <v>НАР-2026-875</v>
      </c>
      <c r="H12" s="10"/>
    </row>
    <row r="13" spans="2:8" x14ac:dyDescent="0.25">
      <c r="B13" s="40" t="s">
        <v>335</v>
      </c>
      <c r="C13" s="77" t="str">
        <f t="shared" si="0"/>
        <v>НАР-2026-876</v>
      </c>
      <c r="H13" s="10"/>
    </row>
    <row r="14" spans="2:8" x14ac:dyDescent="0.25">
      <c r="B14" s="40" t="s">
        <v>336</v>
      </c>
      <c r="C14" s="77" t="str">
        <f t="shared" si="0"/>
        <v>НАР-2026-877</v>
      </c>
    </row>
    <row r="15" spans="2:8" x14ac:dyDescent="0.25">
      <c r="B15" s="40" t="s">
        <v>337</v>
      </c>
      <c r="C15" s="77" t="str">
        <f t="shared" si="0"/>
        <v>ПУИ-2026-003</v>
      </c>
    </row>
    <row r="16" spans="2:8" x14ac:dyDescent="0.25">
      <c r="B16" s="40" t="s">
        <v>338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B16" sqref="B16"/>
    </sheetView>
  </sheetViews>
  <sheetFormatPr defaultRowHeight="15" x14ac:dyDescent="0.25"/>
  <cols>
    <col min="2" max="2" width="19.28515625" customWidth="1"/>
    <col min="3" max="3" width="12.710937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7" t="s">
        <v>43</v>
      </c>
      <c r="C4" s="87" t="s">
        <v>5</v>
      </c>
      <c r="D4" s="87" t="s">
        <v>165</v>
      </c>
    </row>
    <row r="5" spans="2:5" x14ac:dyDescent="0.25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25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3" t="str">
        <f>LEFT(B8,4)</f>
        <v>Мама</v>
      </c>
      <c r="D8" s="54" t="s">
        <v>185</v>
      </c>
      <c r="E8" s="2"/>
    </row>
    <row r="9" spans="2:5" x14ac:dyDescent="0.25">
      <c r="B9" s="3" t="s">
        <v>184</v>
      </c>
      <c r="C9" s="53" t="str">
        <f>RIGHT(B9,4)</f>
        <v>раму</v>
      </c>
      <c r="D9" s="54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3" t="str">
        <f>LEFT(B11,3)</f>
        <v>909</v>
      </c>
      <c r="D11" s="54" t="s">
        <v>188</v>
      </c>
      <c r="E11" s="2"/>
    </row>
    <row r="12" spans="2:5" x14ac:dyDescent="0.25">
      <c r="B12" s="12" t="s">
        <v>187</v>
      </c>
      <c r="C12" s="53" t="str">
        <f>RIGHT(B12,5)</f>
        <v>66-55</v>
      </c>
      <c r="D12" s="54" t="s">
        <v>189</v>
      </c>
      <c r="E12" s="2"/>
    </row>
    <row r="14" spans="2:5" x14ac:dyDescent="0.25">
      <c r="B14" s="55" t="s">
        <v>190</v>
      </c>
      <c r="C14" s="53" t="str">
        <f>LEFT(B14,4)</f>
        <v>7500</v>
      </c>
      <c r="D14" s="54" t="s">
        <v>191</v>
      </c>
    </row>
    <row r="15" spans="2:5" x14ac:dyDescent="0.25">
      <c r="B15" s="55" t="s">
        <v>190</v>
      </c>
      <c r="C15" s="53" t="str">
        <f>RIGHT(B15,6)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E17" sqref="E17"/>
    </sheetView>
  </sheetViews>
  <sheetFormatPr defaultRowHeight="15" x14ac:dyDescent="0.25"/>
  <cols>
    <col min="2" max="2" width="14.4257812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6"/>
    </row>
    <row r="3" spans="2:5" x14ac:dyDescent="0.25">
      <c r="C3" s="2"/>
    </row>
    <row r="4" spans="2:5" ht="15.75" x14ac:dyDescent="0.25">
      <c r="B4" s="87" t="s">
        <v>44</v>
      </c>
      <c r="C4" s="87" t="s">
        <v>5</v>
      </c>
    </row>
    <row r="5" spans="2:5" x14ac:dyDescent="0.25">
      <c r="B5" s="3" t="s">
        <v>194</v>
      </c>
      <c r="C5" s="27">
        <f>LEN(B5)</f>
        <v>3</v>
      </c>
      <c r="D5" s="2" t="s">
        <v>195</v>
      </c>
    </row>
    <row r="6" spans="2:5" x14ac:dyDescent="0.25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7">
        <f t="shared" si="0"/>
        <v>3</v>
      </c>
      <c r="D7" s="2" t="s">
        <v>199</v>
      </c>
    </row>
    <row r="8" spans="2:5" x14ac:dyDescent="0.25">
      <c r="B8" s="3" t="s">
        <v>200</v>
      </c>
      <c r="C8" s="27">
        <f t="shared" si="0"/>
        <v>11</v>
      </c>
      <c r="D8" s="2" t="s">
        <v>201</v>
      </c>
    </row>
    <row r="9" spans="2:5" x14ac:dyDescent="0.25">
      <c r="B9" s="3"/>
      <c r="C9" s="27">
        <f t="shared" si="0"/>
        <v>0</v>
      </c>
      <c r="D9" s="2" t="s">
        <v>202</v>
      </c>
    </row>
    <row r="10" spans="2:5" x14ac:dyDescent="0.25">
      <c r="B10" s="12">
        <v>1000</v>
      </c>
      <c r="C10" s="27">
        <f t="shared" si="0"/>
        <v>4</v>
      </c>
      <c r="D10" s="2" t="s">
        <v>203</v>
      </c>
    </row>
    <row r="11" spans="2:5" x14ac:dyDescent="0.25">
      <c r="B11" s="57">
        <v>1000</v>
      </c>
      <c r="C11" s="27">
        <f t="shared" si="0"/>
        <v>4</v>
      </c>
      <c r="D11" s="2" t="s">
        <v>204</v>
      </c>
    </row>
    <row r="12" spans="2:5" x14ac:dyDescent="0.25">
      <c r="B12" s="40">
        <v>47112</v>
      </c>
      <c r="C12" s="27">
        <f t="shared" si="0"/>
        <v>5</v>
      </c>
      <c r="D12" s="2" t="s">
        <v>205</v>
      </c>
    </row>
    <row r="13" spans="2:5" x14ac:dyDescent="0.25">
      <c r="B13" s="3">
        <v>106.99</v>
      </c>
      <c r="C13" s="27">
        <f t="shared" si="0"/>
        <v>6</v>
      </c>
      <c r="D13" s="2" t="s">
        <v>206</v>
      </c>
    </row>
    <row r="14" spans="2:5" x14ac:dyDescent="0.25">
      <c r="B14" s="58">
        <v>3.14159265358979</v>
      </c>
      <c r="C14" s="27">
        <f t="shared" si="0"/>
        <v>16</v>
      </c>
      <c r="D14" s="2" t="s">
        <v>207</v>
      </c>
    </row>
    <row r="15" spans="2:5" x14ac:dyDescent="0.25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workbookViewId="0">
      <selection activeCell="E15" sqref="E15"/>
    </sheetView>
  </sheetViews>
  <sheetFormatPr defaultRowHeight="15" x14ac:dyDescent="0.25"/>
  <cols>
    <col min="2" max="3" width="12.42578125" customWidth="1"/>
    <col min="4" max="4" width="13.140625" customWidth="1"/>
    <col min="5" max="5" width="29.285156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4"/>
    </row>
    <row r="3" spans="2:9" x14ac:dyDescent="0.25">
      <c r="D3" s="2"/>
      <c r="E3" s="61" t="s">
        <v>245</v>
      </c>
    </row>
    <row r="4" spans="2:9" ht="15.75" x14ac:dyDescent="0.25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25">
      <c r="B5" s="3" t="s">
        <v>247</v>
      </c>
      <c r="C5" s="28" t="s">
        <v>248</v>
      </c>
      <c r="D5" s="46" t="s">
        <v>249</v>
      </c>
      <c r="E5" s="27" t="str">
        <f>CONCATENATE(B5,", ",C5,", ",D5)</f>
        <v>А, Б, В</v>
      </c>
    </row>
    <row r="6" spans="2:9" x14ac:dyDescent="0.25">
      <c r="B6" s="3">
        <v>1</v>
      </c>
      <c r="C6" s="3">
        <v>2</v>
      </c>
      <c r="D6" s="46">
        <v>3</v>
      </c>
      <c r="E6" s="27" t="str">
        <f t="shared" ref="E6:E8" si="0">CONCATENATE(B6,", ",C6,", ",D6)</f>
        <v>1, 2, 3</v>
      </c>
    </row>
    <row r="7" spans="2:9" x14ac:dyDescent="0.25">
      <c r="B7" s="3" t="s">
        <v>250</v>
      </c>
      <c r="C7" s="28" t="s">
        <v>251</v>
      </c>
      <c r="D7" s="46" t="s">
        <v>252</v>
      </c>
      <c r="E7" s="27" t="str">
        <f t="shared" si="0"/>
        <v>сливы, яблоки, груши</v>
      </c>
    </row>
    <row r="8" spans="2:9" x14ac:dyDescent="0.25">
      <c r="B8" s="3" t="s">
        <v>253</v>
      </c>
      <c r="C8" s="28" t="s">
        <v>254</v>
      </c>
      <c r="D8" s="46" t="s">
        <v>255</v>
      </c>
      <c r="E8" s="27" t="str">
        <f t="shared" si="0"/>
        <v>красный, синий, зеленый</v>
      </c>
    </row>
    <row r="10" spans="2:9" x14ac:dyDescent="0.25">
      <c r="E10" s="61" t="s">
        <v>256</v>
      </c>
    </row>
    <row r="11" spans="2:9" x14ac:dyDescent="0.25">
      <c r="B11" s="3" t="s">
        <v>253</v>
      </c>
      <c r="C11" s="28" t="s">
        <v>254</v>
      </c>
      <c r="D11" s="46"/>
      <c r="E11" s="27" t="str">
        <f>CONCATENATE(B11," и ", C11)</f>
        <v>красный и синий</v>
      </c>
    </row>
    <row r="13" spans="2:9" x14ac:dyDescent="0.25">
      <c r="E13" s="61" t="s">
        <v>257</v>
      </c>
    </row>
    <row r="14" spans="2:9" ht="15.75" x14ac:dyDescent="0.25">
      <c r="B14" s="87" t="s">
        <v>258</v>
      </c>
      <c r="C14" s="87" t="s">
        <v>259</v>
      </c>
      <c r="D14" s="87" t="s">
        <v>260</v>
      </c>
      <c r="E14" s="92" t="s">
        <v>246</v>
      </c>
    </row>
    <row r="15" spans="2:9" x14ac:dyDescent="0.25">
      <c r="B15" s="3" t="s">
        <v>261</v>
      </c>
      <c r="C15" s="28" t="s">
        <v>262</v>
      </c>
      <c r="D15" s="46" t="s">
        <v>263</v>
      </c>
      <c r="E15" s="27" t="str">
        <f>CONCATENATE(D15,", ",B15," ",C15)</f>
        <v>Уважаемый, 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>
      <selection activeCell="G9" sqref="G9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 x14ac:dyDescent="0.35">
      <c r="B2" s="1" t="s">
        <v>380</v>
      </c>
      <c r="C2" s="7" t="s">
        <v>381</v>
      </c>
      <c r="D2" s="44"/>
      <c r="E2" s="44" t="s">
        <v>382</v>
      </c>
    </row>
    <row r="3" spans="2:7" x14ac:dyDescent="0.25">
      <c r="D3" s="2"/>
      <c r="E3" s="2"/>
    </row>
    <row r="4" spans="2:7" ht="15.75" x14ac:dyDescent="0.25">
      <c r="B4" s="87" t="s">
        <v>94</v>
      </c>
      <c r="C4" s="87" t="s">
        <v>380</v>
      </c>
      <c r="D4" s="87" t="s">
        <v>381</v>
      </c>
      <c r="E4" s="92" t="s">
        <v>383</v>
      </c>
    </row>
    <row r="5" spans="2:7" x14ac:dyDescent="0.25">
      <c r="B5" s="3" t="s">
        <v>384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25">
      <c r="B6" s="3" t="s">
        <v>385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25">
      <c r="B7" s="3" t="s">
        <v>386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25">
      <c r="B8" s="3" t="s">
        <v>387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25">
      <c r="B9" s="3" t="s">
        <v>388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25">
      <c r="B10" s="3" t="s">
        <v>389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25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390</v>
      </c>
    </row>
    <row r="12" spans="2:7" x14ac:dyDescent="0.25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391</v>
      </c>
      <c r="G12" s="2"/>
    </row>
    <row r="13" spans="2:7" x14ac:dyDescent="0.25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A3" sqref="A3:XFD3"/>
    </sheetView>
  </sheetViews>
  <sheetFormatPr defaultRowHeight="15" x14ac:dyDescent="0.25"/>
  <cols>
    <col min="2" max="2" width="11.28515625" bestFit="1" customWidth="1"/>
    <col min="3" max="4" width="13.285156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25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COUNT(B5:D15)</f>
        <v>6</v>
      </c>
    </row>
    <row r="6" spans="1:10" x14ac:dyDescent="0.25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75" x14ac:dyDescent="0.25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COUNTA(B5:D15)</f>
        <v>32</v>
      </c>
    </row>
    <row r="9" spans="1:10" ht="15.75" x14ac:dyDescent="0.25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workbookViewId="0">
      <selection activeCell="D7" sqref="D7"/>
    </sheetView>
  </sheetViews>
  <sheetFormatPr defaultRowHeight="15" x14ac:dyDescent="0.25"/>
  <cols>
    <col min="2" max="2" width="14" customWidth="1"/>
    <col min="3" max="3" width="9.28515625" customWidth="1"/>
    <col min="4" max="4" width="17.42578125" customWidth="1"/>
  </cols>
  <sheetData>
    <row r="2" spans="1:5" ht="21" x14ac:dyDescent="0.35">
      <c r="B2" s="1" t="s">
        <v>269</v>
      </c>
      <c r="D2" s="44"/>
    </row>
    <row r="3" spans="1:5" x14ac:dyDescent="0.25">
      <c r="D3" s="2"/>
    </row>
    <row r="4" spans="1:5" ht="15.75" x14ac:dyDescent="0.25">
      <c r="B4" s="87" t="s">
        <v>211</v>
      </c>
      <c r="D4" s="97" t="s">
        <v>270</v>
      </c>
    </row>
    <row r="5" spans="1:5" x14ac:dyDescent="0.25">
      <c r="B5" s="3" t="s">
        <v>271</v>
      </c>
      <c r="D5" s="98"/>
      <c r="E5" s="2"/>
    </row>
    <row r="6" spans="1:5" x14ac:dyDescent="0.25">
      <c r="B6" s="3" t="s">
        <v>272</v>
      </c>
      <c r="D6" s="27">
        <f>COUNTBLANK(B5:B15)</f>
        <v>3</v>
      </c>
      <c r="E6" s="2"/>
    </row>
    <row r="7" spans="1:5" ht="15.75" x14ac:dyDescent="0.25">
      <c r="A7" s="51"/>
      <c r="B7" s="3">
        <v>100</v>
      </c>
      <c r="E7" s="2"/>
    </row>
    <row r="8" spans="1:5" ht="15.75" x14ac:dyDescent="0.25">
      <c r="A8" s="62">
        <v>1</v>
      </c>
      <c r="B8" s="52"/>
      <c r="C8" s="2" t="s">
        <v>221</v>
      </c>
    </row>
    <row r="9" spans="1:5" ht="15.75" x14ac:dyDescent="0.25">
      <c r="A9" s="62"/>
      <c r="B9" s="63">
        <v>0.3</v>
      </c>
      <c r="C9" s="2"/>
    </row>
    <row r="10" spans="1:5" ht="15.75" x14ac:dyDescent="0.25">
      <c r="A10" s="62">
        <v>2</v>
      </c>
      <c r="B10" s="40"/>
      <c r="C10" s="2" t="s">
        <v>221</v>
      </c>
    </row>
    <row r="11" spans="1:5" ht="15.75" x14ac:dyDescent="0.25">
      <c r="A11" s="62"/>
      <c r="B11" s="3">
        <v>0.5</v>
      </c>
      <c r="C11" s="2"/>
    </row>
    <row r="12" spans="1:5" ht="15.75" x14ac:dyDescent="0.25">
      <c r="A12" s="62"/>
      <c r="B12" s="40" t="s">
        <v>273</v>
      </c>
      <c r="C12" s="2" t="s">
        <v>274</v>
      </c>
      <c r="E12" s="2"/>
    </row>
    <row r="13" spans="1:5" ht="15.75" x14ac:dyDescent="0.25">
      <c r="A13" s="62">
        <v>3</v>
      </c>
      <c r="B13" s="43" t="str">
        <f>""</f>
        <v/>
      </c>
      <c r="C13" s="2" t="s">
        <v>275</v>
      </c>
      <c r="E13" s="2"/>
    </row>
    <row r="14" spans="1:5" x14ac:dyDescent="0.25">
      <c r="A14" s="64"/>
      <c r="B14" s="40">
        <v>47044</v>
      </c>
    </row>
    <row r="15" spans="1:5" x14ac:dyDescent="0.2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F12" sqref="F12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 x14ac:dyDescent="0.25">
      <c r="J1" s="5"/>
    </row>
    <row r="2" spans="2:10" ht="21" x14ac:dyDescent="0.35">
      <c r="B2" s="1" t="s">
        <v>392</v>
      </c>
      <c r="C2" s="8" t="s">
        <v>393</v>
      </c>
      <c r="D2" s="44" t="s">
        <v>394</v>
      </c>
    </row>
    <row r="3" spans="2:10" x14ac:dyDescent="0.25">
      <c r="C3" s="2"/>
      <c r="D3" s="2"/>
      <c r="E3" s="2"/>
    </row>
    <row r="4" spans="2:10" ht="15.75" x14ac:dyDescent="0.25">
      <c r="B4" s="87" t="s">
        <v>211</v>
      </c>
      <c r="C4" s="87" t="s">
        <v>392</v>
      </c>
      <c r="D4" s="87" t="s">
        <v>393</v>
      </c>
      <c r="E4" s="87" t="s">
        <v>394</v>
      </c>
    </row>
    <row r="5" spans="2:10" x14ac:dyDescent="0.25">
      <c r="B5" s="40" t="s">
        <v>271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395</v>
      </c>
      <c r="H5" s="10"/>
    </row>
    <row r="6" spans="2:10" x14ac:dyDescent="0.25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396</v>
      </c>
      <c r="H6" s="10"/>
    </row>
    <row r="7" spans="2:10" x14ac:dyDescent="0.25">
      <c r="B7" s="40" t="s">
        <v>273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397</v>
      </c>
      <c r="H7" s="10"/>
    </row>
    <row r="8" spans="2:10" x14ac:dyDescent="0.25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398</v>
      </c>
      <c r="H8" s="10"/>
    </row>
    <row r="9" spans="2:10" x14ac:dyDescent="0.25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399</v>
      </c>
      <c r="H9" s="10"/>
    </row>
    <row r="10" spans="2:10" x14ac:dyDescent="0.25">
      <c r="B10" s="79" t="s">
        <v>400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401</v>
      </c>
      <c r="H10" s="10"/>
    </row>
    <row r="11" spans="2:10" x14ac:dyDescent="0.25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402</v>
      </c>
      <c r="H11" s="10"/>
    </row>
    <row r="12" spans="2:10" x14ac:dyDescent="0.25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403</v>
      </c>
      <c r="H12" s="10"/>
    </row>
    <row r="13" spans="2:10" x14ac:dyDescent="0.25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404</v>
      </c>
      <c r="H13" s="10"/>
    </row>
    <row r="14" spans="2:10" x14ac:dyDescent="0.25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404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F16" sqref="F16"/>
    </sheetView>
  </sheetViews>
  <sheetFormatPr defaultRowHeight="15" x14ac:dyDescent="0.2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264</v>
      </c>
      <c r="C2" s="1"/>
      <c r="F2" s="7" t="s">
        <v>265</v>
      </c>
    </row>
    <row r="3" spans="1:10" x14ac:dyDescent="0.25">
      <c r="F3" s="2"/>
    </row>
    <row r="4" spans="1:10" ht="15.75" x14ac:dyDescent="0.25">
      <c r="B4" s="87" t="s">
        <v>147</v>
      </c>
      <c r="C4" s="87" t="s">
        <v>148</v>
      </c>
      <c r="E4" s="97" t="s">
        <v>266</v>
      </c>
      <c r="F4" s="97" t="s">
        <v>267</v>
      </c>
    </row>
    <row r="5" spans="1:10" x14ac:dyDescent="0.25">
      <c r="B5" s="3" t="s">
        <v>150</v>
      </c>
      <c r="C5" s="3">
        <v>58</v>
      </c>
      <c r="E5" s="98"/>
      <c r="F5" s="98"/>
      <c r="G5" s="2"/>
    </row>
    <row r="6" spans="1:10" x14ac:dyDescent="0.25">
      <c r="B6" s="3" t="s">
        <v>151</v>
      </c>
      <c r="C6" s="3">
        <v>30</v>
      </c>
      <c r="E6" s="3">
        <v>1</v>
      </c>
      <c r="F6" s="27">
        <f>LARGE(C5:C15,1)</f>
        <v>96</v>
      </c>
      <c r="G6" s="2"/>
    </row>
    <row r="7" spans="1:10" ht="15.75" x14ac:dyDescent="0.25">
      <c r="A7" s="51"/>
      <c r="B7" s="3" t="s">
        <v>152</v>
      </c>
      <c r="C7" s="3">
        <v>37</v>
      </c>
      <c r="E7" s="3">
        <v>2</v>
      </c>
      <c r="F7" s="27">
        <f>LARGE(C5:C15,2)</f>
        <v>89</v>
      </c>
      <c r="G7" s="2"/>
    </row>
    <row r="8" spans="1:10" ht="15.75" x14ac:dyDescent="0.25">
      <c r="A8" s="51"/>
      <c r="B8" s="52" t="s">
        <v>153</v>
      </c>
      <c r="C8" s="3">
        <v>96</v>
      </c>
      <c r="E8" s="3">
        <v>3</v>
      </c>
      <c r="F8" s="27">
        <f>LARGE(C5:C15,3)</f>
        <v>84</v>
      </c>
      <c r="G8" s="2"/>
    </row>
    <row r="9" spans="1:10" ht="15.75" x14ac:dyDescent="0.25">
      <c r="A9" s="51"/>
      <c r="B9" s="40" t="s">
        <v>155</v>
      </c>
      <c r="C9" s="3">
        <v>84</v>
      </c>
      <c r="G9" s="2"/>
    </row>
    <row r="10" spans="1:10" ht="15.75" x14ac:dyDescent="0.25">
      <c r="A10" s="51"/>
      <c r="B10" s="40" t="s">
        <v>156</v>
      </c>
      <c r="C10" s="3">
        <v>89</v>
      </c>
      <c r="G10" s="2"/>
    </row>
    <row r="11" spans="1:10" ht="15.75" x14ac:dyDescent="0.25">
      <c r="A11" s="51"/>
      <c r="B11" s="40" t="s">
        <v>157</v>
      </c>
      <c r="C11" s="3">
        <v>70</v>
      </c>
      <c r="D11" s="2"/>
      <c r="E11" s="97" t="s">
        <v>266</v>
      </c>
      <c r="F11" s="97" t="s">
        <v>268</v>
      </c>
    </row>
    <row r="12" spans="1:10" ht="15.75" x14ac:dyDescent="0.25">
      <c r="A12" s="51"/>
      <c r="B12" s="40" t="s">
        <v>158</v>
      </c>
      <c r="C12" s="3">
        <v>24</v>
      </c>
      <c r="D12" s="2"/>
      <c r="E12" s="98"/>
      <c r="F12" s="98"/>
      <c r="G12" s="2"/>
    </row>
    <row r="13" spans="1:10" ht="15.75" x14ac:dyDescent="0.25">
      <c r="A13" s="51"/>
      <c r="B13" s="43" t="s">
        <v>159</v>
      </c>
      <c r="C13" s="3">
        <v>62</v>
      </c>
      <c r="D13" s="2"/>
      <c r="E13" s="3">
        <v>1</v>
      </c>
      <c r="F13" s="27">
        <f>SMALL(C5:C15,1)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7">
        <f>SMALL(C5:C15,2)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7">
        <f>SMALL(C5:C15,3)</f>
        <v>37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H5" sqref="H5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 x14ac:dyDescent="0.25">
      <c r="J1" s="5"/>
    </row>
    <row r="2" spans="2:10" ht="21" customHeight="1" x14ac:dyDescent="0.35">
      <c r="B2" s="1" t="s">
        <v>276</v>
      </c>
    </row>
    <row r="3" spans="2:10" x14ac:dyDescent="0.25">
      <c r="B3" s="65">
        <v>1</v>
      </c>
      <c r="C3" s="65">
        <v>2</v>
      </c>
      <c r="D3" s="65">
        <v>3</v>
      </c>
      <c r="E3" s="65">
        <v>4</v>
      </c>
    </row>
    <row r="4" spans="2:10" ht="15.75" x14ac:dyDescent="0.25">
      <c r="B4" s="87" t="s">
        <v>277</v>
      </c>
      <c r="C4" s="87" t="s">
        <v>278</v>
      </c>
      <c r="D4" s="87" t="s">
        <v>279</v>
      </c>
      <c r="E4" s="94" t="s">
        <v>280</v>
      </c>
      <c r="G4" s="45" t="s">
        <v>277</v>
      </c>
      <c r="H4" s="66" t="s">
        <v>280</v>
      </c>
    </row>
    <row r="5" spans="2:10" x14ac:dyDescent="0.25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>
        <f>VLOOKUP(G5,B4:E15,4,0)</f>
        <v>3000</v>
      </c>
    </row>
    <row r="6" spans="2:10" x14ac:dyDescent="0.25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25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25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25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25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25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25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25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25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25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F14" sqref="F14"/>
    </sheetView>
  </sheetViews>
  <sheetFormatPr defaultRowHeight="15" x14ac:dyDescent="0.2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 x14ac:dyDescent="0.25">
      <c r="F1" s="70"/>
      <c r="J1" s="5"/>
    </row>
    <row r="2" spans="2:10" ht="21" x14ac:dyDescent="0.35">
      <c r="B2" s="1" t="s">
        <v>292</v>
      </c>
    </row>
    <row r="3" spans="2:10" x14ac:dyDescent="0.25">
      <c r="C3" s="2"/>
      <c r="D3" s="2"/>
    </row>
    <row r="4" spans="2:10" ht="15.75" x14ac:dyDescent="0.25">
      <c r="B4" s="87" t="s">
        <v>293</v>
      </c>
      <c r="C4" s="87" t="s">
        <v>294</v>
      </c>
      <c r="D4" s="92" t="s">
        <v>295</v>
      </c>
    </row>
    <row r="5" spans="2:10" x14ac:dyDescent="0.25">
      <c r="B5" s="28">
        <v>7600</v>
      </c>
      <c r="C5" s="3">
        <v>4</v>
      </c>
      <c r="D5" s="53">
        <f>IFERROR(B5/C5,"")</f>
        <v>1900</v>
      </c>
      <c r="E5" s="2"/>
    </row>
    <row r="6" spans="2:10" x14ac:dyDescent="0.25">
      <c r="B6" s="28">
        <v>10300</v>
      </c>
      <c r="C6" s="3">
        <v>0</v>
      </c>
      <c r="D6" s="53" t="str">
        <f t="shared" ref="D6:D15" si="0">IFERROR(B6/C6,"")</f>
        <v/>
      </c>
      <c r="E6" s="2" t="s">
        <v>296</v>
      </c>
    </row>
    <row r="7" spans="2:10" x14ac:dyDescent="0.25">
      <c r="B7" s="28">
        <v>9800</v>
      </c>
      <c r="C7" s="3">
        <v>5</v>
      </c>
      <c r="D7" s="53">
        <f t="shared" si="0"/>
        <v>1960</v>
      </c>
      <c r="E7" s="2"/>
    </row>
    <row r="8" spans="2:10" x14ac:dyDescent="0.25">
      <c r="B8" s="28">
        <v>7300</v>
      </c>
      <c r="C8" s="3">
        <v>10</v>
      </c>
      <c r="D8" s="53">
        <f t="shared" si="0"/>
        <v>730</v>
      </c>
      <c r="E8" s="2"/>
    </row>
    <row r="9" spans="2:10" x14ac:dyDescent="0.25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25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25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25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25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25">
      <c r="B14" s="28">
        <v>6100</v>
      </c>
      <c r="C14" s="3">
        <v>0</v>
      </c>
      <c r="D14" s="53" t="str">
        <f t="shared" si="0"/>
        <v/>
      </c>
      <c r="E14" s="2" t="s">
        <v>296</v>
      </c>
    </row>
    <row r="15" spans="2:10" x14ac:dyDescent="0.25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25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F6" sqref="F6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297</v>
      </c>
      <c r="C2" s="1"/>
    </row>
    <row r="4" spans="2:10" ht="15.75" x14ac:dyDescent="0.25">
      <c r="B4" s="87" t="s">
        <v>278</v>
      </c>
      <c r="E4" s="45" t="s">
        <v>278</v>
      </c>
      <c r="F4" s="66" t="s">
        <v>5</v>
      </c>
    </row>
    <row r="5" spans="2:10" x14ac:dyDescent="0.25">
      <c r="B5" s="41" t="s">
        <v>281</v>
      </c>
      <c r="C5" s="72">
        <v>1</v>
      </c>
      <c r="D5" s="2"/>
      <c r="E5" s="3" t="s">
        <v>285</v>
      </c>
      <c r="F5" s="69">
        <f>MATCH(E5,B5:B15,0)</f>
        <v>5</v>
      </c>
    </row>
    <row r="6" spans="2:10" x14ac:dyDescent="0.25">
      <c r="B6" s="41" t="s">
        <v>282</v>
      </c>
      <c r="C6" s="72">
        <v>2</v>
      </c>
      <c r="D6" s="2"/>
      <c r="E6" s="10"/>
    </row>
    <row r="7" spans="2:10" x14ac:dyDescent="0.25">
      <c r="B7" s="41" t="s">
        <v>283</v>
      </c>
      <c r="C7" s="72">
        <v>3</v>
      </c>
      <c r="D7" s="2"/>
      <c r="E7" s="10"/>
    </row>
    <row r="8" spans="2:10" x14ac:dyDescent="0.25">
      <c r="B8" s="41" t="s">
        <v>284</v>
      </c>
      <c r="C8" s="72">
        <v>4</v>
      </c>
      <c r="D8" s="2"/>
      <c r="E8" s="10"/>
    </row>
    <row r="9" spans="2:10" x14ac:dyDescent="0.25">
      <c r="B9" s="41" t="s">
        <v>285</v>
      </c>
      <c r="C9" s="72">
        <v>5</v>
      </c>
      <c r="D9" s="2"/>
      <c r="E9" s="10"/>
    </row>
    <row r="10" spans="2:10" x14ac:dyDescent="0.25">
      <c r="B10" s="41" t="s">
        <v>286</v>
      </c>
      <c r="C10" s="72">
        <v>6</v>
      </c>
      <c r="D10" s="2"/>
      <c r="E10" s="10"/>
    </row>
    <row r="11" spans="2:10" x14ac:dyDescent="0.25">
      <c r="B11" s="41" t="s">
        <v>287</v>
      </c>
      <c r="C11" s="72">
        <v>7</v>
      </c>
      <c r="D11" s="2"/>
      <c r="E11" s="10"/>
    </row>
    <row r="12" spans="2:10" x14ac:dyDescent="0.25">
      <c r="B12" s="41" t="s">
        <v>288</v>
      </c>
      <c r="C12" s="72">
        <v>8</v>
      </c>
      <c r="D12" s="2"/>
      <c r="E12" s="10"/>
    </row>
    <row r="13" spans="2:10" x14ac:dyDescent="0.25">
      <c r="B13" s="41" t="s">
        <v>289</v>
      </c>
      <c r="C13" s="72">
        <v>9</v>
      </c>
      <c r="D13" s="2"/>
      <c r="E13" s="10"/>
    </row>
    <row r="14" spans="2:10" x14ac:dyDescent="0.25">
      <c r="B14" s="41" t="s">
        <v>290</v>
      </c>
      <c r="C14" s="72">
        <v>10</v>
      </c>
      <c r="D14" s="2"/>
    </row>
    <row r="15" spans="2:10" x14ac:dyDescent="0.25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G7" sqref="G7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298</v>
      </c>
    </row>
    <row r="3" spans="1:10" x14ac:dyDescent="0.25">
      <c r="B3" s="65">
        <v>1</v>
      </c>
      <c r="C3" s="65">
        <v>2</v>
      </c>
      <c r="D3" s="65">
        <v>3</v>
      </c>
      <c r="E3" s="65">
        <v>4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>
        <v>1</v>
      </c>
      <c r="B5" s="74" t="s">
        <v>302</v>
      </c>
      <c r="C5" s="75">
        <v>829.8</v>
      </c>
      <c r="D5" s="67" t="s">
        <v>303</v>
      </c>
      <c r="E5" s="55">
        <f>RANK(C5,$C$5:$C$15)</f>
        <v>1</v>
      </c>
      <c r="F5" s="2"/>
    </row>
    <row r="6" spans="1:10" ht="15.75" x14ac:dyDescent="0.25">
      <c r="A6" s="62">
        <v>2</v>
      </c>
      <c r="B6" s="67" t="s">
        <v>304</v>
      </c>
      <c r="C6" s="75">
        <v>678.9</v>
      </c>
      <c r="D6" s="67" t="s">
        <v>305</v>
      </c>
      <c r="E6" s="55">
        <f t="shared" ref="E6:E15" si="0">RANK(C6,$C$5:$C$15)</f>
        <v>2</v>
      </c>
      <c r="F6" s="2"/>
      <c r="G6" s="76">
        <f>INDEX(B5:E15,4,2)</f>
        <v>632</v>
      </c>
    </row>
    <row r="7" spans="1:10" ht="15.75" x14ac:dyDescent="0.25">
      <c r="A7" s="62">
        <v>3</v>
      </c>
      <c r="B7" s="3" t="s">
        <v>306</v>
      </c>
      <c r="C7" s="75">
        <v>634</v>
      </c>
      <c r="D7" s="67" t="s">
        <v>307</v>
      </c>
      <c r="E7" s="55">
        <f t="shared" si="0"/>
        <v>3</v>
      </c>
      <c r="F7" s="2"/>
    </row>
    <row r="8" spans="1:10" ht="15.75" x14ac:dyDescent="0.25">
      <c r="A8" s="62">
        <v>4</v>
      </c>
      <c r="B8" s="3" t="s">
        <v>308</v>
      </c>
      <c r="C8" s="75">
        <v>632</v>
      </c>
      <c r="D8" s="67" t="s">
        <v>309</v>
      </c>
      <c r="E8" s="55">
        <f t="shared" si="0"/>
        <v>4</v>
      </c>
      <c r="F8" s="2"/>
      <c r="G8" s="10"/>
    </row>
    <row r="9" spans="1:10" ht="15.75" x14ac:dyDescent="0.25">
      <c r="A9" s="62">
        <v>5</v>
      </c>
      <c r="B9" s="3" t="s">
        <v>310</v>
      </c>
      <c r="C9" s="75">
        <v>627.79999999999995</v>
      </c>
      <c r="D9" s="67" t="s">
        <v>311</v>
      </c>
      <c r="E9" s="55">
        <f t="shared" si="0"/>
        <v>5</v>
      </c>
      <c r="F9" s="2"/>
      <c r="G9" s="10"/>
    </row>
    <row r="10" spans="1:10" ht="15.75" x14ac:dyDescent="0.25">
      <c r="A10" s="62">
        <v>6</v>
      </c>
      <c r="B10" s="3" t="s">
        <v>312</v>
      </c>
      <c r="C10" s="75">
        <v>604</v>
      </c>
      <c r="D10" s="67" t="s">
        <v>313</v>
      </c>
      <c r="E10" s="55">
        <f t="shared" si="0"/>
        <v>6</v>
      </c>
      <c r="F10" s="2"/>
      <c r="G10" s="10"/>
    </row>
    <row r="11" spans="1:10" ht="15.75" x14ac:dyDescent="0.25">
      <c r="A11" s="62">
        <v>7</v>
      </c>
      <c r="B11" s="3" t="s">
        <v>314</v>
      </c>
      <c r="C11" s="75">
        <v>601</v>
      </c>
      <c r="D11" s="67" t="s">
        <v>315</v>
      </c>
      <c r="E11" s="55">
        <f t="shared" si="0"/>
        <v>7</v>
      </c>
      <c r="F11" s="2"/>
      <c r="G11" s="10"/>
    </row>
    <row r="12" spans="1:10" ht="15.75" x14ac:dyDescent="0.25">
      <c r="A12" s="62">
        <v>8</v>
      </c>
      <c r="B12" s="3" t="s">
        <v>316</v>
      </c>
      <c r="C12" s="75">
        <v>596.6</v>
      </c>
      <c r="D12" s="67" t="s">
        <v>317</v>
      </c>
      <c r="E12" s="55">
        <f t="shared" si="0"/>
        <v>8</v>
      </c>
      <c r="F12" s="2"/>
    </row>
    <row r="13" spans="1:10" ht="15.75" x14ac:dyDescent="0.25">
      <c r="A13" s="62">
        <v>9</v>
      </c>
      <c r="B13" s="3" t="s">
        <v>318</v>
      </c>
      <c r="C13" s="75">
        <v>555.70000000000005</v>
      </c>
      <c r="D13" s="67" t="s">
        <v>319</v>
      </c>
      <c r="E13" s="55">
        <f t="shared" si="0"/>
        <v>9</v>
      </c>
      <c r="F13" s="2"/>
    </row>
    <row r="14" spans="1:10" ht="15.75" x14ac:dyDescent="0.25">
      <c r="A14" s="62">
        <v>10</v>
      </c>
      <c r="B14" s="3" t="s">
        <v>320</v>
      </c>
      <c r="C14" s="75">
        <v>553.29999999999995</v>
      </c>
      <c r="D14" s="67" t="s">
        <v>321</v>
      </c>
      <c r="E14" s="55">
        <f t="shared" si="0"/>
        <v>10</v>
      </c>
    </row>
    <row r="15" spans="1:10" ht="15.75" x14ac:dyDescent="0.25">
      <c r="A15" s="62">
        <v>11</v>
      </c>
      <c r="B15" s="3" t="s">
        <v>322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G12" sqref="G12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323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/>
      <c r="B5" s="3" t="s">
        <v>316</v>
      </c>
      <c r="C5" s="75">
        <v>596.6</v>
      </c>
      <c r="D5" s="67" t="s">
        <v>317</v>
      </c>
      <c r="E5" s="69">
        <f>RANK(C5,C5:C15,0)</f>
        <v>8</v>
      </c>
      <c r="F5" s="2"/>
    </row>
    <row r="6" spans="1:10" ht="15.75" x14ac:dyDescent="0.25">
      <c r="A6" s="62"/>
      <c r="B6" s="67" t="s">
        <v>304</v>
      </c>
      <c r="C6" s="75">
        <v>678.9</v>
      </c>
      <c r="D6" s="67" t="s">
        <v>305</v>
      </c>
      <c r="E6" s="69">
        <f t="shared" ref="E6:E15" si="0">RANK(C6,C6:C16,0)</f>
        <v>2</v>
      </c>
      <c r="F6" s="2"/>
    </row>
    <row r="7" spans="1:10" ht="15.75" x14ac:dyDescent="0.25">
      <c r="A7" s="62"/>
      <c r="B7" s="3" t="s">
        <v>306</v>
      </c>
      <c r="C7" s="75">
        <v>634</v>
      </c>
      <c r="D7" s="67" t="s">
        <v>307</v>
      </c>
      <c r="E7" s="69">
        <f t="shared" si="0"/>
        <v>2</v>
      </c>
      <c r="F7" s="2"/>
    </row>
    <row r="8" spans="1:10" ht="15.75" x14ac:dyDescent="0.25">
      <c r="A8" s="62"/>
      <c r="B8" s="3" t="s">
        <v>318</v>
      </c>
      <c r="C8" s="75">
        <v>555.70000000000005</v>
      </c>
      <c r="D8" s="67" t="s">
        <v>319</v>
      </c>
      <c r="E8" s="69">
        <f t="shared" si="0"/>
        <v>6</v>
      </c>
      <c r="F8" s="2"/>
    </row>
    <row r="9" spans="1:10" ht="15.75" x14ac:dyDescent="0.25">
      <c r="A9" s="62"/>
      <c r="B9" s="74" t="s">
        <v>302</v>
      </c>
      <c r="C9" s="75">
        <v>829.8</v>
      </c>
      <c r="D9" s="67" t="s">
        <v>303</v>
      </c>
      <c r="E9" s="69">
        <f t="shared" si="0"/>
        <v>1</v>
      </c>
      <c r="F9" s="2"/>
      <c r="G9" s="10"/>
    </row>
    <row r="10" spans="1:10" ht="15.75" x14ac:dyDescent="0.25">
      <c r="A10" s="62"/>
      <c r="B10" s="3" t="s">
        <v>314</v>
      </c>
      <c r="C10" s="75">
        <v>601</v>
      </c>
      <c r="D10" s="67" t="s">
        <v>315</v>
      </c>
      <c r="E10" s="69">
        <f t="shared" si="0"/>
        <v>4</v>
      </c>
      <c r="F10" s="2"/>
      <c r="G10" s="10"/>
    </row>
    <row r="11" spans="1:10" ht="15.75" x14ac:dyDescent="0.25">
      <c r="A11" s="62"/>
      <c r="B11" s="3" t="s">
        <v>322</v>
      </c>
      <c r="C11" s="75">
        <v>540</v>
      </c>
      <c r="D11" s="67" t="s">
        <v>118</v>
      </c>
      <c r="E11" s="69">
        <f t="shared" si="0"/>
        <v>5</v>
      </c>
      <c r="F11" s="2"/>
      <c r="G11" s="10"/>
    </row>
    <row r="12" spans="1:10" ht="15.75" x14ac:dyDescent="0.25">
      <c r="A12" s="62"/>
      <c r="B12" s="3" t="s">
        <v>320</v>
      </c>
      <c r="C12" s="75">
        <v>553.29999999999995</v>
      </c>
      <c r="D12" s="67" t="s">
        <v>321</v>
      </c>
      <c r="E12" s="69">
        <f t="shared" si="0"/>
        <v>4</v>
      </c>
      <c r="F12" s="2"/>
    </row>
    <row r="13" spans="1:10" ht="15.75" x14ac:dyDescent="0.25">
      <c r="A13" s="62"/>
      <c r="B13" s="3" t="s">
        <v>312</v>
      </c>
      <c r="C13" s="75">
        <v>604</v>
      </c>
      <c r="D13" s="67" t="s">
        <v>313</v>
      </c>
      <c r="E13" s="69">
        <f t="shared" si="0"/>
        <v>3</v>
      </c>
      <c r="F13" s="2"/>
    </row>
    <row r="14" spans="1:10" ht="15.75" x14ac:dyDescent="0.25">
      <c r="A14" s="62"/>
      <c r="B14" s="3" t="s">
        <v>310</v>
      </c>
      <c r="C14" s="75">
        <v>627.79999999999995</v>
      </c>
      <c r="D14" s="67" t="s">
        <v>311</v>
      </c>
      <c r="E14" s="69">
        <f t="shared" si="0"/>
        <v>2</v>
      </c>
    </row>
    <row r="15" spans="1:10" ht="15.75" x14ac:dyDescent="0.25">
      <c r="A15" s="62"/>
      <c r="B15" s="3" t="s">
        <v>308</v>
      </c>
      <c r="C15" s="75">
        <v>632</v>
      </c>
      <c r="D15" s="67" t="s">
        <v>309</v>
      </c>
      <c r="E15" s="69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2026-09-09T13:28:59Z</dcterms:modified>
</cp:coreProperties>
</file>