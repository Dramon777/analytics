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10" activeTab="2"/>
  </bookViews>
  <sheets>
    <sheet name="Данные" sheetId="1" r:id="rId1"/>
    <sheet name="ABC Менеджеры" sheetId="2" r:id="rId2"/>
    <sheet name="ABC_XYZ Клиенты" sheetId="3" r:id="rId3"/>
  </sheets>
  <calcPr calcId="162913"/>
</workbook>
</file>

<file path=xl/calcChain.xml><?xml version="1.0" encoding="utf-8"?>
<calcChain xmlns="http://schemas.openxmlformats.org/spreadsheetml/2006/main">
  <c r="S17" i="3" l="1"/>
  <c r="AT3" i="1"/>
  <c r="AQ3" i="1"/>
  <c r="S2" i="1"/>
  <c r="L10" i="1"/>
  <c r="L6" i="1"/>
  <c r="U17" i="3" l="1"/>
  <c r="T17" i="3"/>
  <c r="T18" i="3"/>
  <c r="U18" i="3"/>
  <c r="T19" i="3"/>
  <c r="U19" i="3"/>
  <c r="S18" i="3"/>
  <c r="S19" i="3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P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P15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P16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P17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P18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P19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P20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P21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P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P2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P24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P25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P26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P27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P28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P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P30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P31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P32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P33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P34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P35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P36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P37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P38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P39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P4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P41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P42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P43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P44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P45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P4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P47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P48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P49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P50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P51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P52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P53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P54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P55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P56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P5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P5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P59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P60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P61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P62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P63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P64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P65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P66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P6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P6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P69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P70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P71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P72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P73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P74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P7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P76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P77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P78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P7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P80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P81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P8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P83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P84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P85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P86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P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P88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P89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P90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P9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P92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P93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P94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P95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P96" i="1"/>
  <c r="AB155" i="1"/>
  <c r="AT97" i="1" s="1"/>
  <c r="AU97" i="1" s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P97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P98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P99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P100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P101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P102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P103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P104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P105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P106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P107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P108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P109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P110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P111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P112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P113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P114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P115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P11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P117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P118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P119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P120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P121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P122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P123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P124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P125" i="1"/>
  <c r="AB104" i="1"/>
  <c r="AT126" i="1" s="1"/>
  <c r="AU126" i="1" s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P126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P127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P128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P129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P130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P131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P132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P133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P134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P135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P136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P137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P138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P139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P140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P141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P14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P14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P144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P145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P146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P14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P148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P149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P150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P151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P152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P153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P154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P155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P156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P157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P158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P159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P160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P161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P162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P16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P164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P165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P166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P167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P168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P169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P170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P171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P172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P173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P17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P175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P176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P177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P178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P179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P180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P181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P182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P183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P18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P185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P18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P18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P188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P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P190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P191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P192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P193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P194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P195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P196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P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P198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P199" i="1"/>
  <c r="AT156" i="1" l="1"/>
  <c r="AU156" i="1" s="1"/>
  <c r="AO52" i="1"/>
  <c r="AT62" i="1"/>
  <c r="AU62" i="1" s="1"/>
  <c r="AT150" i="1"/>
  <c r="AU150" i="1" s="1"/>
  <c r="AT134" i="1"/>
  <c r="AU134" i="1" s="1"/>
  <c r="AT131" i="1"/>
  <c r="AU131" i="1" s="1"/>
  <c r="AT112" i="1"/>
  <c r="AU112" i="1" s="1"/>
  <c r="AT75" i="1"/>
  <c r="AU75" i="1" s="1"/>
  <c r="AT182" i="1"/>
  <c r="AU182" i="1" s="1"/>
  <c r="AT116" i="1"/>
  <c r="AU116" i="1" s="1"/>
  <c r="AO166" i="1"/>
  <c r="AT69" i="1"/>
  <c r="AU69" i="1" s="1"/>
  <c r="AO88" i="1"/>
  <c r="AT66" i="1"/>
  <c r="AU66" i="1" s="1"/>
  <c r="AT40" i="1"/>
  <c r="AU40" i="1" s="1"/>
  <c r="AT22" i="1"/>
  <c r="AU22" i="1" s="1"/>
  <c r="AO134" i="1"/>
  <c r="AT159" i="1"/>
  <c r="AU159" i="1" s="1"/>
  <c r="AT80" i="1"/>
  <c r="AU80" i="1" s="1"/>
  <c r="AT31" i="1"/>
  <c r="AU31" i="1" s="1"/>
  <c r="AO193" i="1"/>
  <c r="AT165" i="1"/>
  <c r="AU165" i="1" s="1"/>
  <c r="AT162" i="1"/>
  <c r="AU162" i="1" s="1"/>
  <c r="AT141" i="1"/>
  <c r="AU141" i="1" s="1"/>
  <c r="AT129" i="1"/>
  <c r="AU129" i="1" s="1"/>
  <c r="AT109" i="1"/>
  <c r="AU109" i="1" s="1"/>
  <c r="AT103" i="1"/>
  <c r="AU103" i="1" s="1"/>
  <c r="AT100" i="1"/>
  <c r="AU100" i="1" s="1"/>
  <c r="AT74" i="1"/>
  <c r="AU74" i="1" s="1"/>
  <c r="AT68" i="1"/>
  <c r="AU68" i="1" s="1"/>
  <c r="AO194" i="1"/>
  <c r="AT153" i="1"/>
  <c r="AU153" i="1" s="1"/>
  <c r="AT147" i="1"/>
  <c r="AU147" i="1" s="1"/>
  <c r="AT144" i="1"/>
  <c r="AU144" i="1" s="1"/>
  <c r="AT138" i="1"/>
  <c r="AU138" i="1" s="1"/>
  <c r="AT135" i="1"/>
  <c r="AU135" i="1" s="1"/>
  <c r="AT132" i="1"/>
  <c r="AU132" i="1" s="1"/>
  <c r="AT106" i="1"/>
  <c r="AU106" i="1" s="1"/>
  <c r="AT91" i="1"/>
  <c r="AU91" i="1" s="1"/>
  <c r="AT85" i="1"/>
  <c r="AU85" i="1" s="1"/>
  <c r="AT82" i="1"/>
  <c r="AU82" i="1" s="1"/>
  <c r="AO80" i="1"/>
  <c r="AT76" i="1"/>
  <c r="AU76" i="1" s="1"/>
  <c r="AO67" i="1"/>
  <c r="AT170" i="1"/>
  <c r="AU170" i="1" s="1"/>
  <c r="AT168" i="1"/>
  <c r="AU168" i="1" s="1"/>
  <c r="AT88" i="1"/>
  <c r="AU88" i="1" s="1"/>
  <c r="AT73" i="1"/>
  <c r="AU73" i="1" s="1"/>
  <c r="AT67" i="1"/>
  <c r="AU67" i="1" s="1"/>
  <c r="AT64" i="1"/>
  <c r="AU64" i="1" s="1"/>
  <c r="AT191" i="1"/>
  <c r="AU191" i="1" s="1"/>
  <c r="AO189" i="1"/>
  <c r="AT199" i="1"/>
  <c r="AU199" i="1" s="1"/>
  <c r="AT196" i="1"/>
  <c r="AU196" i="1" s="1"/>
  <c r="AT193" i="1"/>
  <c r="AU193" i="1" s="1"/>
  <c r="AT188" i="1"/>
  <c r="AU188" i="1" s="1"/>
  <c r="AO156" i="1"/>
  <c r="AO128" i="1"/>
  <c r="AO121" i="1"/>
  <c r="AO23" i="1"/>
  <c r="AT163" i="1"/>
  <c r="AU163" i="1" s="1"/>
  <c r="AO151" i="1"/>
  <c r="AT158" i="1"/>
  <c r="AU158" i="1" s="1"/>
  <c r="AO136" i="1"/>
  <c r="AO48" i="1"/>
  <c r="AT145" i="1"/>
  <c r="AU145" i="1" s="1"/>
  <c r="AO77" i="1"/>
  <c r="AT140" i="1"/>
  <c r="AU140" i="1" s="1"/>
  <c r="AO12" i="1"/>
  <c r="AT128" i="1"/>
  <c r="AU128" i="1" s="1"/>
  <c r="AT114" i="1"/>
  <c r="AU114" i="1" s="1"/>
  <c r="AT113" i="1"/>
  <c r="AU113" i="1" s="1"/>
  <c r="AO119" i="1"/>
  <c r="AO160" i="1"/>
  <c r="AO155" i="1"/>
  <c r="AT96" i="1"/>
  <c r="AU96" i="1" s="1"/>
  <c r="AT95" i="1"/>
  <c r="AU95" i="1" s="1"/>
  <c r="AO123" i="1"/>
  <c r="AT79" i="1"/>
  <c r="AU79" i="1" s="1"/>
  <c r="AO85" i="1"/>
  <c r="AT72" i="1"/>
  <c r="AU72" i="1" s="1"/>
  <c r="AT70" i="1"/>
  <c r="AU70" i="1" s="1"/>
  <c r="AT35" i="1"/>
  <c r="AU35" i="1" s="1"/>
  <c r="AT32" i="1"/>
  <c r="AU32" i="1" s="1"/>
  <c r="AT28" i="1"/>
  <c r="AU28" i="1" s="1"/>
  <c r="AT190" i="1"/>
  <c r="AU190" i="1" s="1"/>
  <c r="AT185" i="1"/>
  <c r="AU185" i="1" s="1"/>
  <c r="AO90" i="1"/>
  <c r="AT175" i="1"/>
  <c r="AU175" i="1" s="1"/>
  <c r="AO82" i="1"/>
  <c r="AQ166" i="1" s="1"/>
  <c r="AO138" i="1"/>
  <c r="AT160" i="1"/>
  <c r="AU160" i="1" s="1"/>
  <c r="AO162" i="1"/>
  <c r="AQ156" i="1" s="1"/>
  <c r="AT155" i="1"/>
  <c r="AU155" i="1" s="1"/>
  <c r="AO167" i="1"/>
  <c r="AO182" i="1"/>
  <c r="AT142" i="1"/>
  <c r="AU142" i="1" s="1"/>
  <c r="AO71" i="1"/>
  <c r="AQ138" i="1" s="1"/>
  <c r="AT137" i="1"/>
  <c r="AU137" i="1" s="1"/>
  <c r="AO84" i="1"/>
  <c r="AO53" i="1"/>
  <c r="AO104" i="1"/>
  <c r="AT125" i="1"/>
  <c r="AU125" i="1" s="1"/>
  <c r="AT119" i="1"/>
  <c r="AU119" i="1" s="1"/>
  <c r="AO127" i="1"/>
  <c r="AT111" i="1"/>
  <c r="AU111" i="1" s="1"/>
  <c r="AT110" i="1"/>
  <c r="AU110" i="1" s="1"/>
  <c r="AO118" i="1"/>
  <c r="AQ104" i="1" s="1"/>
  <c r="AO183" i="1"/>
  <c r="AO102" i="1"/>
  <c r="AT93" i="1"/>
  <c r="AU93" i="1" s="1"/>
  <c r="AT92" i="1"/>
  <c r="AU92" i="1" s="1"/>
  <c r="AO41" i="1"/>
  <c r="AT77" i="1"/>
  <c r="AU77" i="1" s="1"/>
  <c r="AT29" i="1"/>
  <c r="AU29" i="1" s="1"/>
  <c r="AT26" i="1"/>
  <c r="AU26" i="1" s="1"/>
  <c r="AT19" i="1"/>
  <c r="AU19" i="1" s="1"/>
  <c r="AO62" i="1"/>
  <c r="AO176" i="1"/>
  <c r="AO172" i="1"/>
  <c r="AQ194" i="1" s="1"/>
  <c r="AO195" i="1"/>
  <c r="AQ193" i="1" s="1"/>
  <c r="AT187" i="1"/>
  <c r="AU187" i="1" s="1"/>
  <c r="AO24" i="1"/>
  <c r="AO125" i="1"/>
  <c r="AT157" i="1"/>
  <c r="AU157" i="1" s="1"/>
  <c r="AO110" i="1"/>
  <c r="AT152" i="1"/>
  <c r="AU152" i="1" s="1"/>
  <c r="AO89" i="1"/>
  <c r="AQ145" i="1" s="1"/>
  <c r="AO96" i="1"/>
  <c r="AT139" i="1"/>
  <c r="AU139" i="1" s="1"/>
  <c r="AO187" i="1"/>
  <c r="AT130" i="1"/>
  <c r="AU130" i="1" s="1"/>
  <c r="AO46" i="1"/>
  <c r="AQ128" i="1" s="1"/>
  <c r="AO199" i="1"/>
  <c r="AQ127" i="1" s="1"/>
  <c r="AO51" i="1"/>
  <c r="AO2" i="1"/>
  <c r="AO111" i="1"/>
  <c r="AT108" i="1"/>
  <c r="AU108" i="1" s="1"/>
  <c r="AT107" i="1"/>
  <c r="AU107" i="1" s="1"/>
  <c r="AO174" i="1"/>
  <c r="AO68" i="1"/>
  <c r="AQ96" i="1" s="1"/>
  <c r="AO141" i="1"/>
  <c r="AT90" i="1"/>
  <c r="AU90" i="1" s="1"/>
  <c r="AT89" i="1"/>
  <c r="AU89" i="1" s="1"/>
  <c r="AO142" i="1"/>
  <c r="AT78" i="1"/>
  <c r="AU78" i="1" s="1"/>
  <c r="AO115" i="1"/>
  <c r="AO186" i="1"/>
  <c r="AT198" i="1"/>
  <c r="AU198" i="1" s="1"/>
  <c r="AO191" i="1"/>
  <c r="AT192" i="1"/>
  <c r="AU192" i="1" s="1"/>
  <c r="AO184" i="1"/>
  <c r="AQ191" i="1" s="1"/>
  <c r="AT189" i="1"/>
  <c r="AU189" i="1" s="1"/>
  <c r="AT184" i="1"/>
  <c r="AU184" i="1" s="1"/>
  <c r="AT183" i="1"/>
  <c r="AU183" i="1" s="1"/>
  <c r="AT173" i="1"/>
  <c r="AU173" i="1" s="1"/>
  <c r="AO103" i="1"/>
  <c r="AT167" i="1"/>
  <c r="AU167" i="1" s="1"/>
  <c r="AO30" i="1"/>
  <c r="AO31" i="1"/>
  <c r="AQ155" i="1" s="1"/>
  <c r="AT154" i="1"/>
  <c r="AU154" i="1" s="1"/>
  <c r="AO64" i="1"/>
  <c r="AT149" i="1"/>
  <c r="AU149" i="1" s="1"/>
  <c r="AO175" i="1"/>
  <c r="AQ142" i="1" s="1"/>
  <c r="AO17" i="1"/>
  <c r="AT136" i="1"/>
  <c r="AU136" i="1" s="1"/>
  <c r="AT127" i="1"/>
  <c r="AU127" i="1" s="1"/>
  <c r="AO133" i="1"/>
  <c r="AQ125" i="1" s="1"/>
  <c r="AT118" i="1"/>
  <c r="AU118" i="1" s="1"/>
  <c r="AO171" i="1"/>
  <c r="AQ111" i="1" s="1"/>
  <c r="AO14" i="1"/>
  <c r="AT105" i="1"/>
  <c r="AU105" i="1" s="1"/>
  <c r="AT104" i="1"/>
  <c r="AU104" i="1" s="1"/>
  <c r="AO154" i="1"/>
  <c r="AO144" i="1"/>
  <c r="AO87" i="1"/>
  <c r="AQ88" i="1" s="1"/>
  <c r="AT87" i="1"/>
  <c r="AU87" i="1" s="1"/>
  <c r="AT86" i="1"/>
  <c r="AU86" i="1" s="1"/>
  <c r="AT55" i="1"/>
  <c r="AU55" i="1" s="1"/>
  <c r="AT17" i="1"/>
  <c r="AU17" i="1" s="1"/>
  <c r="AT197" i="1"/>
  <c r="AU197" i="1" s="1"/>
  <c r="AT194" i="1"/>
  <c r="AU194" i="1" s="1"/>
  <c r="AT186" i="1"/>
  <c r="AU186" i="1" s="1"/>
  <c r="AO168" i="1"/>
  <c r="AT169" i="1"/>
  <c r="AU169" i="1" s="1"/>
  <c r="AO63" i="1"/>
  <c r="AT164" i="1"/>
  <c r="AU164" i="1" s="1"/>
  <c r="AO81" i="1"/>
  <c r="AO95" i="1"/>
  <c r="AT151" i="1"/>
  <c r="AU151" i="1" s="1"/>
  <c r="AO145" i="1"/>
  <c r="AT146" i="1"/>
  <c r="AU146" i="1" s="1"/>
  <c r="AO139" i="1"/>
  <c r="AQ139" i="1" s="1"/>
  <c r="AO93" i="1"/>
  <c r="AQ132" i="1" s="1"/>
  <c r="AT123" i="1"/>
  <c r="AU123" i="1" s="1"/>
  <c r="AO113" i="1"/>
  <c r="AQ113" i="1" s="1"/>
  <c r="AO180" i="1"/>
  <c r="AO140" i="1"/>
  <c r="AQ103" i="1" s="1"/>
  <c r="AT102" i="1"/>
  <c r="AU102" i="1" s="1"/>
  <c r="AT101" i="1"/>
  <c r="AU101" i="1" s="1"/>
  <c r="AO131" i="1"/>
  <c r="AQ95" i="1" s="1"/>
  <c r="AO126" i="1"/>
  <c r="AQ90" i="1" s="1"/>
  <c r="AO72" i="1"/>
  <c r="AT84" i="1"/>
  <c r="AU84" i="1" s="1"/>
  <c r="AT83" i="1"/>
  <c r="AU83" i="1" s="1"/>
  <c r="AO19" i="1"/>
  <c r="AQ80" i="1" s="1"/>
  <c r="AT46" i="1"/>
  <c r="AU46" i="1" s="1"/>
  <c r="AO70" i="1"/>
  <c r="AT181" i="1"/>
  <c r="AU181" i="1" s="1"/>
  <c r="AT178" i="1"/>
  <c r="AU178" i="1" s="1"/>
  <c r="AT174" i="1"/>
  <c r="AU174" i="1" s="1"/>
  <c r="AO185" i="1"/>
  <c r="AQ167" i="1" s="1"/>
  <c r="AT166" i="1"/>
  <c r="AU166" i="1" s="1"/>
  <c r="AO50" i="1"/>
  <c r="AQ162" i="1" s="1"/>
  <c r="AT161" i="1"/>
  <c r="AU161" i="1" s="1"/>
  <c r="AO152" i="1"/>
  <c r="AQ154" i="1" s="1"/>
  <c r="AO132" i="1"/>
  <c r="AT148" i="1"/>
  <c r="AU148" i="1" s="1"/>
  <c r="AO173" i="1"/>
  <c r="AQ144" i="1" s="1"/>
  <c r="AT143" i="1"/>
  <c r="AU143" i="1" s="1"/>
  <c r="AO178" i="1"/>
  <c r="AQ134" i="1" s="1"/>
  <c r="AT133" i="1"/>
  <c r="AU133" i="1" s="1"/>
  <c r="AT121" i="1"/>
  <c r="AU121" i="1" s="1"/>
  <c r="AO83" i="1"/>
  <c r="AQ110" i="1" s="1"/>
  <c r="AO11" i="1"/>
  <c r="AQ105" i="1" s="1"/>
  <c r="AO190" i="1"/>
  <c r="AT99" i="1"/>
  <c r="AU99" i="1" s="1"/>
  <c r="AT98" i="1"/>
  <c r="AU98" i="1" s="1"/>
  <c r="AO181" i="1"/>
  <c r="AQ92" i="1" s="1"/>
  <c r="AO25" i="1"/>
  <c r="AQ87" i="1" s="1"/>
  <c r="AO159" i="1"/>
  <c r="AQ82" i="1" s="1"/>
  <c r="AT81" i="1"/>
  <c r="AU81" i="1" s="1"/>
  <c r="AO54" i="1"/>
  <c r="AO157" i="1"/>
  <c r="AQ54" i="1" s="1"/>
  <c r="AT37" i="1"/>
  <c r="AU37" i="1" s="1"/>
  <c r="AO60" i="1"/>
  <c r="AQ20" i="1" s="1"/>
  <c r="AO117" i="1"/>
  <c r="AQ182" i="1" s="1"/>
  <c r="AO161" i="1"/>
  <c r="AO198" i="1"/>
  <c r="AQ176" i="1" s="1"/>
  <c r="AO99" i="1"/>
  <c r="AQ173" i="1" s="1"/>
  <c r="AO150" i="1"/>
  <c r="AQ183" i="1" s="1"/>
  <c r="AT172" i="1"/>
  <c r="AU172" i="1" s="1"/>
  <c r="AO116" i="1"/>
  <c r="AO197" i="1"/>
  <c r="AQ198" i="1" s="1"/>
  <c r="AO188" i="1"/>
  <c r="AQ180" i="1" s="1"/>
  <c r="AO164" i="1"/>
  <c r="AO170" i="1"/>
  <c r="AQ174" i="1" s="1"/>
  <c r="AT195" i="1"/>
  <c r="AU195" i="1" s="1"/>
  <c r="AT179" i="1"/>
  <c r="AU179" i="1" s="1"/>
  <c r="AT176" i="1"/>
  <c r="AU176" i="1" s="1"/>
  <c r="AO92" i="1"/>
  <c r="AQ172" i="1" s="1"/>
  <c r="AO192" i="1"/>
  <c r="AQ181" i="1" s="1"/>
  <c r="AO148" i="1"/>
  <c r="AQ178" i="1" s="1"/>
  <c r="AO44" i="1"/>
  <c r="AQ175" i="1" s="1"/>
  <c r="AT171" i="1"/>
  <c r="AU171" i="1" s="1"/>
  <c r="AT180" i="1"/>
  <c r="AU180" i="1" s="1"/>
  <c r="AT177" i="1"/>
  <c r="AU177" i="1" s="1"/>
  <c r="AO108" i="1"/>
  <c r="AQ120" i="1" s="1"/>
  <c r="AO35" i="1"/>
  <c r="AQ115" i="1" s="1"/>
  <c r="AO5" i="1"/>
  <c r="AQ121" i="1" s="1"/>
  <c r="AO42" i="1"/>
  <c r="AO26" i="1"/>
  <c r="AQ118" i="1" s="1"/>
  <c r="AO129" i="1"/>
  <c r="AQ136" i="1" s="1"/>
  <c r="AO165" i="1"/>
  <c r="AQ133" i="1" s="1"/>
  <c r="AO146" i="1"/>
  <c r="AQ123" i="1" s="1"/>
  <c r="AT120" i="1"/>
  <c r="AU120" i="1" s="1"/>
  <c r="AT117" i="1"/>
  <c r="AU117" i="1" s="1"/>
  <c r="AO196" i="1"/>
  <c r="AQ116" i="1" s="1"/>
  <c r="AT122" i="1"/>
  <c r="AU122" i="1" s="1"/>
  <c r="AO91" i="1"/>
  <c r="AQ119" i="1" s="1"/>
  <c r="AT115" i="1"/>
  <c r="AU115" i="1" s="1"/>
  <c r="AO66" i="1"/>
  <c r="AQ117" i="1" s="1"/>
  <c r="AO109" i="1"/>
  <c r="AT60" i="1"/>
  <c r="AU60" i="1" s="1"/>
  <c r="AO75" i="1"/>
  <c r="AQ52" i="1" s="1"/>
  <c r="AT51" i="1"/>
  <c r="AU51" i="1" s="1"/>
  <c r="AO169" i="1"/>
  <c r="AO73" i="1"/>
  <c r="AQ42" i="1" s="1"/>
  <c r="AO38" i="1"/>
  <c r="AO56" i="1"/>
  <c r="AO105" i="1"/>
  <c r="AO43" i="1"/>
  <c r="AQ24" i="1" s="1"/>
  <c r="AO4" i="1"/>
  <c r="AO114" i="1"/>
  <c r="AO143" i="1"/>
  <c r="AO163" i="1"/>
  <c r="AO34" i="1"/>
  <c r="AQ56" i="1" s="1"/>
  <c r="AT50" i="1"/>
  <c r="AU50" i="1" s="1"/>
  <c r="AO106" i="1"/>
  <c r="AQ47" i="1" s="1"/>
  <c r="AT42" i="1"/>
  <c r="AU42" i="1" s="1"/>
  <c r="AT41" i="1"/>
  <c r="AU41" i="1" s="1"/>
  <c r="AO122" i="1"/>
  <c r="AQ38" i="1" s="1"/>
  <c r="AT33" i="1"/>
  <c r="AU33" i="1" s="1"/>
  <c r="AT24" i="1"/>
  <c r="AU24" i="1" s="1"/>
  <c r="AO79" i="1"/>
  <c r="AQ84" i="1" s="1"/>
  <c r="AO76" i="1"/>
  <c r="AO135" i="1"/>
  <c r="AQ71" i="1" s="1"/>
  <c r="AO158" i="1"/>
  <c r="AQ64" i="1" s="1"/>
  <c r="AO97" i="1"/>
  <c r="AO27" i="1"/>
  <c r="AO47" i="1"/>
  <c r="AQ51" i="1" s="1"/>
  <c r="AO112" i="1"/>
  <c r="AT48" i="1"/>
  <c r="AU48" i="1" s="1"/>
  <c r="AO149" i="1"/>
  <c r="AQ48" i="1" s="1"/>
  <c r="AO177" i="1"/>
  <c r="AQ40" i="1" s="1"/>
  <c r="AO130" i="1"/>
  <c r="AO3" i="1"/>
  <c r="AQ31" i="1" s="1"/>
  <c r="AO29" i="1"/>
  <c r="AQ30" i="1" s="1"/>
  <c r="AO55" i="1"/>
  <c r="AO6" i="1"/>
  <c r="AO69" i="1"/>
  <c r="AQ73" i="1" s="1"/>
  <c r="AO40" i="1"/>
  <c r="AQ67" i="1" s="1"/>
  <c r="AT63" i="1"/>
  <c r="AU63" i="1" s="1"/>
  <c r="AO20" i="1"/>
  <c r="AQ62" i="1" s="1"/>
  <c r="AT56" i="1"/>
  <c r="AU56" i="1" s="1"/>
  <c r="AO86" i="1"/>
  <c r="AQ53" i="1" s="1"/>
  <c r="AT47" i="1"/>
  <c r="AU47" i="1" s="1"/>
  <c r="AO28" i="1"/>
  <c r="AT38" i="1"/>
  <c r="AU38" i="1" s="1"/>
  <c r="AO101" i="1"/>
  <c r="AQ35" i="1" s="1"/>
  <c r="AT30" i="1"/>
  <c r="AU30" i="1" s="1"/>
  <c r="AO10" i="1"/>
  <c r="AQ26" i="1" s="1"/>
  <c r="AT23" i="1"/>
  <c r="AU23" i="1" s="1"/>
  <c r="AO61" i="1"/>
  <c r="AQ17" i="1" s="1"/>
  <c r="AT14" i="1"/>
  <c r="AU14" i="1" s="1"/>
  <c r="AO32" i="1"/>
  <c r="AQ77" i="1" s="1"/>
  <c r="AO179" i="1"/>
  <c r="AQ74" i="1" s="1"/>
  <c r="AT71" i="1"/>
  <c r="AU71" i="1" s="1"/>
  <c r="AT61" i="1"/>
  <c r="AU61" i="1" s="1"/>
  <c r="AO45" i="1"/>
  <c r="AT54" i="1"/>
  <c r="AU54" i="1" s="1"/>
  <c r="AT52" i="1"/>
  <c r="AU52" i="1" s="1"/>
  <c r="AO18" i="1"/>
  <c r="AQ46" i="1" s="1"/>
  <c r="AO120" i="1"/>
  <c r="AT43" i="1"/>
  <c r="AU43" i="1" s="1"/>
  <c r="AO37" i="1"/>
  <c r="AQ37" i="1" s="1"/>
  <c r="AO74" i="1"/>
  <c r="AT34" i="1"/>
  <c r="AU34" i="1" s="1"/>
  <c r="AO78" i="1"/>
  <c r="AQ28" i="1" s="1"/>
  <c r="AO7" i="1"/>
  <c r="AT25" i="1"/>
  <c r="AU25" i="1" s="1"/>
  <c r="AO107" i="1"/>
  <c r="AO9" i="1"/>
  <c r="AO147" i="1"/>
  <c r="AQ68" i="1" s="1"/>
  <c r="AO13" i="1"/>
  <c r="AO153" i="1"/>
  <c r="AQ63" i="1" s="1"/>
  <c r="AO8" i="1"/>
  <c r="AT53" i="1"/>
  <c r="AU53" i="1" s="1"/>
  <c r="AO98" i="1"/>
  <c r="AQ50" i="1" s="1"/>
  <c r="AT45" i="1"/>
  <c r="AU45" i="1" s="1"/>
  <c r="AT44" i="1"/>
  <c r="AU44" i="1" s="1"/>
  <c r="AO100" i="1"/>
  <c r="AQ41" i="1" s="1"/>
  <c r="AO137" i="1"/>
  <c r="AQ32" i="1" s="1"/>
  <c r="AT27" i="1"/>
  <c r="AU27" i="1" s="1"/>
  <c r="AO22" i="1"/>
  <c r="AQ23" i="1" s="1"/>
  <c r="AT20" i="1"/>
  <c r="AU20" i="1" s="1"/>
  <c r="AT18" i="1"/>
  <c r="AU18" i="1" s="1"/>
  <c r="AO33" i="1"/>
  <c r="AQ14" i="1" s="1"/>
  <c r="AQ60" i="1" l="1"/>
  <c r="AQ43" i="1"/>
  <c r="AQ152" i="1"/>
  <c r="AQ106" i="1"/>
  <c r="AQ137" i="1"/>
  <c r="AQ160" i="1"/>
  <c r="AQ76" i="1"/>
  <c r="AQ140" i="1"/>
  <c r="AQ163" i="1"/>
  <c r="AQ112" i="1"/>
  <c r="AQ97" i="1"/>
  <c r="AQ129" i="1"/>
  <c r="AQ187" i="1"/>
  <c r="AQ185" i="1"/>
  <c r="AQ72" i="1"/>
  <c r="AQ101" i="1"/>
  <c r="AQ78" i="1"/>
  <c r="AQ102" i="1"/>
  <c r="AQ159" i="1"/>
  <c r="AQ188" i="1"/>
  <c r="AQ177" i="1"/>
  <c r="AQ157" i="1"/>
  <c r="AQ19" i="1"/>
  <c r="AQ55" i="1"/>
  <c r="AQ25" i="1"/>
  <c r="AQ149" i="1"/>
  <c r="AQ93" i="1"/>
  <c r="AQ168" i="1"/>
  <c r="AQ83" i="1"/>
  <c r="AQ99" i="1"/>
  <c r="AQ161" i="1"/>
  <c r="AQ107" i="1"/>
  <c r="AQ141" i="1"/>
  <c r="AQ192" i="1"/>
  <c r="AQ98" i="1"/>
  <c r="AQ150" i="1"/>
  <c r="AQ197" i="1"/>
  <c r="AQ153" i="1"/>
  <c r="AQ126" i="1"/>
  <c r="AQ143" i="1"/>
  <c r="AQ89" i="1"/>
  <c r="AQ164" i="1"/>
  <c r="AQ189" i="1"/>
  <c r="AQ18" i="1"/>
  <c r="AQ22" i="1"/>
  <c r="AQ81" i="1"/>
  <c r="AQ66" i="1"/>
  <c r="AQ33" i="1"/>
  <c r="AQ179" i="1"/>
  <c r="AQ165" i="1"/>
  <c r="AQ27" i="1"/>
  <c r="AQ45" i="1"/>
  <c r="AQ44" i="1"/>
  <c r="AQ70" i="1"/>
  <c r="AQ34" i="1"/>
  <c r="AQ61" i="1"/>
  <c r="AQ122" i="1"/>
  <c r="AQ171" i="1"/>
  <c r="AQ100" i="1"/>
  <c r="AQ85" i="1"/>
  <c r="AQ108" i="1"/>
  <c r="AQ147" i="1"/>
  <c r="AQ109" i="1"/>
  <c r="AQ135" i="1"/>
  <c r="AQ195" i="1"/>
  <c r="AQ86" i="1"/>
  <c r="AQ130" i="1"/>
  <c r="AQ148" i="1"/>
  <c r="AQ146" i="1"/>
  <c r="AQ169" i="1"/>
  <c r="AQ79" i="1"/>
  <c r="AQ69" i="1"/>
  <c r="AQ75" i="1"/>
  <c r="AQ29" i="1"/>
  <c r="AQ170" i="1"/>
  <c r="AQ199" i="1"/>
  <c r="AQ91" i="1"/>
  <c r="AQ114" i="1"/>
  <c r="AQ158" i="1"/>
  <c r="AQ196" i="1"/>
  <c r="AQ131" i="1"/>
  <c r="AQ184" i="1"/>
  <c r="AQ151" i="1"/>
  <c r="AQ186" i="1"/>
  <c r="AQ190" i="1"/>
  <c r="AP3" i="1"/>
  <c r="AP4" i="1"/>
  <c r="AP5" i="1"/>
  <c r="AP6" i="1"/>
  <c r="AP7" i="1"/>
  <c r="AP8" i="1"/>
  <c r="AP9" i="1"/>
  <c r="AP10" i="1"/>
  <c r="AP11" i="1"/>
  <c r="AP12" i="1"/>
  <c r="AP13" i="1"/>
  <c r="AP2" i="1"/>
  <c r="AO1" i="1"/>
  <c r="I10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2" i="1"/>
  <c r="Q3" i="1" l="1"/>
  <c r="Q8" i="1"/>
  <c r="Q11" i="1"/>
  <c r="Q6" i="1"/>
  <c r="Q5" i="1"/>
  <c r="Q7" i="1"/>
  <c r="Q9" i="1"/>
  <c r="Q12" i="1"/>
  <c r="Q4" i="1"/>
  <c r="Q2" i="1"/>
  <c r="Q13" i="1"/>
  <c r="Q10" i="1"/>
  <c r="P3" i="1"/>
  <c r="R3" i="1" s="1"/>
  <c r="P8" i="1"/>
  <c r="R8" i="1" s="1"/>
  <c r="P11" i="1"/>
  <c r="R11" i="1" s="1"/>
  <c r="P6" i="1"/>
  <c r="R6" i="1" s="1"/>
  <c r="P5" i="1"/>
  <c r="R5" i="1" s="1"/>
  <c r="P7" i="1"/>
  <c r="R7" i="1" s="1"/>
  <c r="P9" i="1"/>
  <c r="R9" i="1" s="1"/>
  <c r="P12" i="1"/>
  <c r="R12" i="1" s="1"/>
  <c r="P4" i="1"/>
  <c r="R4" i="1" s="1"/>
  <c r="P2" i="1"/>
  <c r="R2" i="1" s="1"/>
  <c r="P13" i="1"/>
  <c r="R13" i="1" s="1"/>
  <c r="P10" i="1"/>
  <c r="R10" i="1" s="1"/>
  <c r="J6" i="1"/>
  <c r="J8" i="1"/>
  <c r="J11" i="1"/>
  <c r="J5" i="1"/>
  <c r="J3" i="1"/>
  <c r="J9" i="1"/>
  <c r="J7" i="1"/>
  <c r="J13" i="1"/>
  <c r="J4" i="1"/>
  <c r="J2" i="1"/>
  <c r="J12" i="1"/>
  <c r="J10" i="1"/>
  <c r="I6" i="1"/>
  <c r="K6" i="1" s="1"/>
  <c r="I8" i="1"/>
  <c r="K8" i="1" s="1"/>
  <c r="I11" i="1"/>
  <c r="K11" i="1" s="1"/>
  <c r="I5" i="1"/>
  <c r="K5" i="1" s="1"/>
  <c r="I3" i="1"/>
  <c r="K3" i="1" s="1"/>
  <c r="I9" i="1"/>
  <c r="K9" i="1" s="1"/>
  <c r="I7" i="1"/>
  <c r="K7" i="1" s="1"/>
  <c r="I13" i="1"/>
  <c r="K13" i="1" s="1"/>
  <c r="I4" i="1"/>
  <c r="K4" i="1" s="1"/>
  <c r="I2" i="1"/>
  <c r="K2" i="1" s="1"/>
  <c r="I12" i="1"/>
  <c r="K12" i="1" s="1"/>
  <c r="K10" i="1"/>
  <c r="M10" i="1" l="1"/>
  <c r="L11" i="1" l="1"/>
  <c r="M11" i="1" l="1"/>
  <c r="S3" i="1" l="1"/>
  <c r="L2" i="1"/>
  <c r="L3" i="1" s="1"/>
  <c r="T3" i="1" l="1"/>
  <c r="S4" i="1"/>
  <c r="M3" i="1"/>
  <c r="L4" i="1"/>
  <c r="L12" i="1"/>
  <c r="M2" i="1"/>
  <c r="T2" i="1"/>
  <c r="AB36" i="1"/>
  <c r="AB49" i="1"/>
  <c r="AB16" i="1"/>
  <c r="AB124" i="1"/>
  <c r="AB59" i="1"/>
  <c r="AB39" i="1"/>
  <c r="AB57" i="1"/>
  <c r="AB15" i="1"/>
  <c r="AB58" i="1"/>
  <c r="AE49" i="1"/>
  <c r="AE57" i="1"/>
  <c r="AE16" i="1"/>
  <c r="AE15" i="1"/>
  <c r="AE21" i="1"/>
  <c r="AE124" i="1"/>
  <c r="AE58" i="1"/>
  <c r="AE65" i="1"/>
  <c r="AE36" i="1"/>
  <c r="AE39" i="1"/>
  <c r="AE59" i="1"/>
  <c r="AE94" i="1"/>
  <c r="AB94" i="1"/>
  <c r="AB65" i="1"/>
  <c r="AB21" i="1"/>
  <c r="AK16" i="1"/>
  <c r="AK15" i="1"/>
  <c r="AK21" i="1"/>
  <c r="AK65" i="1"/>
  <c r="AK58" i="1"/>
  <c r="AK94" i="1"/>
  <c r="AK36" i="1"/>
  <c r="AK59" i="1"/>
  <c r="AK49" i="1"/>
  <c r="AK57" i="1"/>
  <c r="AK124" i="1"/>
  <c r="AK39" i="1"/>
  <c r="AF16" i="1"/>
  <c r="AF15" i="1"/>
  <c r="AF21" i="1"/>
  <c r="AF58" i="1"/>
  <c r="AF94" i="1"/>
  <c r="AF65" i="1"/>
  <c r="AF36" i="1"/>
  <c r="AF59" i="1"/>
  <c r="AF49" i="1"/>
  <c r="AF57" i="1"/>
  <c r="AF124" i="1"/>
  <c r="AF39" i="1"/>
  <c r="AL16" i="1"/>
  <c r="AL15" i="1"/>
  <c r="AL21" i="1"/>
  <c r="AL65" i="1"/>
  <c r="AL58" i="1"/>
  <c r="AL94" i="1"/>
  <c r="AL36" i="1"/>
  <c r="AL59" i="1"/>
  <c r="AL49" i="1"/>
  <c r="AL57" i="1"/>
  <c r="AL39" i="1"/>
  <c r="AL124" i="1"/>
  <c r="AG16" i="1"/>
  <c r="AG15" i="1"/>
  <c r="AG21" i="1"/>
  <c r="AG58" i="1"/>
  <c r="AG94" i="1"/>
  <c r="AG49" i="1"/>
  <c r="AG57" i="1"/>
  <c r="AG124" i="1"/>
  <c r="AG39" i="1"/>
  <c r="AG59" i="1"/>
  <c r="AG36" i="1"/>
  <c r="AG65" i="1"/>
  <c r="AM39" i="1"/>
  <c r="AM124" i="1"/>
  <c r="AM58" i="1"/>
  <c r="AM94" i="1"/>
  <c r="AM16" i="1"/>
  <c r="AM21" i="1"/>
  <c r="AM59" i="1"/>
  <c r="AM49" i="1"/>
  <c r="AM36" i="1"/>
  <c r="AM65" i="1"/>
  <c r="AM15" i="1"/>
  <c r="AM57" i="1"/>
  <c r="AI21" i="1"/>
  <c r="AI49" i="1"/>
  <c r="AI16" i="1"/>
  <c r="AI65" i="1"/>
  <c r="AI57" i="1"/>
  <c r="AI39" i="1"/>
  <c r="AI36" i="1"/>
  <c r="AI94" i="1"/>
  <c r="AI124" i="1"/>
  <c r="AI59" i="1"/>
  <c r="AI15" i="1"/>
  <c r="AI58" i="1"/>
  <c r="AH39" i="1"/>
  <c r="AH124" i="1"/>
  <c r="AH58" i="1"/>
  <c r="AH94" i="1"/>
  <c r="AH16" i="1"/>
  <c r="AH21" i="1"/>
  <c r="AH59" i="1"/>
  <c r="AH65" i="1"/>
  <c r="AH49" i="1"/>
  <c r="AH36" i="1"/>
  <c r="AH57" i="1"/>
  <c r="AH15" i="1"/>
  <c r="AN39" i="1"/>
  <c r="AN124" i="1"/>
  <c r="AN16" i="1"/>
  <c r="AN21" i="1"/>
  <c r="AN94" i="1"/>
  <c r="AN49" i="1"/>
  <c r="AN15" i="1"/>
  <c r="AN58" i="1"/>
  <c r="AN36" i="1"/>
  <c r="AN65" i="1"/>
  <c r="AN57" i="1"/>
  <c r="AN59" i="1"/>
  <c r="AD36" i="1"/>
  <c r="AD59" i="1"/>
  <c r="AD39" i="1"/>
  <c r="AD124" i="1"/>
  <c r="AD49" i="1"/>
  <c r="AD57" i="1"/>
  <c r="AD58" i="1"/>
  <c r="AD94" i="1"/>
  <c r="AD21" i="1"/>
  <c r="AD15" i="1"/>
  <c r="AD65" i="1"/>
  <c r="AD16" i="1"/>
  <c r="AJ36" i="1"/>
  <c r="AJ59" i="1"/>
  <c r="AJ39" i="1"/>
  <c r="AJ124" i="1"/>
  <c r="AJ49" i="1"/>
  <c r="AJ57" i="1"/>
  <c r="AJ16" i="1"/>
  <c r="AJ21" i="1"/>
  <c r="AJ94" i="1"/>
  <c r="AJ15" i="1"/>
  <c r="AJ58" i="1"/>
  <c r="AJ65" i="1"/>
  <c r="AC39" i="1"/>
  <c r="AC58" i="1"/>
  <c r="AC21" i="1"/>
  <c r="AC49" i="1"/>
  <c r="AC36" i="1"/>
  <c r="AC124" i="1"/>
  <c r="AC94" i="1"/>
  <c r="AC16" i="1"/>
  <c r="AC65" i="1"/>
  <c r="AC57" i="1"/>
  <c r="AC15" i="1"/>
  <c r="AT13" i="1" s="1"/>
  <c r="AU13" i="1" s="1"/>
  <c r="AC59" i="1"/>
  <c r="AT65" i="1" l="1"/>
  <c r="AU65" i="1" s="1"/>
  <c r="AT59" i="1"/>
  <c r="AU59" i="1" s="1"/>
  <c r="AO57" i="1"/>
  <c r="AT94" i="1"/>
  <c r="AU94" i="1" s="1"/>
  <c r="AT124" i="1"/>
  <c r="AU124" i="1" s="1"/>
  <c r="AT58" i="1"/>
  <c r="AU58" i="1" s="1"/>
  <c r="AT16" i="1"/>
  <c r="AU16" i="1" s="1"/>
  <c r="AT15" i="1"/>
  <c r="AU15" i="1" s="1"/>
  <c r="AT49" i="1"/>
  <c r="AU49" i="1" s="1"/>
  <c r="AT57" i="1"/>
  <c r="AU57" i="1" s="1"/>
  <c r="AT36" i="1"/>
  <c r="AU36" i="1" s="1"/>
  <c r="AT21" i="1"/>
  <c r="AU21" i="1" s="1"/>
  <c r="AT39" i="1"/>
  <c r="AU39" i="1" s="1"/>
  <c r="S5" i="1"/>
  <c r="T4" i="1"/>
  <c r="M12" i="1"/>
  <c r="L13" i="1"/>
  <c r="M13" i="1" s="1"/>
  <c r="L5" i="1"/>
  <c r="M4" i="1"/>
  <c r="AT4" i="1"/>
  <c r="AU4" i="1" s="1"/>
  <c r="AT2" i="1"/>
  <c r="AU2" i="1" s="1"/>
  <c r="AO58" i="1"/>
  <c r="AO94" i="1"/>
  <c r="AO21" i="1"/>
  <c r="AO39" i="1"/>
  <c r="AT5" i="1"/>
  <c r="AU5" i="1" s="1"/>
  <c r="AT9" i="1"/>
  <c r="AU9" i="1" s="1"/>
  <c r="AO59" i="1"/>
  <c r="AT10" i="1"/>
  <c r="AU10" i="1" s="1"/>
  <c r="AO65" i="1"/>
  <c r="AO15" i="1"/>
  <c r="AO124" i="1"/>
  <c r="AT8" i="1"/>
  <c r="AU8" i="1" s="1"/>
  <c r="AU3" i="1"/>
  <c r="AT12" i="1"/>
  <c r="AU12" i="1" s="1"/>
  <c r="AO49" i="1"/>
  <c r="AO36" i="1"/>
  <c r="AT11" i="1"/>
  <c r="AU11" i="1" s="1"/>
  <c r="AT7" i="1"/>
  <c r="AU7" i="1" s="1"/>
  <c r="AO16" i="1"/>
  <c r="AT6" i="1"/>
  <c r="AU6" i="1" s="1"/>
  <c r="AQ9" i="1" l="1"/>
  <c r="AQ94" i="1"/>
  <c r="AQ10" i="1"/>
  <c r="AQ59" i="1"/>
  <c r="AQ58" i="1"/>
  <c r="AQ2" i="1"/>
  <c r="AR2" i="1" s="1"/>
  <c r="AQ65" i="1"/>
  <c r="AQ12" i="1"/>
  <c r="AQ57" i="1"/>
  <c r="AQ6" i="1"/>
  <c r="AQ49" i="1"/>
  <c r="AQ8" i="1"/>
  <c r="AQ21" i="1"/>
  <c r="AQ7" i="1"/>
  <c r="AQ16" i="1"/>
  <c r="AQ11" i="1"/>
  <c r="AQ124" i="1"/>
  <c r="AQ4" i="1"/>
  <c r="AQ36" i="1"/>
  <c r="AQ13" i="1"/>
  <c r="AQ15" i="1"/>
  <c r="AQ5" i="1"/>
  <c r="AQ39" i="1"/>
  <c r="S6" i="1"/>
  <c r="T5" i="1"/>
  <c r="M5" i="1"/>
  <c r="AS2" i="1"/>
  <c r="T6" i="1" l="1"/>
  <c r="S7" i="1"/>
  <c r="M6" i="1"/>
  <c r="L7" i="1"/>
  <c r="AR3" i="1"/>
  <c r="S8" i="1" l="1"/>
  <c r="T7" i="1"/>
  <c r="L8" i="1"/>
  <c r="M7" i="1"/>
  <c r="AS3" i="1"/>
  <c r="T8" i="1" l="1"/>
  <c r="S9" i="1"/>
  <c r="M8" i="1"/>
  <c r="L9" i="1"/>
  <c r="M9" i="1" s="1"/>
  <c r="AR4" i="1"/>
  <c r="T9" i="1" l="1"/>
  <c r="S10" i="1"/>
  <c r="AS4" i="1"/>
  <c r="T10" i="1" l="1"/>
  <c r="S11" i="1"/>
  <c r="AR5" i="1"/>
  <c r="T11" i="1" l="1"/>
  <c r="S12" i="1"/>
  <c r="AS5" i="1"/>
  <c r="AR6" i="1"/>
  <c r="T12" i="1" l="1"/>
  <c r="S13" i="1"/>
  <c r="T13" i="1" s="1"/>
  <c r="AS6" i="1"/>
  <c r="AR7" i="1"/>
  <c r="AS7" i="1" l="1"/>
  <c r="AR8" i="1"/>
  <c r="AR9" i="1" l="1"/>
  <c r="AS8" i="1"/>
  <c r="AS9" i="1" l="1"/>
  <c r="AR10" i="1"/>
  <c r="AR11" i="1" l="1"/>
  <c r="AS10" i="1"/>
  <c r="AS11" i="1" l="1"/>
  <c r="AR12" i="1"/>
  <c r="AS12" i="1" l="1"/>
  <c r="AR13" i="1"/>
  <c r="AR14" i="1" l="1"/>
  <c r="AS13" i="1"/>
  <c r="AS14" i="1" l="1"/>
  <c r="AR15" i="1"/>
  <c r="AR16" i="1" l="1"/>
  <c r="AS15" i="1"/>
  <c r="AS16" i="1" l="1"/>
  <c r="AR17" i="1"/>
  <c r="AS17" i="1" l="1"/>
  <c r="AR18" i="1"/>
  <c r="AR19" i="1" l="1"/>
  <c r="AS18" i="1"/>
  <c r="AR20" i="1" l="1"/>
  <c r="AS19" i="1"/>
  <c r="AS20" i="1" l="1"/>
  <c r="AR21" i="1"/>
  <c r="AS21" i="1" l="1"/>
  <c r="AR22" i="1"/>
  <c r="AR23" i="1" l="1"/>
  <c r="AS22" i="1"/>
  <c r="AR24" i="1" l="1"/>
  <c r="AS23" i="1"/>
  <c r="AR25" i="1" l="1"/>
  <c r="AS24" i="1"/>
  <c r="AS25" i="1" l="1"/>
  <c r="AR26" i="1"/>
  <c r="AR27" i="1" l="1"/>
  <c r="AS26" i="1"/>
  <c r="AS27" i="1" l="1"/>
  <c r="AR28" i="1"/>
  <c r="AR29" i="1" l="1"/>
  <c r="AS28" i="1"/>
  <c r="AR30" i="1" l="1"/>
  <c r="AS29" i="1"/>
  <c r="AS30" i="1" l="1"/>
  <c r="AR31" i="1"/>
  <c r="AR32" i="1" l="1"/>
  <c r="AS31" i="1"/>
  <c r="AS32" i="1" l="1"/>
  <c r="AR33" i="1"/>
  <c r="AR34" i="1" l="1"/>
  <c r="AS33" i="1"/>
  <c r="AS34" i="1" l="1"/>
  <c r="AR35" i="1"/>
  <c r="AS35" i="1" l="1"/>
  <c r="AR36" i="1"/>
  <c r="AR37" i="1" l="1"/>
  <c r="AS36" i="1"/>
  <c r="AS37" i="1" l="1"/>
  <c r="AR38" i="1"/>
  <c r="AS38" i="1" l="1"/>
  <c r="AR39" i="1"/>
  <c r="AR40" i="1" l="1"/>
  <c r="AS39" i="1"/>
  <c r="AR41" i="1" l="1"/>
  <c r="AS40" i="1"/>
  <c r="AS41" i="1" l="1"/>
  <c r="AR42" i="1"/>
  <c r="AS42" i="1" l="1"/>
  <c r="AR43" i="1"/>
  <c r="AR44" i="1" l="1"/>
  <c r="AS43" i="1"/>
  <c r="AS44" i="1" l="1"/>
  <c r="AR45" i="1"/>
  <c r="AS45" i="1" l="1"/>
  <c r="AR46" i="1"/>
  <c r="AR47" i="1" l="1"/>
  <c r="AS46" i="1"/>
  <c r="AR48" i="1" l="1"/>
  <c r="AS47" i="1"/>
  <c r="AR49" i="1" l="1"/>
  <c r="AS48" i="1"/>
  <c r="AS49" i="1" l="1"/>
  <c r="AR50" i="1"/>
  <c r="AR51" i="1" l="1"/>
  <c r="AS50" i="1"/>
  <c r="AS51" i="1" l="1"/>
  <c r="AR52" i="1"/>
  <c r="AR53" i="1" l="1"/>
  <c r="AS52" i="1"/>
  <c r="AR54" i="1" l="1"/>
  <c r="AS53" i="1"/>
  <c r="AS54" i="1" l="1"/>
  <c r="AR55" i="1"/>
  <c r="AS55" i="1" l="1"/>
  <c r="AR56" i="1"/>
  <c r="AS56" i="1" l="1"/>
  <c r="AR57" i="1"/>
  <c r="AS57" i="1" l="1"/>
  <c r="AR58" i="1"/>
  <c r="AS58" i="1" l="1"/>
  <c r="AR59" i="1"/>
  <c r="AR60" i="1" l="1"/>
  <c r="AS59" i="1"/>
  <c r="AS60" i="1" l="1"/>
  <c r="AR61" i="1"/>
  <c r="AR62" i="1" l="1"/>
  <c r="AS61" i="1"/>
  <c r="AS62" i="1" l="1"/>
  <c r="AR63" i="1"/>
  <c r="AR64" i="1" l="1"/>
  <c r="AS63" i="1"/>
  <c r="AR65" i="1" l="1"/>
  <c r="AS64" i="1"/>
  <c r="AR66" i="1" l="1"/>
  <c r="AS65" i="1"/>
  <c r="AS66" i="1" l="1"/>
  <c r="AR67" i="1"/>
  <c r="AR68" i="1" l="1"/>
  <c r="AS67" i="1"/>
  <c r="AR69" i="1" l="1"/>
  <c r="AS68" i="1"/>
  <c r="AS69" i="1" l="1"/>
  <c r="AR70" i="1"/>
  <c r="AR71" i="1" l="1"/>
  <c r="AS70" i="1"/>
  <c r="AS71" i="1" l="1"/>
  <c r="AR72" i="1"/>
  <c r="AS72" i="1" l="1"/>
  <c r="AR73" i="1"/>
  <c r="AR74" i="1" l="1"/>
  <c r="AS73" i="1"/>
  <c r="AS74" i="1" l="1"/>
  <c r="AR75" i="1"/>
  <c r="AR76" i="1" l="1"/>
  <c r="AS75" i="1"/>
  <c r="AS76" i="1" l="1"/>
  <c r="AR77" i="1"/>
  <c r="AR78" i="1" l="1"/>
  <c r="AS77" i="1"/>
  <c r="AR79" i="1" l="1"/>
  <c r="AS78" i="1"/>
  <c r="AS79" i="1" l="1"/>
  <c r="AR80" i="1"/>
  <c r="AR81" i="1" l="1"/>
  <c r="AS80" i="1"/>
  <c r="AS81" i="1" l="1"/>
  <c r="AR82" i="1"/>
  <c r="AS82" i="1" l="1"/>
  <c r="AR83" i="1"/>
  <c r="AR84" i="1" l="1"/>
  <c r="AS83" i="1"/>
  <c r="AR85" i="1" l="1"/>
  <c r="AS84" i="1"/>
  <c r="AS85" i="1" l="1"/>
  <c r="AR86" i="1"/>
  <c r="AR87" i="1" l="1"/>
  <c r="AS86" i="1"/>
  <c r="AR88" i="1" l="1"/>
  <c r="AS87" i="1"/>
  <c r="AS88" i="1" l="1"/>
  <c r="AR89" i="1"/>
  <c r="AR90" i="1" l="1"/>
  <c r="AS89" i="1"/>
  <c r="AS90" i="1" l="1"/>
  <c r="AR91" i="1"/>
  <c r="AR92" i="1" l="1"/>
  <c r="AS91" i="1"/>
  <c r="AS92" i="1" l="1"/>
  <c r="AR93" i="1"/>
  <c r="AR94" i="1" l="1"/>
  <c r="AS93" i="1"/>
  <c r="AS94" i="1" l="1"/>
  <c r="AR95" i="1"/>
  <c r="AR96" i="1" l="1"/>
  <c r="AS95" i="1"/>
  <c r="AS96" i="1" l="1"/>
  <c r="AR97" i="1"/>
  <c r="AR98" i="1" l="1"/>
  <c r="AS97" i="1"/>
  <c r="AS98" i="1" l="1"/>
  <c r="AR99" i="1"/>
  <c r="AS99" i="1" l="1"/>
  <c r="AR100" i="1"/>
  <c r="AS100" i="1" l="1"/>
  <c r="AR101" i="1"/>
  <c r="AR102" i="1" l="1"/>
  <c r="AS101" i="1"/>
  <c r="AR103" i="1" l="1"/>
  <c r="AS102" i="1"/>
  <c r="AR104" i="1" l="1"/>
  <c r="AS103" i="1"/>
  <c r="AS104" i="1" l="1"/>
  <c r="AR105" i="1"/>
  <c r="AS105" i="1" l="1"/>
  <c r="AR106" i="1"/>
  <c r="AR107" i="1" l="1"/>
  <c r="AS106" i="1"/>
  <c r="AR108" i="1" l="1"/>
  <c r="AS108" i="1" s="1"/>
  <c r="AS107" i="1"/>
  <c r="AR109" i="1"/>
  <c r="AR110" i="1" s="1"/>
  <c r="AS110" i="1" l="1"/>
  <c r="AR111" i="1"/>
  <c r="AS109" i="1"/>
  <c r="AS111" i="1" l="1"/>
  <c r="AR112" i="1"/>
  <c r="AR113" i="1" l="1"/>
  <c r="AS112" i="1"/>
  <c r="AS113" i="1" l="1"/>
  <c r="AR114" i="1"/>
  <c r="AS114" i="1" l="1"/>
  <c r="AR115" i="1"/>
  <c r="AR116" i="1" l="1"/>
  <c r="AS115" i="1"/>
  <c r="AR117" i="1" l="1"/>
  <c r="AS116" i="1"/>
  <c r="AS117" i="1" l="1"/>
  <c r="AR118" i="1"/>
  <c r="AR119" i="1" l="1"/>
  <c r="AS118" i="1"/>
  <c r="AR120" i="1" l="1"/>
  <c r="AS119" i="1"/>
  <c r="AS120" i="1" l="1"/>
  <c r="AR121" i="1"/>
  <c r="AR122" i="1" l="1"/>
  <c r="AS121" i="1"/>
  <c r="AS122" i="1" l="1"/>
  <c r="AR123" i="1"/>
  <c r="AS123" i="1" l="1"/>
  <c r="AR124" i="1"/>
  <c r="AR125" i="1" l="1"/>
  <c r="AS124" i="1"/>
  <c r="AR126" i="1" l="1"/>
  <c r="AS125" i="1"/>
  <c r="AR127" i="1" l="1"/>
  <c r="AS126" i="1"/>
  <c r="AR128" i="1" l="1"/>
  <c r="AS127" i="1"/>
  <c r="AS128" i="1" l="1"/>
  <c r="AR129" i="1"/>
  <c r="AR130" i="1" l="1"/>
  <c r="AS129" i="1"/>
  <c r="AR131" i="1" l="1"/>
  <c r="AS130" i="1"/>
  <c r="AS131" i="1" l="1"/>
  <c r="AR132" i="1"/>
  <c r="AR133" i="1" l="1"/>
  <c r="AS132" i="1"/>
  <c r="AS133" i="1" l="1"/>
  <c r="AR134" i="1"/>
  <c r="AS134" i="1" l="1"/>
  <c r="AR135" i="1"/>
  <c r="AR136" i="1" l="1"/>
  <c r="AS135" i="1"/>
  <c r="AR137" i="1" l="1"/>
  <c r="AS136" i="1"/>
  <c r="AS137" i="1" l="1"/>
  <c r="AR138" i="1"/>
  <c r="AR139" i="1" l="1"/>
  <c r="AS138" i="1"/>
  <c r="AS139" i="1" l="1"/>
  <c r="AR140" i="1"/>
  <c r="AS140" i="1" l="1"/>
  <c r="AR141" i="1"/>
  <c r="AR142" i="1" l="1"/>
  <c r="AS141" i="1"/>
  <c r="AS142" i="1" l="1"/>
  <c r="AR143" i="1"/>
  <c r="AR144" i="1" l="1"/>
  <c r="AS143" i="1"/>
  <c r="AR145" i="1" l="1"/>
  <c r="AS144" i="1"/>
  <c r="AS145" i="1" l="1"/>
  <c r="AR146" i="1"/>
  <c r="AS146" i="1" l="1"/>
  <c r="AR147" i="1"/>
  <c r="AR148" i="1" l="1"/>
  <c r="AS147" i="1"/>
  <c r="AR149" i="1" l="1"/>
  <c r="AS148" i="1"/>
  <c r="AS149" i="1" l="1"/>
  <c r="AR150" i="1"/>
  <c r="AR151" i="1" l="1"/>
  <c r="AS150" i="1"/>
  <c r="AS151" i="1" l="1"/>
  <c r="AR152" i="1"/>
  <c r="AR153" i="1" l="1"/>
  <c r="AS152" i="1"/>
  <c r="AS153" i="1" l="1"/>
  <c r="AR154" i="1"/>
  <c r="AS154" i="1" l="1"/>
  <c r="AR155" i="1"/>
  <c r="AR156" i="1" l="1"/>
  <c r="AS155" i="1"/>
  <c r="AS156" i="1" l="1"/>
  <c r="AR157" i="1"/>
  <c r="AR158" i="1" l="1"/>
  <c r="AS157" i="1"/>
  <c r="AR159" i="1" l="1"/>
  <c r="AS158" i="1"/>
  <c r="AS159" i="1" l="1"/>
  <c r="AR160" i="1"/>
  <c r="AR161" i="1" l="1"/>
  <c r="AS160" i="1"/>
  <c r="AS161" i="1" l="1"/>
  <c r="AR162" i="1"/>
  <c r="AS162" i="1" l="1"/>
  <c r="AR163" i="1"/>
  <c r="AR164" i="1" l="1"/>
  <c r="AS163" i="1"/>
  <c r="AR165" i="1" l="1"/>
  <c r="AS164" i="1"/>
  <c r="AR166" i="1" l="1"/>
  <c r="AS165" i="1"/>
  <c r="AS166" i="1" l="1"/>
  <c r="AR167" i="1"/>
  <c r="AR168" i="1" l="1"/>
  <c r="AS167" i="1"/>
  <c r="AS168" i="1" l="1"/>
  <c r="AR169" i="1"/>
  <c r="AR170" i="1" l="1"/>
  <c r="AS169" i="1"/>
  <c r="AR171" i="1" l="1"/>
  <c r="AS170" i="1"/>
  <c r="AS171" i="1" l="1"/>
  <c r="AR172" i="1"/>
  <c r="AS172" i="1" l="1"/>
  <c r="AR173" i="1"/>
  <c r="AR174" i="1" l="1"/>
  <c r="AS173" i="1"/>
  <c r="AS174" i="1" l="1"/>
  <c r="AR175" i="1"/>
  <c r="AR176" i="1" l="1"/>
  <c r="AS175" i="1"/>
  <c r="AR177" i="1" l="1"/>
  <c r="AS176" i="1"/>
  <c r="AS177" i="1" l="1"/>
  <c r="AR178" i="1"/>
  <c r="AR179" i="1" l="1"/>
  <c r="AS178" i="1"/>
  <c r="AR180" i="1" l="1"/>
  <c r="AS179" i="1"/>
  <c r="AS180" i="1" l="1"/>
  <c r="AR181" i="1"/>
  <c r="AR182" i="1" l="1"/>
  <c r="AS181" i="1"/>
  <c r="AR183" i="1" l="1"/>
  <c r="AS182" i="1"/>
  <c r="AS183" i="1" l="1"/>
  <c r="AR184" i="1"/>
  <c r="AS184" i="1" l="1"/>
  <c r="AR185" i="1"/>
  <c r="AS185" i="1" l="1"/>
  <c r="AR186" i="1"/>
  <c r="AR187" i="1" l="1"/>
  <c r="AS186" i="1"/>
  <c r="AR188" i="1" l="1"/>
  <c r="AS187" i="1"/>
  <c r="AR189" i="1" l="1"/>
  <c r="AS188" i="1"/>
  <c r="AR190" i="1" l="1"/>
  <c r="AS189" i="1"/>
  <c r="AR191" i="1" l="1"/>
  <c r="AS190" i="1"/>
  <c r="AR192" i="1" l="1"/>
  <c r="AS191" i="1"/>
  <c r="AS192" i="1" l="1"/>
  <c r="AR193" i="1"/>
  <c r="AR194" i="1" l="1"/>
  <c r="AS193" i="1"/>
  <c r="AR195" i="1" l="1"/>
  <c r="AS194" i="1"/>
  <c r="AS195" i="1" l="1"/>
  <c r="AR196" i="1"/>
  <c r="AS196" i="1" l="1"/>
  <c r="AR197" i="1"/>
  <c r="AS197" i="1" l="1"/>
  <c r="AR198" i="1"/>
  <c r="AS198" i="1" l="1"/>
  <c r="AR199" i="1"/>
  <c r="AS199" i="1" s="1"/>
  <c r="AY6" i="1" l="1"/>
  <c r="AW6" i="1"/>
  <c r="AW5" i="1"/>
  <c r="AX4" i="1"/>
  <c r="AY5" i="1"/>
  <c r="AX6" i="1"/>
  <c r="AX5" i="1"/>
  <c r="AY4" i="1"/>
  <c r="AW4" i="1"/>
</calcChain>
</file>

<file path=xl/sharedStrings.xml><?xml version="1.0" encoding="utf-8"?>
<sst xmlns="http://schemas.openxmlformats.org/spreadsheetml/2006/main" count="6574" uniqueCount="488">
  <si>
    <t>ФИО менеджера</t>
  </si>
  <si>
    <t>ФИО клиента</t>
  </si>
  <si>
    <t>Дата сделки</t>
  </si>
  <si>
    <t>Сумма сделки</t>
  </si>
  <si>
    <t>NPS</t>
  </si>
  <si>
    <t>Петров Владимир Кириллович</t>
  </si>
  <si>
    <t>Степанова Александра Ивановна</t>
  </si>
  <si>
    <t>2023-09-01</t>
  </si>
  <si>
    <t>Семенова Ирина Валерьевна</t>
  </si>
  <si>
    <t>Иванов Кирилл Михайлович</t>
  </si>
  <si>
    <t>Громова Мария Ильинична</t>
  </si>
  <si>
    <t>Иванова Валерия Артемовна</t>
  </si>
  <si>
    <t>Белов Алексей Константинович</t>
  </si>
  <si>
    <t>Степанов Павел Олегович</t>
  </si>
  <si>
    <t>Иванова Анна Сергеевна</t>
  </si>
  <si>
    <t>Смирнов Артем Владимирович</t>
  </si>
  <si>
    <t>2023-09-04</t>
  </si>
  <si>
    <t>Ткаченко Андрей Олегович</t>
  </si>
  <si>
    <t>Смирнов Кирилл Юрьевич</t>
  </si>
  <si>
    <t>Смирнова Ольга Станиславовна</t>
  </si>
  <si>
    <t>Яковлев Артем Игоревич</t>
  </si>
  <si>
    <t>Семенова Екатерина Станиславовна</t>
  </si>
  <si>
    <t>Степанов Никита Андреевич</t>
  </si>
  <si>
    <t>Новикова Ольга Петровна</t>
  </si>
  <si>
    <t>Алексеева Юлия Михайловна</t>
  </si>
  <si>
    <t>Петрова Ксения Дмитриевна</t>
  </si>
  <si>
    <t>Сидорова Вероника Геннадьевна</t>
  </si>
  <si>
    <t>Орлов Павел Денисович</t>
  </si>
  <si>
    <t>Алексеева Ирина Романовна</t>
  </si>
  <si>
    <t>Смирнова Светлана Владимировна</t>
  </si>
  <si>
    <t>Степанова Мария Алексеевна</t>
  </si>
  <si>
    <t>2023-09-05</t>
  </si>
  <si>
    <t>Фролов Сергей Викторович</t>
  </si>
  <si>
    <t>Кузнецов Дмитрий Львович</t>
  </si>
  <si>
    <t>Федорова Ирина Артемовна</t>
  </si>
  <si>
    <t>Павлова Анна Викторовна</t>
  </si>
  <si>
    <t>Сидорова Елена Васильевна</t>
  </si>
  <si>
    <t>Кузнецов Георгий Александрович</t>
  </si>
  <si>
    <t>2023-09-06</t>
  </si>
  <si>
    <t>Степанова Светлана Геннадьевна</t>
  </si>
  <si>
    <t>2023-09-07</t>
  </si>
  <si>
    <t>Лебедев Михаил Ильич</t>
  </si>
  <si>
    <t>Семенова Светлана Никитична</t>
  </si>
  <si>
    <t>2023-09-08</t>
  </si>
  <si>
    <t>Петрова Ирина Александровна</t>
  </si>
  <si>
    <t>Павлова Елена Ивановна</t>
  </si>
  <si>
    <t>Егорова Дарья Александровна</t>
  </si>
  <si>
    <t>Павлова Алиса Михайловна</t>
  </si>
  <si>
    <t>Иванова Ирина Ивановна</t>
  </si>
  <si>
    <t>2023-09-11</t>
  </si>
  <si>
    <t>Попова Елена Михайловна</t>
  </si>
  <si>
    <t>Павлов Артур Егорович</t>
  </si>
  <si>
    <t>Алексеева Ксения Романовна</t>
  </si>
  <si>
    <t>Попов Константин Александрович</t>
  </si>
  <si>
    <t>Козлов Илья Ильич</t>
  </si>
  <si>
    <t>Павлов Матвей Станиславович</t>
  </si>
  <si>
    <t>Васильев Роман Юрьевич</t>
  </si>
  <si>
    <t>Кузнецов Георгий Сергеевич</t>
  </si>
  <si>
    <t>Павлова Вероника Кирилловна</t>
  </si>
  <si>
    <t>2023-09-12</t>
  </si>
  <si>
    <t>Степанова Юлия Михайловна</t>
  </si>
  <si>
    <t>Васильев Александр Александрович</t>
  </si>
  <si>
    <t>Кузнецова Наталья Артемовна</t>
  </si>
  <si>
    <t>Козлов Никита Александрович</t>
  </si>
  <si>
    <t>2023-09-13</t>
  </si>
  <si>
    <t>Козлов Алексей Кириллович</t>
  </si>
  <si>
    <t>2023-09-14</t>
  </si>
  <si>
    <t>Козлова Дарья Егоровна</t>
  </si>
  <si>
    <t>Степанов Дмитрий Геннадьевич</t>
  </si>
  <si>
    <t>Лебедева Ольга Романовна</t>
  </si>
  <si>
    <t>Попова Наталья Артемовна</t>
  </si>
  <si>
    <t>2023-09-15</t>
  </si>
  <si>
    <t>Смирнов Михаил Иванович</t>
  </si>
  <si>
    <t>2023-09-18</t>
  </si>
  <si>
    <t>Павлов Константин Алексеевич</t>
  </si>
  <si>
    <t>Орлов Сергей Сергеевич</t>
  </si>
  <si>
    <t>Новикова Анна Станиславовна</t>
  </si>
  <si>
    <t>Смирнов Дмитрий Павлович</t>
  </si>
  <si>
    <t>2023-09-19</t>
  </si>
  <si>
    <t>Морозова Полина Сергеевна</t>
  </si>
  <si>
    <t>2023-09-21</t>
  </si>
  <si>
    <t>Смирнова Юлия Дмитриевна</t>
  </si>
  <si>
    <t>Козлов Константин Павлович</t>
  </si>
  <si>
    <t>2023-09-22</t>
  </si>
  <si>
    <t>Алексеева Александра Ильинична</t>
  </si>
  <si>
    <t>Иванов Матвей Дмитриевич</t>
  </si>
  <si>
    <t>2023-09-25</t>
  </si>
  <si>
    <t>Козлова Валерия Егоровна</t>
  </si>
  <si>
    <t>Николаева Виктория Романовна</t>
  </si>
  <si>
    <t>Сидорова Полина Егоровна</t>
  </si>
  <si>
    <t>Смирнов Илья Никитич</t>
  </si>
  <si>
    <t>Петров Константин Александрович</t>
  </si>
  <si>
    <t>Смирнова София Станиславовна</t>
  </si>
  <si>
    <t>Федорова Александра Геннадьевна</t>
  </si>
  <si>
    <t>2023-09-27</t>
  </si>
  <si>
    <t>Степанов Андрей Александрович</t>
  </si>
  <si>
    <t>2023-09-28</t>
  </si>
  <si>
    <t>Петрова Светлана Геннадьевна</t>
  </si>
  <si>
    <t>Павлов Алексей Иванович</t>
  </si>
  <si>
    <t>2023-09-29</t>
  </si>
  <si>
    <t>Орлов Михаил Сергеевич</t>
  </si>
  <si>
    <t>Павлова Екатерина Олеговна</t>
  </si>
  <si>
    <t>2023-10-02</t>
  </si>
  <si>
    <t>Кузнецов Матвей Михайлович</t>
  </si>
  <si>
    <t>Егорова Дарья Сергеевна</t>
  </si>
  <si>
    <t>2023-10-03</t>
  </si>
  <si>
    <t>Семенов Михаил Егорович</t>
  </si>
  <si>
    <t>Федоров Александр Геннадьевич</t>
  </si>
  <si>
    <t>2023-10-04</t>
  </si>
  <si>
    <t>Кузнецов Егор Станиславович</t>
  </si>
  <si>
    <t>Петров Кирилл Михайлович</t>
  </si>
  <si>
    <t>Морозова Полина Викторовна</t>
  </si>
  <si>
    <t>Семенов Максим Викторович</t>
  </si>
  <si>
    <t>2023-10-05</t>
  </si>
  <si>
    <t>Кузнецов Артур Геннадьевич</t>
  </si>
  <si>
    <t>2023-10-06</t>
  </si>
  <si>
    <t>Семенова Татьяна Егоровна</t>
  </si>
  <si>
    <t>2023-10-09</t>
  </si>
  <si>
    <t>Морозова Наталья Геннадьевна</t>
  </si>
  <si>
    <t>Алексеев Максим Андреевич</t>
  </si>
  <si>
    <t>Николаева Полина Никитична</t>
  </si>
  <si>
    <t>Козлов Матвей Владимирович</t>
  </si>
  <si>
    <t>2023-10-10</t>
  </si>
  <si>
    <t>2023-10-11</t>
  </si>
  <si>
    <t>Орлов Георгий Геннадьевич</t>
  </si>
  <si>
    <t>Смирнов Андрей Дмитриевич</t>
  </si>
  <si>
    <t>2023-10-12</t>
  </si>
  <si>
    <t>Новиков Павел Станиславович</t>
  </si>
  <si>
    <t>2023-10-13</t>
  </si>
  <si>
    <t>Егорова Татьяна Юрьевна</t>
  </si>
  <si>
    <t>2023-10-16</t>
  </si>
  <si>
    <t>Смирнов Владимир Викторович</t>
  </si>
  <si>
    <t>Николаева Полина Алексеевна</t>
  </si>
  <si>
    <t>Иванова Юлия Андреевна</t>
  </si>
  <si>
    <t>2023-10-17</t>
  </si>
  <si>
    <t>Смирнов Роман Андреевич</t>
  </si>
  <si>
    <t>Федоров Артем Геннадьевич</t>
  </si>
  <si>
    <t>2023-10-18</t>
  </si>
  <si>
    <t>Кузнецова Дарья Артемовна</t>
  </si>
  <si>
    <t>Козлова Ирина Владимировна</t>
  </si>
  <si>
    <t>2023-10-19</t>
  </si>
  <si>
    <t>2023-10-23</t>
  </si>
  <si>
    <t>Попов Владимир Александрович</t>
  </si>
  <si>
    <t>Новиков Артур Михайлович</t>
  </si>
  <si>
    <t>Петрова Полина Романовна</t>
  </si>
  <si>
    <t>2023-10-24</t>
  </si>
  <si>
    <t>2023-10-25</t>
  </si>
  <si>
    <t>Волкова Людмила Кирилловна</t>
  </si>
  <si>
    <t>Павлов Иван Станиславович</t>
  </si>
  <si>
    <t>2023-10-27</t>
  </si>
  <si>
    <t>Иванова Наталья Дмитриевна</t>
  </si>
  <si>
    <t>Лебедев Алексей Павлович</t>
  </si>
  <si>
    <t>Морозова Алиса Павловна</t>
  </si>
  <si>
    <t>2023-10-30</t>
  </si>
  <si>
    <t>Смирнова Татьяна Андреевна</t>
  </si>
  <si>
    <t>Николаева Полина Александровна</t>
  </si>
  <si>
    <t>Козлов Максим Романович</t>
  </si>
  <si>
    <t>Алексеева Екатерина Владимировна</t>
  </si>
  <si>
    <t>Волков Артем Юрьевич</t>
  </si>
  <si>
    <t>2023-10-31</t>
  </si>
  <si>
    <t>2023-11-01</t>
  </si>
  <si>
    <t>Смирнова Вероника Ильинична</t>
  </si>
  <si>
    <t>Николаева Виктория Ильинична</t>
  </si>
  <si>
    <t>Лебедев Егор Иванович</t>
  </si>
  <si>
    <t>2023-11-02</t>
  </si>
  <si>
    <t>Алексеев Андрей Никитич</t>
  </si>
  <si>
    <t>Морозова Дарья Никитична</t>
  </si>
  <si>
    <t>2023-11-03</t>
  </si>
  <si>
    <t>Алексеев Владимир Алексеевич</t>
  </si>
  <si>
    <t>Степанова Людмила Дмитриевна</t>
  </si>
  <si>
    <t>2023-11-06</t>
  </si>
  <si>
    <t>Николаева Ксения Михайловна</t>
  </si>
  <si>
    <t>2023-11-08</t>
  </si>
  <si>
    <t>Сидорова София Ивановна</t>
  </si>
  <si>
    <t>Волков Иван Алексеевич</t>
  </si>
  <si>
    <t>Морозов Павел Романович</t>
  </si>
  <si>
    <t>2023-11-09</t>
  </si>
  <si>
    <t>Попов Алексей Олегович</t>
  </si>
  <si>
    <t>2023-11-10</t>
  </si>
  <si>
    <t>2023-11-13</t>
  </si>
  <si>
    <t>Егоров Илья Андреевич</t>
  </si>
  <si>
    <t>Орлова Мария Ивановна</t>
  </si>
  <si>
    <t>Павлов Андрей Олегович</t>
  </si>
  <si>
    <t>Васильева Виктория Павловна</t>
  </si>
  <si>
    <t>Федорова Ирина Дмитриевна</t>
  </si>
  <si>
    <t>2023-11-14</t>
  </si>
  <si>
    <t>Сидоров Алексей Романович</t>
  </si>
  <si>
    <t>2023-11-15</t>
  </si>
  <si>
    <t>Смирнов Андрей Александрович</t>
  </si>
  <si>
    <t>2023-11-16</t>
  </si>
  <si>
    <t>Семенов Михаил Иванович</t>
  </si>
  <si>
    <t>Морозова Юлия Егоровна</t>
  </si>
  <si>
    <t>2023-11-17</t>
  </si>
  <si>
    <t>Кузнецова Ольга Станиславовна</t>
  </si>
  <si>
    <t>2023-11-20</t>
  </si>
  <si>
    <t>Иванова Ирина Никитична</t>
  </si>
  <si>
    <t>Лебедев Иван Дмитриевич</t>
  </si>
  <si>
    <t>Алексеева Дарья Станиславовна</t>
  </si>
  <si>
    <t>2023-11-21</t>
  </si>
  <si>
    <t>Козлов Алексей Олегович</t>
  </si>
  <si>
    <t>2023-11-22</t>
  </si>
  <si>
    <t>2023-11-23</t>
  </si>
  <si>
    <t>Иванова Алиса Олеговна</t>
  </si>
  <si>
    <t>Кузнецова Ирина Артемовна</t>
  </si>
  <si>
    <t>2023-11-24</t>
  </si>
  <si>
    <t>2023-11-27</t>
  </si>
  <si>
    <t>Федорова Мария Артемовна</t>
  </si>
  <si>
    <t>2023-11-28</t>
  </si>
  <si>
    <t>2023-11-29</t>
  </si>
  <si>
    <t>2023-11-30</t>
  </si>
  <si>
    <t>2023-12-01</t>
  </si>
  <si>
    <t>2023-12-04</t>
  </si>
  <si>
    <t>Попова Людмила Олеговна</t>
  </si>
  <si>
    <t>Егорова Анна Олеговна</t>
  </si>
  <si>
    <t>Кузнецов Сергей Александрович</t>
  </si>
  <si>
    <t>Кузнецов Артур Юрьевич</t>
  </si>
  <si>
    <t>Павлов Андрей Иванович</t>
  </si>
  <si>
    <t>2023-12-05</t>
  </si>
  <si>
    <t>2023-12-06</t>
  </si>
  <si>
    <t>2023-12-08</t>
  </si>
  <si>
    <t>Николаева Наталья Юрьевна</t>
  </si>
  <si>
    <t>2023-12-11</t>
  </si>
  <si>
    <t>Алексеева Полина Олеговна</t>
  </si>
  <si>
    <t>2023-12-12</t>
  </si>
  <si>
    <t>2023-12-13</t>
  </si>
  <si>
    <t>Волков Максим Кириллович</t>
  </si>
  <si>
    <t>Васильева Александра Владимировна</t>
  </si>
  <si>
    <t>2023-12-14</t>
  </si>
  <si>
    <t>Федоров Владимир Павлович</t>
  </si>
  <si>
    <t>Волкова Алиса Дмитриевна</t>
  </si>
  <si>
    <t>2023-12-15</t>
  </si>
  <si>
    <t>Козлова Мария Алексеевна</t>
  </si>
  <si>
    <t>2023-12-18</t>
  </si>
  <si>
    <t>Козлов Иван Егорович</t>
  </si>
  <si>
    <t>2023-12-19</t>
  </si>
  <si>
    <t>2023-12-21</t>
  </si>
  <si>
    <t>Егоров Павел Сергеевич</t>
  </si>
  <si>
    <t>Смирнов Егор Дмитриевич</t>
  </si>
  <si>
    <t>Лебедева Ксения Никитична</t>
  </si>
  <si>
    <t>2023-12-22</t>
  </si>
  <si>
    <t>2023-12-25</t>
  </si>
  <si>
    <t>Петрова Ольга Романовна</t>
  </si>
  <si>
    <t>Смирнов Владимир Олегович</t>
  </si>
  <si>
    <t>2023-12-26</t>
  </si>
  <si>
    <t>Семенова Дарья Павловна</t>
  </si>
  <si>
    <t>Морозов Артур Станиславович</t>
  </si>
  <si>
    <t>2023-12-27</t>
  </si>
  <si>
    <t>Смирнова Ольга Олеговна</t>
  </si>
  <si>
    <t>2023-12-29</t>
  </si>
  <si>
    <t>Козлов Максим Владимирович</t>
  </si>
  <si>
    <t>2024-01-01</t>
  </si>
  <si>
    <t>2024-01-03</t>
  </si>
  <si>
    <t>2024-01-04</t>
  </si>
  <si>
    <t>Степанова Валерия Алексеевна</t>
  </si>
  <si>
    <t>Кузнецова Людмила Ильинична</t>
  </si>
  <si>
    <t>Волкова Людмила Геннадьевна</t>
  </si>
  <si>
    <t>Федорова Юлия Егоровна</t>
  </si>
  <si>
    <t>2024-01-05</t>
  </si>
  <si>
    <t>2024-01-08</t>
  </si>
  <si>
    <t>Козлова Алиса Андреевна</t>
  </si>
  <si>
    <t>2024-01-09</t>
  </si>
  <si>
    <t>2024-01-10</t>
  </si>
  <si>
    <t>2024-01-11</t>
  </si>
  <si>
    <t>Лебедев Роман Александрович</t>
  </si>
  <si>
    <t>2024-01-12</t>
  </si>
  <si>
    <t>2024-01-15</t>
  </si>
  <si>
    <t>Петрова Екатерина Ильинична</t>
  </si>
  <si>
    <t>2024-01-16</t>
  </si>
  <si>
    <t>2024-01-17</t>
  </si>
  <si>
    <t>Федоров Сергей Геннадьевич</t>
  </si>
  <si>
    <t>2024-01-18</t>
  </si>
  <si>
    <t>2024-01-19</t>
  </si>
  <si>
    <t>2024-01-22</t>
  </si>
  <si>
    <t>2024-01-23</t>
  </si>
  <si>
    <t>Павлова София Ивановна</t>
  </si>
  <si>
    <t>2024-01-24</t>
  </si>
  <si>
    <t>Николаев Егор Михайлович</t>
  </si>
  <si>
    <t>2024-01-25</t>
  </si>
  <si>
    <t>Петрова Алиса Никитична</t>
  </si>
  <si>
    <t>Смирнов Владимир Александрович</t>
  </si>
  <si>
    <t>2024-01-26</t>
  </si>
  <si>
    <t>Волкова Елена Владимировна</t>
  </si>
  <si>
    <t>2024-01-29</t>
  </si>
  <si>
    <t>Васильев Владимир Юрьевич</t>
  </si>
  <si>
    <t>2024-01-31</t>
  </si>
  <si>
    <t>2024-02-01</t>
  </si>
  <si>
    <t>Сидоров Константин Александрович</t>
  </si>
  <si>
    <t>Павлова Вероника Сергеевна</t>
  </si>
  <si>
    <t>2024-02-02</t>
  </si>
  <si>
    <t>2024-02-05</t>
  </si>
  <si>
    <t>Егоров Сергей Юрьевич</t>
  </si>
  <si>
    <t>2024-02-06</t>
  </si>
  <si>
    <t>2024-02-07</t>
  </si>
  <si>
    <t>2024-02-08</t>
  </si>
  <si>
    <t>Орлов Павел Олегович</t>
  </si>
  <si>
    <t>2024-02-09</t>
  </si>
  <si>
    <t>Иванова Екатерина Дмитриевна</t>
  </si>
  <si>
    <t>Попов Владимир Алексеевич</t>
  </si>
  <si>
    <t>2024-02-12</t>
  </si>
  <si>
    <t>2024-02-14</t>
  </si>
  <si>
    <t>2024-02-15</t>
  </si>
  <si>
    <t>2024-02-16</t>
  </si>
  <si>
    <t>2024-02-19</t>
  </si>
  <si>
    <t>Лебедев Алексей Андреевич</t>
  </si>
  <si>
    <t>2024-02-20</t>
  </si>
  <si>
    <t>2024-02-21</t>
  </si>
  <si>
    <t>2024-02-22</t>
  </si>
  <si>
    <t>Павлова Елена Кирилловна</t>
  </si>
  <si>
    <t>Морозова Виктория Александровна</t>
  </si>
  <si>
    <t>2024-02-23</t>
  </si>
  <si>
    <t>2024-02-26</t>
  </si>
  <si>
    <t>Лебедева Людмила Станиславовна</t>
  </si>
  <si>
    <t>2024-02-28</t>
  </si>
  <si>
    <t>2024-02-29</t>
  </si>
  <si>
    <t>2024-03-01</t>
  </si>
  <si>
    <t>2024-03-04</t>
  </si>
  <si>
    <t>Кузнецов Иван Станиславович</t>
  </si>
  <si>
    <t>2024-03-05</t>
  </si>
  <si>
    <t>2024-03-06</t>
  </si>
  <si>
    <t>Павлова Александра Геннадьевна</t>
  </si>
  <si>
    <t>2024-03-08</t>
  </si>
  <si>
    <t>2024-03-11</t>
  </si>
  <si>
    <t>2024-03-12</t>
  </si>
  <si>
    <t>2024-03-13</t>
  </si>
  <si>
    <t>2024-03-14</t>
  </si>
  <si>
    <t>Кузнецова Дарья Алексеевна</t>
  </si>
  <si>
    <t>2024-03-15</t>
  </si>
  <si>
    <t>Лебедева Александра Александровна</t>
  </si>
  <si>
    <t>2024-03-18</t>
  </si>
  <si>
    <t>2024-03-19</t>
  </si>
  <si>
    <t>2024-03-20</t>
  </si>
  <si>
    <t>2024-03-21</t>
  </si>
  <si>
    <t>2024-03-22</t>
  </si>
  <si>
    <t>2024-03-25</t>
  </si>
  <si>
    <t>Кузнецов Александр Романович</t>
  </si>
  <si>
    <t>2024-03-26</t>
  </si>
  <si>
    <t>Павлова Ольга Артемовна</t>
  </si>
  <si>
    <t>2024-03-27</t>
  </si>
  <si>
    <t>2024-03-28</t>
  </si>
  <si>
    <t>2024-03-29</t>
  </si>
  <si>
    <t>2024-04-01</t>
  </si>
  <si>
    <t>Лебедева Анна Геннадьевна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</si>
  <si>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</si>
  <si>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</si>
  <si>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</si>
  <si>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</si>
  <si>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</si>
  <si>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</si>
  <si>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</si>
  <si>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</si>
  <si>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</si>
  <si>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</si>
  <si>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Васильев Алексей Геннадьевич</t>
  </si>
  <si>
    <t>2024-04-16</t>
  </si>
  <si>
    <t>2024-04-17</t>
  </si>
  <si>
    <t>2024-04-18</t>
  </si>
  <si>
    <t>2024-04-19</t>
  </si>
  <si>
    <t>2024-04-22</t>
  </si>
  <si>
    <t>2024-04-23</t>
  </si>
  <si>
    <t>2024-04-25</t>
  </si>
  <si>
    <t>2024-04-29</t>
  </si>
  <si>
    <t>Федорова Татьяна Михайловна</t>
  </si>
  <si>
    <t>2024-04-30</t>
  </si>
  <si>
    <t>2024-05-01</t>
  </si>
  <si>
    <t>Николаева Вероника Павловна</t>
  </si>
  <si>
    <t>2024-05-02</t>
  </si>
  <si>
    <t>2024-05-03</t>
  </si>
  <si>
    <t>2024-05-06</t>
  </si>
  <si>
    <t>2024-05-07</t>
  </si>
  <si>
    <t>Степанова Ксения Олеговна</t>
  </si>
  <si>
    <t>2024-05-09</t>
  </si>
  <si>
    <t>2024-05-10</t>
  </si>
  <si>
    <t>2024-05-13</t>
  </si>
  <si>
    <t>Алексеев Александр Дмитриевич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</si>
  <si>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</si>
  <si>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</si>
  <si>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</si>
  <si>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</si>
  <si>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</si>
  <si>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</si>
  <si>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</si>
  <si>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</si>
  <si>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</si>
  <si>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</si>
  <si>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Волков Илья Геннадьевич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</si>
  <si>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</si>
  <si>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</si>
  <si>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</si>
  <si>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</si>
  <si>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</si>
  <si>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</si>
  <si>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</si>
  <si>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Семенова Мария Станиславовна</t>
  </si>
  <si>
    <t>Егорова Людмила Сергеевна</t>
  </si>
  <si>
    <t>2024-06-06</t>
  </si>
  <si>
    <t>2024-06-07</t>
  </si>
  <si>
    <t>Попов Кирилл Александрович</t>
  </si>
  <si>
    <t>2024-06-10</t>
  </si>
  <si>
    <t>2024-06-13</t>
  </si>
  <si>
    <t>2024-06-14</t>
  </si>
  <si>
    <t>2024-06-17</t>
  </si>
  <si>
    <t>2024-06-18</t>
  </si>
  <si>
    <t>2024-06-19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</si>
  <si>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</si>
  <si>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</si>
  <si>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</si>
  <si>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</si>
  <si>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</si>
  <si>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</si>
  <si>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</si>
  <si>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</si>
  <si>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</si>
  <si>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</si>
  <si>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</si>
  <si>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</si>
  <si>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</si>
  <si>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</si>
  <si>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</si>
  <si>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</si>
  <si>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</si>
  <si>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</si>
  <si>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</si>
  <si>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</si>
  <si>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</si>
  <si>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</si>
  <si>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</si>
  <si>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</si>
  <si>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</si>
  <si>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</si>
  <si>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</si>
  <si>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</si>
  <si>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2024-08-02</t>
  </si>
  <si>
    <t>2024-08-05</t>
  </si>
  <si>
    <t>2024-08-06</t>
  </si>
  <si>
    <t>Степанов Артем Юрьевич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</si>
  <si>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</si>
  <si>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</si>
  <si>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</si>
  <si>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</si>
  <si>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</si>
  <si>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</si>
  <si>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</si>
  <si>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</si>
  <si>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</si>
  <si>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</si>
  <si>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Попова Анна Артемовна</t>
  </si>
  <si>
    <t>2024-08-21</t>
  </si>
  <si>
    <t>2024-08-22</t>
  </si>
  <si>
    <t>2024-08-23</t>
  </si>
  <si>
    <t>2024-08-26</t>
  </si>
  <si>
    <t>2024-08-27</t>
  </si>
  <si>
    <t>Кузнецова Елена Егоровна</t>
  </si>
  <si>
    <t>2024-08-28</t>
  </si>
  <si>
    <t>2024-08-29</t>
  </si>
  <si>
    <t>2024-08-30</t>
  </si>
  <si>
    <t>2024-09-02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</si>
  <si>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</si>
  <si>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</si>
  <si>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</si>
  <si>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</si>
  <si>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</si>
  <si>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</si>
  <si>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</si>
  <si>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</si>
  <si>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</si>
  <si>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</si>
  <si>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</si>
  <si>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</si>
  <si>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</si>
  <si>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ABC</t>
  </si>
  <si>
    <t>XYZ</t>
  </si>
  <si>
    <t>A</t>
  </si>
  <si>
    <t>Z</t>
  </si>
  <si>
    <t>Y</t>
  </si>
  <si>
    <t>B</t>
  </si>
  <si>
    <t>X</t>
  </si>
  <si>
    <t>Сводная таблица</t>
  </si>
  <si>
    <t>количество клиентов каждой категории</t>
  </si>
  <si>
    <t>C</t>
  </si>
  <si>
    <t>Сумма сделок в каждой категории</t>
  </si>
  <si>
    <t>ФИО Менеджера (по алфавиту)</t>
  </si>
  <si>
    <t>ABC по сумме сделки</t>
  </si>
  <si>
    <t>ABC по количеству сделок</t>
  </si>
  <si>
    <t>сумма</t>
  </si>
  <si>
    <t>пред Y</t>
  </si>
  <si>
    <t>кол-во</t>
  </si>
  <si>
    <t>переписанная дата</t>
  </si>
  <si>
    <t>Макаров Артём Романович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</si>
</sst>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0"/>
    <numFmt numFmtId="165" formatCode="0.0000%"/>
    <numFmt numFmtId="166" formatCode="dd/mm/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0" fontId="0" fillId="0" borderId="0" xfId="0" applyBorder="1"/>
    <xf numFmtId="0" fontId="0" fillId="2" borderId="0" xfId="0" applyFill="1"/>
  </cellXfs>
  <cellStyles count="1">
    <cellStyle name="Обычный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695325</xdr:colOff>
      <xdr:row>0</xdr:row>
      <xdr:rowOff>0</xdr:rowOff>
    </xdr:from>
    <xdr:to>
      <xdr:col>17</xdr:col>
      <xdr:colOff>30480</xdr:colOff>
      <xdr:row>5</xdr:row>
      <xdr:rowOff>48442</xdr:rowOff>
    </xdr:to>
    <xdr:sp macro="" textlink="">
      <xdr:nvSpPr>
        <xdr:cNvPr id="2" name="TextBox 1"/>
        <xdr:cNvSpPr txBox="1"/>
      </xdr:nvSpPr>
      <xdr:spPr>
        <a:xfrm>
          <a:off x="4914900" y="0"/>
          <a:ext cx="8098155" cy="10009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125457</xdr:colOff>
      <xdr:row>1</xdr:row>
      <xdr:rowOff>1361</xdr:rowOff>
    </xdr:from>
    <xdr:to>
      <xdr:col>27</xdr:col>
      <xdr:colOff>227783</xdr:colOff>
      <xdr:row>5</xdr:row>
      <xdr:rowOff>102598</xdr:rowOff>
    </xdr:to>
    <xdr:sp macro="" textlink="">
      <xdr:nvSpPr>
        <xdr:cNvPr id="2" name="TextBox 1"/>
        <xdr:cNvSpPr txBox="1"/>
      </xdr:nvSpPr>
      <xdr:spPr>
        <a:xfrm>
          <a:off x="14451057" y="191861"/>
          <a:ext cx="3759926" cy="86323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21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01"/>
  <sheetViews>
    <sheetView topLeftCell="AM1" zoomScale="85" zoomScaleNormal="85" workbookViewId="0">
      <selection activeCell="AW4" sqref="AW4:AY6"/>
    </sheetView>
  </sheetViews>
  <sheetFormatPr defaultRowHeight="15" x14ac:dyDescent="0.25"/>
  <cols>
    <col min="1" max="2" width="33" customWidth="1"/>
    <col min="3" max="3" width="12" customWidth="1"/>
    <col min="4" max="4" width="15" style="7" customWidth="1"/>
    <col min="5" max="5" width="5" customWidth="1"/>
    <col min="8" max="8" width="33" customWidth="1"/>
    <col min="10" max="10" width="9.140625" style="8"/>
    <col min="15" max="15" width="33" customWidth="1"/>
    <col min="18" max="18" width="9.140625" style="9"/>
    <col min="19" max="19" width="10.140625" style="9" bestFit="1" customWidth="1"/>
    <col min="23" max="23" width="33" customWidth="1"/>
    <col min="24" max="24" width="12" style="11" customWidth="1"/>
    <col min="25" max="25" width="15" style="7" customWidth="1"/>
    <col min="26" max="26" width="19.5703125" customWidth="1"/>
    <col min="27" max="27" width="33" customWidth="1"/>
    <col min="41" max="41" width="11.5703125" bestFit="1" customWidth="1"/>
    <col min="52" max="52" width="33" customWidth="1"/>
  </cols>
  <sheetData>
    <row r="1" spans="1:67" x14ac:dyDescent="0.25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H1" s="1" t="s">
        <v>0</v>
      </c>
      <c r="I1" t="s">
        <v>483</v>
      </c>
      <c r="J1" s="8" t="s">
        <v>475</v>
      </c>
      <c r="K1" t="s">
        <v>484</v>
      </c>
      <c r="O1" s="1" t="s">
        <v>0</v>
      </c>
      <c r="P1" t="s">
        <v>485</v>
      </c>
      <c r="Q1" t="s">
        <v>475</v>
      </c>
      <c r="S1" s="9" t="s">
        <v>473</v>
      </c>
      <c r="W1" s="1" t="s">
        <v>1</v>
      </c>
      <c r="X1" s="10" t="s">
        <v>2</v>
      </c>
      <c r="Y1" s="6" t="s">
        <v>3</v>
      </c>
      <c r="Z1" t="s">
        <v>486</v>
      </c>
      <c r="AA1" s="1" t="s">
        <v>1</v>
      </c>
      <c r="AB1" t="s">
        <v>456</v>
      </c>
      <c r="AC1" t="s">
        <v>457</v>
      </c>
      <c r="AD1" t="s">
        <v>458</v>
      </c>
      <c r="AE1" t="s">
        <v>459</v>
      </c>
      <c r="AF1" t="s">
        <v>460</v>
      </c>
      <c r="AG1" t="s">
        <v>461</v>
      </c>
      <c r="AH1" t="s">
        <v>462</v>
      </c>
      <c r="AI1" t="s">
        <v>463</v>
      </c>
      <c r="AJ1" t="s">
        <v>464</v>
      </c>
      <c r="AK1" t="s">
        <v>465</v>
      </c>
      <c r="AL1" t="s">
        <v>466</v>
      </c>
      <c r="AM1" t="s">
        <v>467</v>
      </c>
      <c r="AN1" t="s">
        <v>468</v>
      </c>
      <c r="AO1" s="7">
        <f>SUM(D:D)</f>
        <v>54496558</v>
      </c>
      <c r="AP1" t="s">
        <v>475</v>
      </c>
      <c r="AQ1" t="s">
        <v>484</v>
      </c>
      <c r="AR1" t="s">
        <v>473</v>
      </c>
      <c r="AS1" t="s">
        <v>469</v>
      </c>
      <c r="AU1" t="s">
        <v>470</v>
      </c>
      <c r="AZ1" s="1" t="s">
        <v>1</v>
      </c>
      <c r="BA1" t="s">
        <v>469</v>
      </c>
      <c r="BB1" t="s">
        <v>470</v>
      </c>
    </row>
    <row r="2" spans="1:67" x14ac:dyDescent="0.25">
      <c r="A2" t="s">
        <v>5</v>
      </c>
      <c r="B2" t="s">
        <v>6</v>
      </c>
      <c r="C2" t="s">
        <v>7</v>
      </c>
      <c r="D2" s="7">
        <v>88885</v>
      </c>
      <c r="E2">
        <v>5</v>
      </c>
      <c r="F2" s="5"/>
      <c r="H2" t="s">
        <v>32</v>
      </c>
      <c r="I2">
        <f>SUMIF(A:A,H2,D:D)</f>
        <v>5712528</v>
      </c>
      <c r="J2" s="8">
        <f>(ROW()-1) / 12</f>
        <v>8.3333333333333329E-2</v>
      </c>
      <c r="K2" s="8">
        <f>I2/SUM(D:D)</f>
        <v>0.10482364776138706</v>
      </c>
      <c r="L2" s="8">
        <f>L1+K2</f>
        <v>0.10482364776138706</v>
      </c>
      <c r="M2" t="str">
        <f>IF(L2&lt;=80%,"A",IF(L2&lt;=95%,"B","C"))</f>
        <v>A</v>
      </c>
      <c r="O2" t="s">
        <v>32</v>
      </c>
      <c r="P2">
        <f>COUNTIF(A:A,O2)</f>
        <v>99</v>
      </c>
      <c r="Q2" s="8">
        <f>(ROW()-1)/12</f>
        <v>8.3333333333333329E-2</v>
      </c>
      <c r="R2" s="8">
        <f>P2/1000</f>
        <v>9.9000000000000005E-2</v>
      </c>
      <c r="S2" s="8">
        <f>R2</f>
        <v>9.9000000000000005E-2</v>
      </c>
      <c r="T2" t="str">
        <f>IF(S2&lt;=80%,"A",IF(S2&lt;=95%,"B","C"))</f>
        <v>A</v>
      </c>
      <c r="W2" t="s">
        <v>6</v>
      </c>
      <c r="X2" s="11" t="s">
        <v>7</v>
      </c>
      <c r="Y2" s="7">
        <v>88885</v>
      </c>
      <c r="Z2" s="11" t="str">
        <f>MID(X2,1,4)&amp;"-"&amp;IF(MID(X2,6,1)*1=0,MID(X2,7,1),MID(X2,6,2))</f>
        <v>2023-9</v>
      </c>
      <c r="AA2" t="s">
        <v>173</v>
      </c>
      <c r="AB2">
        <f>SUMIFS($Y:$Y,$W:$W,$AA2,$Z:$Z,AB$1)</f>
        <v>0</v>
      </c>
      <c r="AC2">
        <f>SUMIFS($Y:$Y,$W:$W,$AA2,$Z:$Z,AC$1)</f>
        <v>0</v>
      </c>
      <c r="AD2">
        <f>SUMIFS($Y:$Y,$W:$W,$AA2,$Z:$Z,AD$1)</f>
        <v>93535</v>
      </c>
      <c r="AE2">
        <f>SUMIFS($Y:$Y,$W:$W,$AA2,$Z:$Z,AE$1)</f>
        <v>72215</v>
      </c>
      <c r="AF2">
        <f>SUMIFS($Y:$Y,$W:$W,$AA2,$Z:$Z,AF$1)</f>
        <v>162100</v>
      </c>
      <c r="AG2">
        <f>SUMIFS($Y:$Y,$W:$W,$AA2,$Z:$Z,AG$1)</f>
        <v>54038</v>
      </c>
      <c r="AH2">
        <f>SUMIFS($Y:$Y,$W:$W,$AA2,$Z:$Z,AH$1)</f>
        <v>31461</v>
      </c>
      <c r="AI2">
        <f>SUMIFS($Y:$Y,$W:$W,$AA2,$Z:$Z,AI$1)</f>
        <v>176184</v>
      </c>
      <c r="AJ2">
        <f>SUMIFS($Y:$Y,$W:$W,$AA2,$Z:$Z,AJ$1)</f>
        <v>275866</v>
      </c>
      <c r="AK2">
        <f>SUMIFS($Y:$Y,$W:$W,$AA2,$Z:$Z,AK$1)</f>
        <v>0</v>
      </c>
      <c r="AL2">
        <f>SUMIFS($Y:$Y,$W:$W,$AA2,$Z:$Z,AL$1)</f>
        <v>238062</v>
      </c>
      <c r="AM2">
        <f>SUMIFS($Y:$Y,$W:$W,$AA2,$Z:$Z,AM$1)</f>
        <v>132053</v>
      </c>
      <c r="AN2">
        <f>SUMIFS($Y:$Y,$W:$W,$AA2,$Z:$Z,AN$1)</f>
        <v>0</v>
      </c>
      <c r="AO2">
        <f>SUM(AB2:AN2)</f>
        <v>1235514</v>
      </c>
      <c r="AP2" s="8">
        <f t="shared" ref="AP2:AP33" si="0">(ROW()-1) / 198</f>
        <v>5.0505050505050509E-3</v>
      </c>
      <c r="AQ2" s="8">
        <f t="shared" ref="AQ2:AQ33" si="1">AO2/$AO$1</f>
        <v>2.2671413486334311E-2</v>
      </c>
      <c r="AR2" s="8">
        <f>AQ2</f>
        <v>2.2671413486334311E-2</v>
      </c>
      <c r="AS2" t="str">
        <f t="shared" ref="AS2:AS33" si="2">IF(AR2&lt;80%,"A",IF(AR2&lt;95.0000001%,"B","C"))</f>
        <v>A</v>
      </c>
      <c r="AT2" s="8">
        <f t="shared" ref="AT2:AT33" si="3">_xlfn.STDEV.P(AB2:AN2)/AVERAGE(AB2:AN2)</f>
        <v>0.9589573134735665</v>
      </c>
      <c r="AU2" t="str">
        <f t="shared" ref="AU2:AU33" si="4">IF(AT2&lt;10%,"X",IF(AT2&lt;25%,"Y","Z"))</f>
        <v>Z</v>
      </c>
      <c r="AZ2" s="12" t="s">
        <v>373</v>
      </c>
      <c r="BA2" t="s">
        <v>478</v>
      </c>
      <c r="BB2" t="s">
        <v>472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55373</v>
      </c>
      <c r="BL2">
        <v>0</v>
      </c>
      <c r="BM2">
        <v>0</v>
      </c>
      <c r="BN2">
        <v>0</v>
      </c>
      <c r="BO2">
        <v>0</v>
      </c>
    </row>
    <row r="3" spans="1:67" x14ac:dyDescent="0.25">
      <c r="A3" t="s">
        <v>8</v>
      </c>
      <c r="B3" t="s">
        <v>9</v>
      </c>
      <c r="C3" t="s">
        <v>7</v>
      </c>
      <c r="D3" s="7">
        <v>67379</v>
      </c>
      <c r="E3">
        <v>9</v>
      </c>
      <c r="H3" t="s">
        <v>27</v>
      </c>
      <c r="I3">
        <f>SUMIF(A:A,H3,D:D)</f>
        <v>5367389</v>
      </c>
      <c r="J3" s="8">
        <f>(ROW()-1) / 12</f>
        <v>0.16666666666666666</v>
      </c>
      <c r="K3" s="8">
        <f>I3/SUM(D:D)</f>
        <v>9.8490422092345722E-2</v>
      </c>
      <c r="L3" s="8">
        <f>L2+K3</f>
        <v>0.20331406985373279</v>
      </c>
      <c r="M3" t="str">
        <f>IF(L3&lt;=80%,"A",IF(L3&lt;=95%,"B","C"))</f>
        <v>A</v>
      </c>
      <c r="O3" t="s">
        <v>10</v>
      </c>
      <c r="P3">
        <f>COUNTIF(A:A,O3)</f>
        <v>96</v>
      </c>
      <c r="Q3" s="8">
        <f>(ROW()-1)/12</f>
        <v>0.16666666666666666</v>
      </c>
      <c r="R3" s="8">
        <f>P3/1000</f>
        <v>9.6000000000000002E-2</v>
      </c>
      <c r="S3" s="8">
        <f>R3+S2</f>
        <v>0.19500000000000001</v>
      </c>
      <c r="T3" t="str">
        <f>IF(S3&lt;=80%,"A",IF(S3&lt;=95%,"B","C"))</f>
        <v>A</v>
      </c>
      <c r="W3" t="s">
        <v>9</v>
      </c>
      <c r="X3" s="11" t="s">
        <v>7</v>
      </c>
      <c r="Y3" s="7">
        <v>67379</v>
      </c>
      <c r="Z3" s="11" t="str">
        <f t="shared" ref="Z3:Z66" si="5">MID(X3,1,4)&amp;"-"&amp;IF(MID(X3,6,1)*1=0,MID(X3,7,1),MID(X3,6,2))</f>
        <v>2023-9</v>
      </c>
      <c r="AA3" t="s">
        <v>53</v>
      </c>
      <c r="AB3">
        <f>SUMIFS($Y:$Y,$W:$W,$AA3,$Z:$Z,AB$1)</f>
        <v>151967</v>
      </c>
      <c r="AC3">
        <f>SUMIFS($Y:$Y,$W:$W,$AA3,$Z:$Z,AC$1)</f>
        <v>114388</v>
      </c>
      <c r="AD3">
        <f>SUMIFS($Y:$Y,$W:$W,$AA3,$Z:$Z,AD$1)</f>
        <v>82180</v>
      </c>
      <c r="AE3">
        <f>SUMIFS($Y:$Y,$W:$W,$AA3,$Z:$Z,AE$1)</f>
        <v>0</v>
      </c>
      <c r="AF3">
        <f>SUMIFS($Y:$Y,$W:$W,$AA3,$Z:$Z,AF$1)</f>
        <v>0</v>
      </c>
      <c r="AG3">
        <f>SUMIFS($Y:$Y,$W:$W,$AA3,$Z:$Z,AG$1)</f>
        <v>109155</v>
      </c>
      <c r="AH3">
        <f>SUMIFS($Y:$Y,$W:$W,$AA3,$Z:$Z,AH$1)</f>
        <v>0</v>
      </c>
      <c r="AI3">
        <f>SUMIFS($Y:$Y,$W:$W,$AA3,$Z:$Z,AI$1)</f>
        <v>0</v>
      </c>
      <c r="AJ3">
        <f>SUMIFS($Y:$Y,$W:$W,$AA3,$Z:$Z,AJ$1)</f>
        <v>65547</v>
      </c>
      <c r="AK3">
        <f>SUMIFS($Y:$Y,$W:$W,$AA3,$Z:$Z,AK$1)</f>
        <v>223337</v>
      </c>
      <c r="AL3">
        <f>SUMIFS($Y:$Y,$W:$W,$AA3,$Z:$Z,AL$1)</f>
        <v>98650</v>
      </c>
      <c r="AM3">
        <f>SUMIFS($Y:$Y,$W:$W,$AA3,$Z:$Z,AM$1)</f>
        <v>111806</v>
      </c>
      <c r="AN3">
        <f>SUMIFS($Y:$Y,$W:$W,$AA3,$Z:$Z,AN$1)</f>
        <v>0</v>
      </c>
      <c r="AO3">
        <f>SUM(AB3:AN3)</f>
        <v>957030</v>
      </c>
      <c r="AP3" s="8">
        <f t="shared" si="0"/>
        <v>1.0101010101010102E-2</v>
      </c>
      <c r="AQ3" s="8">
        <f>AO3/$AO$1</f>
        <v>1.756129258658868E-2</v>
      </c>
      <c r="AR3" s="8">
        <f t="shared" ref="AR3:AR34" si="6">AR2+AQ3</f>
        <v>4.0232706072922994E-2</v>
      </c>
      <c r="AS3" t="str">
        <f t="shared" si="2"/>
        <v>A</v>
      </c>
      <c r="AT3" s="8">
        <f>_xlfn.STDEV.P(AB3:AN3)/AVERAGE(AB3:AN3)</f>
        <v>0.92896833350867414</v>
      </c>
      <c r="AU3" t="str">
        <f t="shared" si="4"/>
        <v>Z</v>
      </c>
      <c r="AW3" t="s">
        <v>475</v>
      </c>
      <c r="AX3" t="s">
        <v>473</v>
      </c>
      <c r="AY3" t="s">
        <v>472</v>
      </c>
      <c r="AZ3" t="s">
        <v>165</v>
      </c>
      <c r="BA3" t="s">
        <v>471</v>
      </c>
      <c r="BB3" t="s">
        <v>472</v>
      </c>
      <c r="BC3">
        <v>0</v>
      </c>
      <c r="BD3">
        <v>0</v>
      </c>
      <c r="BE3">
        <v>12159</v>
      </c>
      <c r="BF3">
        <v>0</v>
      </c>
      <c r="BG3">
        <v>83184</v>
      </c>
      <c r="BH3">
        <v>77111</v>
      </c>
      <c r="BI3">
        <v>0</v>
      </c>
      <c r="BJ3">
        <v>0</v>
      </c>
      <c r="BK3">
        <v>0</v>
      </c>
      <c r="BL3">
        <v>0</v>
      </c>
      <c r="BM3">
        <v>0</v>
      </c>
      <c r="BN3">
        <v>59114</v>
      </c>
      <c r="BO3">
        <v>0</v>
      </c>
    </row>
    <row r="4" spans="1:67" x14ac:dyDescent="0.25">
      <c r="A4" t="s">
        <v>10</v>
      </c>
      <c r="B4" t="s">
        <v>11</v>
      </c>
      <c r="C4" t="s">
        <v>7</v>
      </c>
      <c r="D4" s="7">
        <v>11250</v>
      </c>
      <c r="E4">
        <v>8</v>
      </c>
      <c r="H4" t="s">
        <v>17</v>
      </c>
      <c r="I4">
        <f>SUMIF(A:A,H4,D:D)</f>
        <v>5081350</v>
      </c>
      <c r="J4" s="8">
        <f>(ROW()-1) / 12</f>
        <v>0.25</v>
      </c>
      <c r="K4" s="8">
        <f>I4/SUM(D:D)</f>
        <v>9.324166858391314E-2</v>
      </c>
      <c r="L4" s="8">
        <f>L3+K4</f>
        <v>0.29655573843764593</v>
      </c>
      <c r="M4" t="str">
        <f>IF(L4&lt;=80%,"A",IF(L4&lt;=95%,"B","C"))</f>
        <v>A</v>
      </c>
      <c r="O4" t="s">
        <v>17</v>
      </c>
      <c r="P4">
        <f>COUNTIF(A:A,O4)</f>
        <v>95</v>
      </c>
      <c r="Q4" s="8">
        <f>(ROW()-1)/12</f>
        <v>0.25</v>
      </c>
      <c r="R4" s="8">
        <f>P4/1000</f>
        <v>9.5000000000000001E-2</v>
      </c>
      <c r="S4" s="8">
        <f>R4+S3</f>
        <v>0.29000000000000004</v>
      </c>
      <c r="T4" t="str">
        <f>IF(S4&lt;=80%,"A",IF(S4&lt;=95%,"B","C"))</f>
        <v>A</v>
      </c>
      <c r="W4" t="s">
        <v>11</v>
      </c>
      <c r="X4" s="11" t="s">
        <v>7</v>
      </c>
      <c r="Y4" s="7">
        <v>11250</v>
      </c>
      <c r="Z4" s="11" t="str">
        <f t="shared" si="5"/>
        <v>2023-9</v>
      </c>
      <c r="AA4" t="s">
        <v>30</v>
      </c>
      <c r="AB4">
        <f>SUMIFS($Y:$Y,$W:$W,$AA4,$Z:$Z,AB$1)</f>
        <v>43060</v>
      </c>
      <c r="AC4">
        <f>SUMIFS($Y:$Y,$W:$W,$AA4,$Z:$Z,AC$1)</f>
        <v>246347</v>
      </c>
      <c r="AD4">
        <f>SUMIFS($Y:$Y,$W:$W,$AA4,$Z:$Z,AD$1)</f>
        <v>0</v>
      </c>
      <c r="AE4">
        <f>SUMIFS($Y:$Y,$W:$W,$AA4,$Z:$Z,AE$1)</f>
        <v>159239</v>
      </c>
      <c r="AF4">
        <f>SUMIFS($Y:$Y,$W:$W,$AA4,$Z:$Z,AF$1)</f>
        <v>86564</v>
      </c>
      <c r="AG4">
        <f>SUMIFS($Y:$Y,$W:$W,$AA4,$Z:$Z,AG$1)</f>
        <v>14224</v>
      </c>
      <c r="AH4">
        <f>SUMIFS($Y:$Y,$W:$W,$AA4,$Z:$Z,AH$1)</f>
        <v>39792</v>
      </c>
      <c r="AI4">
        <f>SUMIFS($Y:$Y,$W:$W,$AA4,$Z:$Z,AI$1)</f>
        <v>0</v>
      </c>
      <c r="AJ4">
        <f>SUMIFS($Y:$Y,$W:$W,$AA4,$Z:$Z,AJ$1)</f>
        <v>63201</v>
      </c>
      <c r="AK4">
        <f>SUMIFS($Y:$Y,$W:$W,$AA4,$Z:$Z,AK$1)</f>
        <v>62877</v>
      </c>
      <c r="AL4">
        <f>SUMIFS($Y:$Y,$W:$W,$AA4,$Z:$Z,AL$1)</f>
        <v>148246</v>
      </c>
      <c r="AM4">
        <f>SUMIFS($Y:$Y,$W:$W,$AA4,$Z:$Z,AM$1)</f>
        <v>0</v>
      </c>
      <c r="AN4">
        <f>SUMIFS($Y:$Y,$W:$W,$AA4,$Z:$Z,AN$1)</f>
        <v>0</v>
      </c>
      <c r="AO4">
        <f>SUM(AB4:AN4)</f>
        <v>863550</v>
      </c>
      <c r="AP4" s="8">
        <f t="shared" si="0"/>
        <v>1.5151515151515152E-2</v>
      </c>
      <c r="AQ4" s="8">
        <f t="shared" si="1"/>
        <v>1.5845954894986213E-2</v>
      </c>
      <c r="AR4" s="8">
        <f t="shared" si="6"/>
        <v>5.6078660967909207E-2</v>
      </c>
      <c r="AS4" t="str">
        <f t="shared" si="2"/>
        <v>A</v>
      </c>
      <c r="AT4" s="8">
        <f t="shared" si="3"/>
        <v>1.1026095838216035</v>
      </c>
      <c r="AU4" t="str">
        <f t="shared" si="4"/>
        <v>Z</v>
      </c>
      <c r="AV4" t="s">
        <v>471</v>
      </c>
      <c r="AW4">
        <f>SUMIFS($AO:$AO,$AS:$AS,$AV4,$AU:$AU,AW$3)</f>
        <v>0</v>
      </c>
      <c r="AX4">
        <f>SUMIFS($AO:$AO,$AS:$AS,$AV4,$AU:$AU,AX$3)</f>
        <v>0</v>
      </c>
      <c r="AY4">
        <f>SUMIFS($AO:$AO,$AS:$AS,$AV4,$AU:$AU,AY$3)</f>
        <v>43586971</v>
      </c>
      <c r="AZ4" t="s">
        <v>168</v>
      </c>
      <c r="BA4" t="s">
        <v>478</v>
      </c>
      <c r="BB4" t="s">
        <v>472</v>
      </c>
      <c r="BC4">
        <v>0</v>
      </c>
      <c r="BD4">
        <v>0</v>
      </c>
      <c r="BE4">
        <v>76798</v>
      </c>
      <c r="BF4">
        <v>0</v>
      </c>
      <c r="BG4">
        <v>16401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</row>
    <row r="5" spans="1:67" x14ac:dyDescent="0.25">
      <c r="A5" t="s">
        <v>12</v>
      </c>
      <c r="B5" t="s">
        <v>13</v>
      </c>
      <c r="C5" t="s">
        <v>7</v>
      </c>
      <c r="D5" s="7">
        <v>76223</v>
      </c>
      <c r="E5">
        <v>7</v>
      </c>
      <c r="H5" t="s">
        <v>23</v>
      </c>
      <c r="I5">
        <f>SUMIF(A:A,H5,D:D)</f>
        <v>5002098</v>
      </c>
      <c r="J5" s="8">
        <f>(ROW()-1) / 12</f>
        <v>0.33333333333333331</v>
      </c>
      <c r="K5" s="8">
        <f>I5/SUM(D:D)</f>
        <v>9.178741160129783E-2</v>
      </c>
      <c r="L5" s="8">
        <f>L4+K5</f>
        <v>0.38834315003894376</v>
      </c>
      <c r="M5" t="str">
        <f>IF(L5&lt;=80%,"A",IF(L5&lt;=95%,"B","C"))</f>
        <v>A</v>
      </c>
      <c r="O5" t="s">
        <v>27</v>
      </c>
      <c r="P5">
        <f>COUNTIF(A:A,O5)</f>
        <v>89</v>
      </c>
      <c r="Q5" s="8">
        <f>(ROW()-1)/12</f>
        <v>0.33333333333333331</v>
      </c>
      <c r="R5" s="8">
        <f>P5/1000</f>
        <v>8.8999999999999996E-2</v>
      </c>
      <c r="S5" s="8">
        <f>R5+S4</f>
        <v>0.379</v>
      </c>
      <c r="T5" t="str">
        <f>IF(S5&lt;=80%,"A",IF(S5&lt;=95%,"B","C"))</f>
        <v>A</v>
      </c>
      <c r="W5" t="s">
        <v>13</v>
      </c>
      <c r="X5" s="11" t="s">
        <v>7</v>
      </c>
      <c r="Y5" s="7">
        <v>76223</v>
      </c>
      <c r="Z5" s="11" t="str">
        <f t="shared" si="5"/>
        <v>2023-9</v>
      </c>
      <c r="AA5" t="s">
        <v>183</v>
      </c>
      <c r="AB5">
        <f>SUMIFS($Y:$Y,$W:$W,$AA5,$Z:$Z,AB$1)</f>
        <v>0</v>
      </c>
      <c r="AC5">
        <f>SUMIFS($Y:$Y,$W:$W,$AA5,$Z:$Z,AC$1)</f>
        <v>0</v>
      </c>
      <c r="AD5">
        <f>SUMIFS($Y:$Y,$W:$W,$AA5,$Z:$Z,AD$1)</f>
        <v>18479</v>
      </c>
      <c r="AE5">
        <f>SUMIFS($Y:$Y,$W:$W,$AA5,$Z:$Z,AE$1)</f>
        <v>0</v>
      </c>
      <c r="AF5">
        <f>SUMIFS($Y:$Y,$W:$W,$AA5,$Z:$Z,AF$1)</f>
        <v>187816</v>
      </c>
      <c r="AG5">
        <f>SUMIFS($Y:$Y,$W:$W,$AA5,$Z:$Z,AG$1)</f>
        <v>0</v>
      </c>
      <c r="AH5">
        <f>SUMIFS($Y:$Y,$W:$W,$AA5,$Z:$Z,AH$1)</f>
        <v>0</v>
      </c>
      <c r="AI5">
        <f>SUMIFS($Y:$Y,$W:$W,$AA5,$Z:$Z,AI$1)</f>
        <v>112157</v>
      </c>
      <c r="AJ5">
        <f>SUMIFS($Y:$Y,$W:$W,$AA5,$Z:$Z,AJ$1)</f>
        <v>282927</v>
      </c>
      <c r="AK5">
        <f>SUMIFS($Y:$Y,$W:$W,$AA5,$Z:$Z,AK$1)</f>
        <v>0</v>
      </c>
      <c r="AL5">
        <f>SUMIFS($Y:$Y,$W:$W,$AA5,$Z:$Z,AL$1)</f>
        <v>121694</v>
      </c>
      <c r="AM5">
        <f>SUMIFS($Y:$Y,$W:$W,$AA5,$Z:$Z,AM$1)</f>
        <v>0</v>
      </c>
      <c r="AN5">
        <f>SUMIFS($Y:$Y,$W:$W,$AA5,$Z:$Z,AN$1)</f>
        <v>0</v>
      </c>
      <c r="AO5">
        <f>SUM(AB5:AN5)</f>
        <v>723073</v>
      </c>
      <c r="AP5" s="8">
        <f t="shared" si="0"/>
        <v>2.0202020202020204E-2</v>
      </c>
      <c r="AQ5" s="8">
        <f t="shared" si="1"/>
        <v>1.3268232463415396E-2</v>
      </c>
      <c r="AR5" s="8">
        <f t="shared" si="6"/>
        <v>6.9346893431324608E-2</v>
      </c>
      <c r="AS5" t="str">
        <f t="shared" si="2"/>
        <v>A</v>
      </c>
      <c r="AT5" s="8">
        <f t="shared" si="3"/>
        <v>1.5990393112270977</v>
      </c>
      <c r="AU5" t="str">
        <f t="shared" si="4"/>
        <v>Z</v>
      </c>
      <c r="AV5" t="s">
        <v>474</v>
      </c>
      <c r="AW5">
        <f t="shared" ref="AW5:AY6" si="7">SUMIFS($AO:$AO,$AS:$AS,$AV5,$AU:$AU,AW$3)</f>
        <v>0</v>
      </c>
      <c r="AX5">
        <f t="shared" si="7"/>
        <v>0</v>
      </c>
      <c r="AY5">
        <f t="shared" si="7"/>
        <v>8069389</v>
      </c>
      <c r="AZ5" t="s">
        <v>119</v>
      </c>
      <c r="BA5" t="s">
        <v>471</v>
      </c>
      <c r="BB5" t="s">
        <v>472</v>
      </c>
      <c r="BC5">
        <v>0</v>
      </c>
      <c r="BD5">
        <v>76055</v>
      </c>
      <c r="BE5">
        <v>0</v>
      </c>
      <c r="BF5">
        <v>76503</v>
      </c>
      <c r="BG5">
        <v>0</v>
      </c>
      <c r="BH5">
        <v>0</v>
      </c>
      <c r="BI5">
        <v>55981</v>
      </c>
      <c r="BJ5">
        <v>55740</v>
      </c>
      <c r="BK5">
        <v>0</v>
      </c>
      <c r="BL5">
        <v>0</v>
      </c>
      <c r="BM5">
        <v>26803</v>
      </c>
      <c r="BN5">
        <v>0</v>
      </c>
      <c r="BO5">
        <v>0</v>
      </c>
    </row>
    <row r="6" spans="1:67" x14ac:dyDescent="0.25">
      <c r="A6" t="s">
        <v>14</v>
      </c>
      <c r="B6" t="s">
        <v>15</v>
      </c>
      <c r="C6" t="s">
        <v>16</v>
      </c>
      <c r="D6" s="7">
        <v>13125</v>
      </c>
      <c r="E6">
        <v>5</v>
      </c>
      <c r="H6" t="s">
        <v>10</v>
      </c>
      <c r="I6">
        <f>SUMIF(A:A,H6,D:D)</f>
        <v>4929070</v>
      </c>
      <c r="J6" s="8">
        <f>(ROW()-1) / 12</f>
        <v>0.41666666666666669</v>
      </c>
      <c r="K6" s="8">
        <f>I6/SUM(D:D)</f>
        <v>9.0447363666527336E-2</v>
      </c>
      <c r="L6" s="8">
        <f>L5+K6</f>
        <v>0.4787905137054711</v>
      </c>
      <c r="M6" t="str">
        <f>IF(L6&lt;=80%,"A",IF(L6&lt;=95%,"B","C"))</f>
        <v>A</v>
      </c>
      <c r="O6" t="s">
        <v>23</v>
      </c>
      <c r="P6">
        <f>COUNTIF(A:A,O6)</f>
        <v>86</v>
      </c>
      <c r="Q6" s="8">
        <f>(ROW()-1)/12</f>
        <v>0.41666666666666669</v>
      </c>
      <c r="R6" s="8">
        <f>P6/1000</f>
        <v>8.5999999999999993E-2</v>
      </c>
      <c r="S6" s="8">
        <f>R6+S5</f>
        <v>0.46499999999999997</v>
      </c>
      <c r="T6" t="str">
        <f>IF(S6&lt;=80%,"A",IF(S6&lt;=95%,"B","C"))</f>
        <v>A</v>
      </c>
      <c r="W6" t="s">
        <v>15</v>
      </c>
      <c r="X6" s="11" t="s">
        <v>16</v>
      </c>
      <c r="Y6" s="7">
        <v>13125</v>
      </c>
      <c r="Z6" s="11" t="str">
        <f t="shared" si="5"/>
        <v>2023-9</v>
      </c>
      <c r="AA6" t="s">
        <v>41</v>
      </c>
      <c r="AB6">
        <f>SUMIFS($Y:$Y,$W:$W,$AA6,$Z:$Z,AB$1)</f>
        <v>101395</v>
      </c>
      <c r="AC6">
        <f>SUMIFS($Y:$Y,$W:$W,$AA6,$Z:$Z,AC$1)</f>
        <v>43215</v>
      </c>
      <c r="AD6">
        <f>SUMIFS($Y:$Y,$W:$W,$AA6,$Z:$Z,AD$1)</f>
        <v>0</v>
      </c>
      <c r="AE6">
        <f>SUMIFS($Y:$Y,$W:$W,$AA6,$Z:$Z,AE$1)</f>
        <v>0</v>
      </c>
      <c r="AF6">
        <f>SUMIFS($Y:$Y,$W:$W,$AA6,$Z:$Z,AF$1)</f>
        <v>160275</v>
      </c>
      <c r="AG6">
        <f>SUMIFS($Y:$Y,$W:$W,$AA6,$Z:$Z,AG$1)</f>
        <v>149240</v>
      </c>
      <c r="AH6">
        <f>SUMIFS($Y:$Y,$W:$W,$AA6,$Z:$Z,AH$1)</f>
        <v>0</v>
      </c>
      <c r="AI6">
        <f>SUMIFS($Y:$Y,$W:$W,$AA6,$Z:$Z,AI$1)</f>
        <v>0</v>
      </c>
      <c r="AJ6">
        <f>SUMIFS($Y:$Y,$W:$W,$AA6,$Z:$Z,AJ$1)</f>
        <v>0</v>
      </c>
      <c r="AK6">
        <f>SUMIFS($Y:$Y,$W:$W,$AA6,$Z:$Z,AK$1)</f>
        <v>87543</v>
      </c>
      <c r="AL6">
        <f>SUMIFS($Y:$Y,$W:$W,$AA6,$Z:$Z,AL$1)</f>
        <v>90959</v>
      </c>
      <c r="AM6">
        <f>SUMIFS($Y:$Y,$W:$W,$AA6,$Z:$Z,AM$1)</f>
        <v>31146</v>
      </c>
      <c r="AN6">
        <f>SUMIFS($Y:$Y,$W:$W,$AA6,$Z:$Z,AN$1)</f>
        <v>0</v>
      </c>
      <c r="AO6">
        <f>SUM(AB6:AN6)</f>
        <v>663773</v>
      </c>
      <c r="AP6" s="8">
        <f t="shared" si="0"/>
        <v>2.5252525252525252E-2</v>
      </c>
      <c r="AQ6" s="8">
        <f t="shared" si="1"/>
        <v>1.2180090346256363E-2</v>
      </c>
      <c r="AR6" s="8">
        <f t="shared" si="6"/>
        <v>8.1526983777580969E-2</v>
      </c>
      <c r="AS6" t="str">
        <f t="shared" si="2"/>
        <v>A</v>
      </c>
      <c r="AT6" s="8">
        <f t="shared" si="3"/>
        <v>1.1280148088381678</v>
      </c>
      <c r="AU6" t="str">
        <f t="shared" si="4"/>
        <v>Z</v>
      </c>
      <c r="AV6" t="s">
        <v>478</v>
      </c>
      <c r="AW6">
        <f t="shared" si="7"/>
        <v>0</v>
      </c>
      <c r="AX6">
        <f t="shared" si="7"/>
        <v>0</v>
      </c>
      <c r="AY6">
        <f t="shared" si="7"/>
        <v>2840198</v>
      </c>
      <c r="AZ6" t="s">
        <v>84</v>
      </c>
      <c r="BA6" t="s">
        <v>474</v>
      </c>
      <c r="BB6" t="s">
        <v>472</v>
      </c>
      <c r="BC6">
        <v>31254</v>
      </c>
      <c r="BD6">
        <v>0</v>
      </c>
      <c r="BE6">
        <v>0</v>
      </c>
      <c r="BF6">
        <v>0</v>
      </c>
      <c r="BG6">
        <v>91876</v>
      </c>
      <c r="BH6">
        <v>0</v>
      </c>
      <c r="BI6">
        <v>13240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</row>
    <row r="7" spans="1:67" x14ac:dyDescent="0.25">
      <c r="A7" t="s">
        <v>17</v>
      </c>
      <c r="B7" t="s">
        <v>18</v>
      </c>
      <c r="C7" t="s">
        <v>16</v>
      </c>
      <c r="D7" s="7">
        <v>39172</v>
      </c>
      <c r="E7">
        <v>9</v>
      </c>
      <c r="H7" t="s">
        <v>8</v>
      </c>
      <c r="I7">
        <f>SUMIF(A:A,H7,D:D)</f>
        <v>4606392</v>
      </c>
      <c r="J7" s="8">
        <f>(ROW()-1) / 12</f>
        <v>0.5</v>
      </c>
      <c r="K7" s="8">
        <f>I7/SUM(D:D)</f>
        <v>8.4526292467865582E-2</v>
      </c>
      <c r="L7" s="8">
        <f>L6+K7</f>
        <v>0.56331680617333668</v>
      </c>
      <c r="M7" t="str">
        <f>IF(L7&lt;=80%,"A",IF(L7&lt;=95%,"B","C"))</f>
        <v>A</v>
      </c>
      <c r="O7" t="s">
        <v>5</v>
      </c>
      <c r="P7">
        <f>COUNTIF(A:A,O7)</f>
        <v>84</v>
      </c>
      <c r="Q7" s="8">
        <f>(ROW()-1)/12</f>
        <v>0.5</v>
      </c>
      <c r="R7" s="8">
        <f>P7/1000</f>
        <v>8.4000000000000005E-2</v>
      </c>
      <c r="S7" s="8">
        <f>R7+S6</f>
        <v>0.54899999999999993</v>
      </c>
      <c r="T7" t="str">
        <f>IF(S7&lt;=80%,"A",IF(S7&lt;=95%,"B","C"))</f>
        <v>A</v>
      </c>
      <c r="W7" t="s">
        <v>18</v>
      </c>
      <c r="X7" s="11" t="s">
        <v>16</v>
      </c>
      <c r="Y7" s="7">
        <v>39172</v>
      </c>
      <c r="Z7" s="11" t="str">
        <f t="shared" si="5"/>
        <v>2023-9</v>
      </c>
      <c r="AA7" t="s">
        <v>48</v>
      </c>
      <c r="AB7">
        <f>SUMIFS($Y:$Y,$W:$W,$AA7,$Z:$Z,AB$1)</f>
        <v>76797</v>
      </c>
      <c r="AC7">
        <f>SUMIFS($Y:$Y,$W:$W,$AA7,$Z:$Z,AC$1)</f>
        <v>0</v>
      </c>
      <c r="AD7">
        <f>SUMIFS($Y:$Y,$W:$W,$AA7,$Z:$Z,AD$1)</f>
        <v>179924</v>
      </c>
      <c r="AE7">
        <f>SUMIFS($Y:$Y,$W:$W,$AA7,$Z:$Z,AE$1)</f>
        <v>27487</v>
      </c>
      <c r="AF7">
        <f>SUMIFS($Y:$Y,$W:$W,$AA7,$Z:$Z,AF$1)</f>
        <v>52204</v>
      </c>
      <c r="AG7">
        <f>SUMIFS($Y:$Y,$W:$W,$AA7,$Z:$Z,AG$1)</f>
        <v>40137</v>
      </c>
      <c r="AH7">
        <f>SUMIFS($Y:$Y,$W:$W,$AA7,$Z:$Z,AH$1)</f>
        <v>36362</v>
      </c>
      <c r="AI7">
        <f>SUMIFS($Y:$Y,$W:$W,$AA7,$Z:$Z,AI$1)</f>
        <v>98023</v>
      </c>
      <c r="AJ7">
        <f>SUMIFS($Y:$Y,$W:$W,$AA7,$Z:$Z,AJ$1)</f>
        <v>96838</v>
      </c>
      <c r="AK7">
        <f>SUMIFS($Y:$Y,$W:$W,$AA7,$Z:$Z,AK$1)</f>
        <v>0</v>
      </c>
      <c r="AL7">
        <f>SUMIFS($Y:$Y,$W:$W,$AA7,$Z:$Z,AL$1)</f>
        <v>52164</v>
      </c>
      <c r="AM7">
        <f>SUMIFS($Y:$Y,$W:$W,$AA7,$Z:$Z,AM$1)</f>
        <v>0</v>
      </c>
      <c r="AN7">
        <f>SUMIFS($Y:$Y,$W:$W,$AA7,$Z:$Z,AN$1)</f>
        <v>0</v>
      </c>
      <c r="AO7">
        <f>SUM(AB7:AN7)</f>
        <v>659936</v>
      </c>
      <c r="AP7" s="8">
        <f t="shared" si="0"/>
        <v>3.0303030303030304E-2</v>
      </c>
      <c r="AQ7" s="8">
        <f t="shared" si="1"/>
        <v>1.2109682229839176E-2</v>
      </c>
      <c r="AR7" s="8">
        <f t="shared" si="6"/>
        <v>9.3636666007420141E-2</v>
      </c>
      <c r="AS7" t="str">
        <f t="shared" si="2"/>
        <v>A</v>
      </c>
      <c r="AT7" s="8">
        <f t="shared" si="3"/>
        <v>0.99084186581087874</v>
      </c>
      <c r="AU7" t="str">
        <f t="shared" si="4"/>
        <v>Z</v>
      </c>
      <c r="AZ7" t="s">
        <v>197</v>
      </c>
      <c r="BA7" t="s">
        <v>471</v>
      </c>
      <c r="BB7" t="s">
        <v>472</v>
      </c>
      <c r="BC7">
        <v>0</v>
      </c>
      <c r="BD7">
        <v>0</v>
      </c>
      <c r="BE7">
        <v>116081</v>
      </c>
      <c r="BF7">
        <v>0</v>
      </c>
      <c r="BG7">
        <v>0</v>
      </c>
      <c r="BH7">
        <v>0</v>
      </c>
      <c r="BI7">
        <v>63014</v>
      </c>
      <c r="BJ7">
        <v>0</v>
      </c>
      <c r="BK7">
        <v>0</v>
      </c>
      <c r="BL7">
        <v>0</v>
      </c>
      <c r="BM7">
        <v>84511</v>
      </c>
      <c r="BN7">
        <v>72632</v>
      </c>
      <c r="BO7">
        <v>0</v>
      </c>
    </row>
    <row r="8" spans="1:67" x14ac:dyDescent="0.25">
      <c r="A8" t="s">
        <v>5</v>
      </c>
      <c r="B8" t="s">
        <v>19</v>
      </c>
      <c r="C8" t="s">
        <v>16</v>
      </c>
      <c r="D8" s="7">
        <v>12495</v>
      </c>
      <c r="E8">
        <v>7</v>
      </c>
      <c r="H8" t="s">
        <v>14</v>
      </c>
      <c r="I8">
        <f>SUMIF(A:A,H8,D:D)</f>
        <v>4215377</v>
      </c>
      <c r="J8" s="8">
        <f>(ROW()-1) / 12</f>
        <v>0.58333333333333337</v>
      </c>
      <c r="K8" s="8">
        <f>I8/SUM(D:D)</f>
        <v>7.7351252165320239E-2</v>
      </c>
      <c r="L8" s="8">
        <f>L7+K8</f>
        <v>0.64066805833865692</v>
      </c>
      <c r="M8" t="str">
        <f>IF(L8&lt;=80%,"A",IF(L8&lt;=95%,"B","C"))</f>
        <v>A</v>
      </c>
      <c r="O8" t="s">
        <v>14</v>
      </c>
      <c r="P8">
        <f>COUNTIF(A:A,O8)</f>
        <v>83</v>
      </c>
      <c r="Q8" s="8">
        <f>(ROW()-1)/12</f>
        <v>0.58333333333333337</v>
      </c>
      <c r="R8" s="8">
        <f>P8/1000</f>
        <v>8.3000000000000004E-2</v>
      </c>
      <c r="S8" s="8">
        <f>R8+S7</f>
        <v>0.6319999999999999</v>
      </c>
      <c r="T8" t="str">
        <f>IF(S8&lt;=80%,"A",IF(S8&lt;=95%,"B","C"))</f>
        <v>A</v>
      </c>
      <c r="W8" t="s">
        <v>19</v>
      </c>
      <c r="X8" s="11" t="s">
        <v>16</v>
      </c>
      <c r="Y8" s="7">
        <v>12495</v>
      </c>
      <c r="Z8" s="11" t="str">
        <f t="shared" si="5"/>
        <v>2023-9</v>
      </c>
      <c r="AA8" t="s">
        <v>90</v>
      </c>
      <c r="AB8">
        <f>SUMIFS($Y:$Y,$W:$W,$AA8,$Z:$Z,AB$1)</f>
        <v>23967</v>
      </c>
      <c r="AC8">
        <f>SUMIFS($Y:$Y,$W:$W,$AA8,$Z:$Z,AC$1)</f>
        <v>70450</v>
      </c>
      <c r="AD8">
        <f>SUMIFS($Y:$Y,$W:$W,$AA8,$Z:$Z,AD$1)</f>
        <v>57313</v>
      </c>
      <c r="AE8">
        <f>SUMIFS($Y:$Y,$W:$W,$AA8,$Z:$Z,AE$1)</f>
        <v>71491</v>
      </c>
      <c r="AF8">
        <f>SUMIFS($Y:$Y,$W:$W,$AA8,$Z:$Z,AF$1)</f>
        <v>0</v>
      </c>
      <c r="AG8">
        <f>SUMIFS($Y:$Y,$W:$W,$AA8,$Z:$Z,AG$1)</f>
        <v>0</v>
      </c>
      <c r="AH8">
        <f>SUMIFS($Y:$Y,$W:$W,$AA8,$Z:$Z,AH$1)</f>
        <v>0</v>
      </c>
      <c r="AI8">
        <f>SUMIFS($Y:$Y,$W:$W,$AA8,$Z:$Z,AI$1)</f>
        <v>84086</v>
      </c>
      <c r="AJ8">
        <f>SUMIFS($Y:$Y,$W:$W,$AA8,$Z:$Z,AJ$1)</f>
        <v>248712</v>
      </c>
      <c r="AK8">
        <f>SUMIFS($Y:$Y,$W:$W,$AA8,$Z:$Z,AK$1)</f>
        <v>0</v>
      </c>
      <c r="AL8">
        <f>SUMIFS($Y:$Y,$W:$W,$AA8,$Z:$Z,AL$1)</f>
        <v>0</v>
      </c>
      <c r="AM8">
        <f>SUMIFS($Y:$Y,$W:$W,$AA8,$Z:$Z,AM$1)</f>
        <v>89010</v>
      </c>
      <c r="AN8">
        <f>SUMIFS($Y:$Y,$W:$W,$AA8,$Z:$Z,AN$1)</f>
        <v>0</v>
      </c>
      <c r="AO8">
        <f>SUM(AB8:AN8)</f>
        <v>645029</v>
      </c>
      <c r="AP8" s="8">
        <f t="shared" si="0"/>
        <v>3.5353535353535352E-2</v>
      </c>
      <c r="AQ8" s="8">
        <f t="shared" si="1"/>
        <v>1.1836142018363803E-2</v>
      </c>
      <c r="AR8" s="8">
        <f t="shared" si="6"/>
        <v>0.10547280802578395</v>
      </c>
      <c r="AS8" t="str">
        <f t="shared" si="2"/>
        <v>A</v>
      </c>
      <c r="AT8" s="8">
        <f t="shared" si="3"/>
        <v>1.35520569376987</v>
      </c>
      <c r="AU8" t="str">
        <f t="shared" si="4"/>
        <v>Z</v>
      </c>
      <c r="AZ8" t="s">
        <v>157</v>
      </c>
      <c r="BA8" t="s">
        <v>474</v>
      </c>
      <c r="BB8" t="s">
        <v>472</v>
      </c>
      <c r="BC8">
        <v>0</v>
      </c>
      <c r="BD8">
        <v>98169</v>
      </c>
      <c r="BE8">
        <v>0</v>
      </c>
      <c r="BF8">
        <v>0</v>
      </c>
      <c r="BG8">
        <v>0</v>
      </c>
      <c r="BH8">
        <v>0</v>
      </c>
      <c r="BI8">
        <v>0</v>
      </c>
      <c r="BJ8">
        <v>33078</v>
      </c>
      <c r="BK8">
        <v>36650</v>
      </c>
      <c r="BL8">
        <v>0</v>
      </c>
      <c r="BM8">
        <v>51902</v>
      </c>
      <c r="BN8">
        <v>0</v>
      </c>
      <c r="BO8">
        <v>0</v>
      </c>
    </row>
    <row r="9" spans="1:67" x14ac:dyDescent="0.25">
      <c r="A9" t="s">
        <v>20</v>
      </c>
      <c r="B9" t="s">
        <v>21</v>
      </c>
      <c r="C9" t="s">
        <v>16</v>
      </c>
      <c r="D9" s="7">
        <v>96127</v>
      </c>
      <c r="E9">
        <v>1</v>
      </c>
      <c r="H9" t="s">
        <v>5</v>
      </c>
      <c r="I9">
        <f>SUMIF(A:A,H9,D:D)</f>
        <v>4205293</v>
      </c>
      <c r="J9" s="8">
        <f>(ROW()-1) / 12</f>
        <v>0.66666666666666663</v>
      </c>
      <c r="K9" s="8">
        <f>I9/SUM(D:D)</f>
        <v>7.7166212956054955E-2</v>
      </c>
      <c r="L9" s="8">
        <f>L8+K9</f>
        <v>0.71783427129471189</v>
      </c>
      <c r="M9" t="str">
        <f>IF(L9&lt;=80%,"A",IF(L9&lt;=95%,"B","C"))</f>
        <v>A</v>
      </c>
      <c r="O9" t="s">
        <v>8</v>
      </c>
      <c r="P9">
        <f>COUNTIF(A:A,O9)</f>
        <v>79</v>
      </c>
      <c r="Q9" s="8">
        <f>(ROW()-1)/12</f>
        <v>0.66666666666666663</v>
      </c>
      <c r="R9" s="8">
        <f>P9/1000</f>
        <v>7.9000000000000001E-2</v>
      </c>
      <c r="S9" s="8">
        <f>R9+S8</f>
        <v>0.71099999999999985</v>
      </c>
      <c r="T9" t="str">
        <f>IF(S9&lt;=80%,"A",IF(S9&lt;=95%,"B","C"))</f>
        <v>A</v>
      </c>
      <c r="W9" t="s">
        <v>21</v>
      </c>
      <c r="X9" s="11" t="s">
        <v>16</v>
      </c>
      <c r="Y9" s="7">
        <v>96127</v>
      </c>
      <c r="Z9" s="11" t="str">
        <f t="shared" si="5"/>
        <v>2023-9</v>
      </c>
      <c r="AA9" t="s">
        <v>35</v>
      </c>
      <c r="AB9">
        <f>SUMIFS($Y:$Y,$W:$W,$AA9,$Z:$Z,AB$1)</f>
        <v>81268</v>
      </c>
      <c r="AC9">
        <f>SUMIFS($Y:$Y,$W:$W,$AA9,$Z:$Z,AC$1)</f>
        <v>91649</v>
      </c>
      <c r="AD9">
        <f>SUMIFS($Y:$Y,$W:$W,$AA9,$Z:$Z,AD$1)</f>
        <v>123919</v>
      </c>
      <c r="AE9">
        <f>SUMIFS($Y:$Y,$W:$W,$AA9,$Z:$Z,AE$1)</f>
        <v>0</v>
      </c>
      <c r="AF9">
        <f>SUMIFS($Y:$Y,$W:$W,$AA9,$Z:$Z,AF$1)</f>
        <v>0</v>
      </c>
      <c r="AG9">
        <f>SUMIFS($Y:$Y,$W:$W,$AA9,$Z:$Z,AG$1)</f>
        <v>83530</v>
      </c>
      <c r="AH9">
        <f>SUMIFS($Y:$Y,$W:$W,$AA9,$Z:$Z,AH$1)</f>
        <v>0</v>
      </c>
      <c r="AI9">
        <f>SUMIFS($Y:$Y,$W:$W,$AA9,$Z:$Z,AI$1)</f>
        <v>34835</v>
      </c>
      <c r="AJ9">
        <f>SUMIFS($Y:$Y,$W:$W,$AA9,$Z:$Z,AJ$1)</f>
        <v>49480</v>
      </c>
      <c r="AK9">
        <f>SUMIFS($Y:$Y,$W:$W,$AA9,$Z:$Z,AK$1)</f>
        <v>118223</v>
      </c>
      <c r="AL9">
        <f>SUMIFS($Y:$Y,$W:$W,$AA9,$Z:$Z,AL$1)</f>
        <v>45311</v>
      </c>
      <c r="AM9">
        <f>SUMIFS($Y:$Y,$W:$W,$AA9,$Z:$Z,AM$1)</f>
        <v>0</v>
      </c>
      <c r="AN9">
        <f>SUMIFS($Y:$Y,$W:$W,$AA9,$Z:$Z,AN$1)</f>
        <v>0</v>
      </c>
      <c r="AO9">
        <f>SUM(AB9:AN9)</f>
        <v>628215</v>
      </c>
      <c r="AP9" s="8">
        <f t="shared" si="0"/>
        <v>4.0404040404040407E-2</v>
      </c>
      <c r="AQ9" s="8">
        <f t="shared" si="1"/>
        <v>1.1527608771181475E-2</v>
      </c>
      <c r="AR9" s="8">
        <f t="shared" si="6"/>
        <v>0.11700041679696542</v>
      </c>
      <c r="AS9" t="str">
        <f t="shared" si="2"/>
        <v>A</v>
      </c>
      <c r="AT9" s="8">
        <f t="shared" si="3"/>
        <v>0.93730444917901445</v>
      </c>
      <c r="AU9" t="str">
        <f t="shared" si="4"/>
        <v>Z</v>
      </c>
      <c r="AZ9" t="s">
        <v>28</v>
      </c>
      <c r="BA9" t="s">
        <v>471</v>
      </c>
      <c r="BB9" t="s">
        <v>472</v>
      </c>
      <c r="BC9">
        <v>237245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16280</v>
      </c>
      <c r="BK9">
        <v>0</v>
      </c>
      <c r="BL9">
        <v>66190</v>
      </c>
      <c r="BM9">
        <v>93234</v>
      </c>
      <c r="BN9">
        <v>0</v>
      </c>
      <c r="BO9">
        <v>0</v>
      </c>
    </row>
    <row r="10" spans="1:67" x14ac:dyDescent="0.25">
      <c r="A10" t="s">
        <v>10</v>
      </c>
      <c r="B10" t="s">
        <v>22</v>
      </c>
      <c r="C10" t="s">
        <v>16</v>
      </c>
      <c r="D10" s="7">
        <v>10817</v>
      </c>
      <c r="E10">
        <v>10</v>
      </c>
      <c r="H10" t="s">
        <v>12</v>
      </c>
      <c r="I10">
        <f>SUMIF(A:A,H10,D:D)</f>
        <v>4152118</v>
      </c>
      <c r="J10" s="8">
        <f>(ROW()-1) / 12</f>
        <v>0.75</v>
      </c>
      <c r="K10" s="8">
        <f>I10/SUM(D:D)</f>
        <v>7.6190463258248353E-2</v>
      </c>
      <c r="L10" s="8">
        <f>K10+L9</f>
        <v>0.7940247345529603</v>
      </c>
      <c r="M10" t="str">
        <f>IF(L10&lt;=80%,"A",IF(L10&lt;=95%,"B","C"))</f>
        <v>A</v>
      </c>
      <c r="O10" t="s">
        <v>12</v>
      </c>
      <c r="P10">
        <f>COUNTIF(A:A,O10)</f>
        <v>78</v>
      </c>
      <c r="Q10" s="8">
        <f>(ROW()-1)/12</f>
        <v>0.75</v>
      </c>
      <c r="R10" s="8">
        <f>P10/1000</f>
        <v>7.8E-2</v>
      </c>
      <c r="S10" s="8">
        <f>R10+S9</f>
        <v>0.78899999999999981</v>
      </c>
      <c r="T10" t="str">
        <f>IF(S10&lt;=80%,"A",IF(S10&lt;=95%,"B","C"))</f>
        <v>A</v>
      </c>
      <c r="W10" t="s">
        <v>22</v>
      </c>
      <c r="X10" s="11" t="s">
        <v>16</v>
      </c>
      <c r="Y10" s="7">
        <v>10817</v>
      </c>
      <c r="Z10" s="11" t="str">
        <f t="shared" si="5"/>
        <v>2023-9</v>
      </c>
      <c r="AA10" t="s">
        <v>47</v>
      </c>
      <c r="AB10">
        <f>SUMIFS($Y:$Y,$W:$W,$AA10,$Z:$Z,AB$1)</f>
        <v>175725</v>
      </c>
      <c r="AC10">
        <f>SUMIFS($Y:$Y,$W:$W,$AA10,$Z:$Z,AC$1)</f>
        <v>0</v>
      </c>
      <c r="AD10">
        <f>SUMIFS($Y:$Y,$W:$W,$AA10,$Z:$Z,AD$1)</f>
        <v>28243</v>
      </c>
      <c r="AE10">
        <f>SUMIFS($Y:$Y,$W:$W,$AA10,$Z:$Z,AE$1)</f>
        <v>0</v>
      </c>
      <c r="AF10">
        <f>SUMIFS($Y:$Y,$W:$W,$AA10,$Z:$Z,AF$1)</f>
        <v>148976</v>
      </c>
      <c r="AG10">
        <f>SUMIFS($Y:$Y,$W:$W,$AA10,$Z:$Z,AG$1)</f>
        <v>79058</v>
      </c>
      <c r="AH10">
        <f>SUMIFS($Y:$Y,$W:$W,$AA10,$Z:$Z,AH$1)</f>
        <v>73702</v>
      </c>
      <c r="AI10">
        <f>SUMIFS($Y:$Y,$W:$W,$AA10,$Z:$Z,AI$1)</f>
        <v>0</v>
      </c>
      <c r="AJ10">
        <f>SUMIFS($Y:$Y,$W:$W,$AA10,$Z:$Z,AJ$1)</f>
        <v>0</v>
      </c>
      <c r="AK10">
        <f>SUMIFS($Y:$Y,$W:$W,$AA10,$Z:$Z,AK$1)</f>
        <v>0</v>
      </c>
      <c r="AL10">
        <f>SUMIFS($Y:$Y,$W:$W,$AA10,$Z:$Z,AL$1)</f>
        <v>0</v>
      </c>
      <c r="AM10">
        <f>SUMIFS($Y:$Y,$W:$W,$AA10,$Z:$Z,AM$1)</f>
        <v>99619</v>
      </c>
      <c r="AN10">
        <f>SUMIFS($Y:$Y,$W:$W,$AA10,$Z:$Z,AN$1)</f>
        <v>0</v>
      </c>
      <c r="AO10">
        <f>SUM(AB10:AN10)</f>
        <v>605323</v>
      </c>
      <c r="AP10" s="8">
        <f t="shared" si="0"/>
        <v>4.5454545454545456E-2</v>
      </c>
      <c r="AQ10" s="8">
        <f t="shared" si="1"/>
        <v>1.1107545544436036E-2</v>
      </c>
      <c r="AR10" s="8">
        <f t="shared" si="6"/>
        <v>0.12810796234140145</v>
      </c>
      <c r="AS10" t="str">
        <f t="shared" si="2"/>
        <v>A</v>
      </c>
      <c r="AT10" s="8">
        <f t="shared" si="3"/>
        <v>1.2953107420253702</v>
      </c>
      <c r="AU10" t="str">
        <f t="shared" si="4"/>
        <v>Z</v>
      </c>
      <c r="AZ10" t="s">
        <v>52</v>
      </c>
      <c r="BA10" t="s">
        <v>471</v>
      </c>
      <c r="BB10" t="s">
        <v>472</v>
      </c>
      <c r="BC10">
        <v>73719</v>
      </c>
      <c r="BD10">
        <v>77812</v>
      </c>
      <c r="BE10">
        <v>0</v>
      </c>
      <c r="BF10">
        <v>133044</v>
      </c>
      <c r="BG10">
        <v>0</v>
      </c>
      <c r="BH10">
        <v>0</v>
      </c>
      <c r="BI10">
        <v>80268</v>
      </c>
      <c r="BJ10">
        <v>66415</v>
      </c>
      <c r="BK10">
        <v>0</v>
      </c>
      <c r="BL10">
        <v>0</v>
      </c>
      <c r="BM10">
        <v>0</v>
      </c>
      <c r="BN10">
        <v>0</v>
      </c>
      <c r="BO10">
        <v>0</v>
      </c>
    </row>
    <row r="11" spans="1:67" x14ac:dyDescent="0.25">
      <c r="A11" t="s">
        <v>23</v>
      </c>
      <c r="B11" t="s">
        <v>24</v>
      </c>
      <c r="C11" t="s">
        <v>16</v>
      </c>
      <c r="D11" s="7">
        <v>78553</v>
      </c>
      <c r="E11">
        <v>6</v>
      </c>
      <c r="H11" t="s">
        <v>33</v>
      </c>
      <c r="I11">
        <f>SUMIF(A:A,H11,D:D)</f>
        <v>3990672</v>
      </c>
      <c r="J11" s="8">
        <f>(ROW()-1) / 12</f>
        <v>0.83333333333333337</v>
      </c>
      <c r="K11" s="8">
        <f>I11/SUM(D:D)</f>
        <v>7.3227964232163073E-2</v>
      </c>
      <c r="L11" s="8">
        <f>L10+K11</f>
        <v>0.86725269878512334</v>
      </c>
      <c r="M11" t="str">
        <f>IF(L11&lt;=80%,"A",IF(L11&lt;=95%,"B","C"))</f>
        <v>B</v>
      </c>
      <c r="O11" t="s">
        <v>33</v>
      </c>
      <c r="P11">
        <f>COUNTIF(A:A,O11)</f>
        <v>76</v>
      </c>
      <c r="Q11" s="8">
        <f>(ROW()-1)/12</f>
        <v>0.83333333333333337</v>
      </c>
      <c r="R11" s="8">
        <f>P11/1000</f>
        <v>7.5999999999999998E-2</v>
      </c>
      <c r="S11" s="8">
        <f>R11+S10</f>
        <v>0.86499999999999977</v>
      </c>
      <c r="T11" t="str">
        <f>IF(S11&lt;=80%,"A",IF(S11&lt;=95%,"B","C"))</f>
        <v>B</v>
      </c>
      <c r="W11" t="s">
        <v>24</v>
      </c>
      <c r="X11" s="11" t="s">
        <v>16</v>
      </c>
      <c r="Y11" s="7">
        <v>78553</v>
      </c>
      <c r="Z11" s="11" t="str">
        <f t="shared" si="5"/>
        <v>2023-9</v>
      </c>
      <c r="AA11" t="s">
        <v>158</v>
      </c>
      <c r="AB11">
        <f>SUMIFS($Y:$Y,$W:$W,$AA11,$Z:$Z,AB$1)</f>
        <v>0</v>
      </c>
      <c r="AC11">
        <f>SUMIFS($Y:$Y,$W:$W,$AA11,$Z:$Z,AC$1)</f>
        <v>87546</v>
      </c>
      <c r="AD11">
        <f>SUMIFS($Y:$Y,$W:$W,$AA11,$Z:$Z,AD$1)</f>
        <v>0</v>
      </c>
      <c r="AE11">
        <f>SUMIFS($Y:$Y,$W:$W,$AA11,$Z:$Z,AE$1)</f>
        <v>90020</v>
      </c>
      <c r="AF11">
        <f>SUMIFS($Y:$Y,$W:$W,$AA11,$Z:$Z,AF$1)</f>
        <v>106409</v>
      </c>
      <c r="AG11">
        <f>SUMIFS($Y:$Y,$W:$W,$AA11,$Z:$Z,AG$1)</f>
        <v>0</v>
      </c>
      <c r="AH11">
        <f>SUMIFS($Y:$Y,$W:$W,$AA11,$Z:$Z,AH$1)</f>
        <v>0</v>
      </c>
      <c r="AI11">
        <f>SUMIFS($Y:$Y,$W:$W,$AA11,$Z:$Z,AI$1)</f>
        <v>29679</v>
      </c>
      <c r="AJ11">
        <f>SUMIFS($Y:$Y,$W:$W,$AA11,$Z:$Z,AJ$1)</f>
        <v>158540</v>
      </c>
      <c r="AK11">
        <f>SUMIFS($Y:$Y,$W:$W,$AA11,$Z:$Z,AK$1)</f>
        <v>16739</v>
      </c>
      <c r="AL11">
        <f>SUMIFS($Y:$Y,$W:$W,$AA11,$Z:$Z,AL$1)</f>
        <v>77392</v>
      </c>
      <c r="AM11">
        <f>SUMIFS($Y:$Y,$W:$W,$AA11,$Z:$Z,AM$1)</f>
        <v>33592</v>
      </c>
      <c r="AN11">
        <f>SUMIFS($Y:$Y,$W:$W,$AA11,$Z:$Z,AN$1)</f>
        <v>0</v>
      </c>
      <c r="AO11">
        <f>SUM(AB11:AN11)</f>
        <v>599917</v>
      </c>
      <c r="AP11" s="8">
        <f t="shared" si="0"/>
        <v>5.0505050505050504E-2</v>
      </c>
      <c r="AQ11" s="8">
        <f t="shared" si="1"/>
        <v>1.1008346618881875E-2</v>
      </c>
      <c r="AR11" s="8">
        <f t="shared" si="6"/>
        <v>0.13911630896028332</v>
      </c>
      <c r="AS11" t="str">
        <f t="shared" si="2"/>
        <v>A</v>
      </c>
      <c r="AT11" s="8">
        <f t="shared" si="3"/>
        <v>1.088804950518707</v>
      </c>
      <c r="AU11" t="str">
        <f t="shared" si="4"/>
        <v>Z</v>
      </c>
      <c r="AZ11" t="s">
        <v>222</v>
      </c>
      <c r="BA11" t="s">
        <v>471</v>
      </c>
      <c r="BB11" t="s">
        <v>472</v>
      </c>
      <c r="BC11">
        <v>0</v>
      </c>
      <c r="BD11">
        <v>0</v>
      </c>
      <c r="BE11">
        <v>0</v>
      </c>
      <c r="BF11">
        <v>23480</v>
      </c>
      <c r="BG11">
        <v>86170</v>
      </c>
      <c r="BH11">
        <v>0</v>
      </c>
      <c r="BI11">
        <v>123313</v>
      </c>
      <c r="BJ11">
        <v>0</v>
      </c>
      <c r="BK11">
        <v>0</v>
      </c>
      <c r="BL11">
        <v>0</v>
      </c>
      <c r="BM11">
        <v>64410</v>
      </c>
      <c r="BN11">
        <v>0</v>
      </c>
      <c r="BO11">
        <v>0</v>
      </c>
    </row>
    <row r="12" spans="1:67" x14ac:dyDescent="0.25">
      <c r="A12" t="s">
        <v>12</v>
      </c>
      <c r="B12" t="s">
        <v>25</v>
      </c>
      <c r="C12" t="s">
        <v>16</v>
      </c>
      <c r="D12" s="7">
        <v>87463</v>
      </c>
      <c r="E12">
        <v>9</v>
      </c>
      <c r="H12" t="s">
        <v>20</v>
      </c>
      <c r="I12">
        <f>SUMIF(A:A,H12,D:D)</f>
        <v>3764426</v>
      </c>
      <c r="J12" s="8">
        <f>(ROW()-1) / 12</f>
        <v>0.91666666666666663</v>
      </c>
      <c r="K12" s="8">
        <f>I12/SUM(D:D)</f>
        <v>6.9076399283785964E-2</v>
      </c>
      <c r="L12" s="8">
        <f>L11+K12</f>
        <v>0.93632909806890929</v>
      </c>
      <c r="M12" t="str">
        <f>IF(L12&lt;=80%,"A",IF(L12&lt;=95%,"B","C"))</f>
        <v>B</v>
      </c>
      <c r="O12" t="s">
        <v>36</v>
      </c>
      <c r="P12">
        <f>COUNTIF(A:A,O12)</f>
        <v>72</v>
      </c>
      <c r="Q12" s="8">
        <f>(ROW()-1)/12</f>
        <v>0.91666666666666663</v>
      </c>
      <c r="R12" s="8">
        <f>P12/1000</f>
        <v>7.1999999999999995E-2</v>
      </c>
      <c r="S12" s="8">
        <f>R12+S11</f>
        <v>0.93699999999999972</v>
      </c>
      <c r="T12" t="str">
        <f>IF(S12&lt;=80%,"A",IF(S12&lt;=95%,"B","C"))</f>
        <v>B</v>
      </c>
      <c r="W12" t="s">
        <v>25</v>
      </c>
      <c r="X12" s="11" t="s">
        <v>16</v>
      </c>
      <c r="Y12" s="7">
        <v>87463</v>
      </c>
      <c r="Z12" s="11" t="str">
        <f t="shared" si="5"/>
        <v>2023-9</v>
      </c>
      <c r="AA12" t="s">
        <v>196</v>
      </c>
      <c r="AB12">
        <f>SUMIFS($Y:$Y,$W:$W,$AA12,$Z:$Z,AB$1)</f>
        <v>0</v>
      </c>
      <c r="AC12">
        <f>SUMIFS($Y:$Y,$W:$W,$AA12,$Z:$Z,AC$1)</f>
        <v>0</v>
      </c>
      <c r="AD12">
        <f>SUMIFS($Y:$Y,$W:$W,$AA12,$Z:$Z,AD$1)</f>
        <v>97118</v>
      </c>
      <c r="AE12">
        <f>SUMIFS($Y:$Y,$W:$W,$AA12,$Z:$Z,AE$1)</f>
        <v>32347</v>
      </c>
      <c r="AF12">
        <f>SUMIFS($Y:$Y,$W:$W,$AA12,$Z:$Z,AF$1)</f>
        <v>0</v>
      </c>
      <c r="AG12">
        <f>SUMIFS($Y:$Y,$W:$W,$AA12,$Z:$Z,AG$1)</f>
        <v>0</v>
      </c>
      <c r="AH12">
        <f>SUMIFS($Y:$Y,$W:$W,$AA12,$Z:$Z,AH$1)</f>
        <v>97998</v>
      </c>
      <c r="AI12">
        <f>SUMIFS($Y:$Y,$W:$W,$AA12,$Z:$Z,AI$1)</f>
        <v>13809</v>
      </c>
      <c r="AJ12">
        <f>SUMIFS($Y:$Y,$W:$W,$AA12,$Z:$Z,AJ$1)</f>
        <v>58279</v>
      </c>
      <c r="AK12">
        <f>SUMIFS($Y:$Y,$W:$W,$AA12,$Z:$Z,AK$1)</f>
        <v>98953</v>
      </c>
      <c r="AL12">
        <f>SUMIFS($Y:$Y,$W:$W,$AA12,$Z:$Z,AL$1)</f>
        <v>91886</v>
      </c>
      <c r="AM12">
        <f>SUMIFS($Y:$Y,$W:$W,$AA12,$Z:$Z,AM$1)</f>
        <v>99913</v>
      </c>
      <c r="AN12">
        <f>SUMIFS($Y:$Y,$W:$W,$AA12,$Z:$Z,AN$1)</f>
        <v>0</v>
      </c>
      <c r="AO12">
        <f>SUM(AB12:AN12)</f>
        <v>590303</v>
      </c>
      <c r="AP12" s="8">
        <f t="shared" si="0"/>
        <v>5.5555555555555552E-2</v>
      </c>
      <c r="AQ12" s="8">
        <f t="shared" si="1"/>
        <v>1.0831931807509751E-2</v>
      </c>
      <c r="AR12" s="8">
        <f t="shared" si="6"/>
        <v>0.14994824076779306</v>
      </c>
      <c r="AS12" t="str">
        <f t="shared" si="2"/>
        <v>A</v>
      </c>
      <c r="AT12" s="8">
        <f t="shared" si="3"/>
        <v>0.96733461882188476</v>
      </c>
      <c r="AU12" t="str">
        <f t="shared" si="4"/>
        <v>Z</v>
      </c>
      <c r="AZ12" t="s">
        <v>24</v>
      </c>
      <c r="BA12" t="s">
        <v>474</v>
      </c>
      <c r="BB12" t="s">
        <v>472</v>
      </c>
      <c r="BC12">
        <v>78553</v>
      </c>
      <c r="BD12">
        <v>0</v>
      </c>
      <c r="BE12">
        <v>0</v>
      </c>
      <c r="BF12">
        <v>0</v>
      </c>
      <c r="BG12">
        <v>84460</v>
      </c>
      <c r="BH12">
        <v>0</v>
      </c>
      <c r="BI12">
        <v>0</v>
      </c>
      <c r="BJ12">
        <v>46122</v>
      </c>
      <c r="BK12">
        <v>0</v>
      </c>
      <c r="BL12">
        <v>0</v>
      </c>
      <c r="BM12">
        <v>0</v>
      </c>
      <c r="BN12">
        <v>0</v>
      </c>
      <c r="BO12">
        <v>0</v>
      </c>
    </row>
    <row r="13" spans="1:67" x14ac:dyDescent="0.25">
      <c r="A13" t="s">
        <v>12</v>
      </c>
      <c r="B13" t="s">
        <v>26</v>
      </c>
      <c r="C13" t="s">
        <v>16</v>
      </c>
      <c r="D13" s="7">
        <v>81333</v>
      </c>
      <c r="E13">
        <v>8</v>
      </c>
      <c r="H13" t="s">
        <v>36</v>
      </c>
      <c r="I13">
        <f>SUMIF(A:A,H13,D:D)</f>
        <v>3469845</v>
      </c>
      <c r="J13" s="8">
        <f>(ROW()-1) / 12</f>
        <v>1</v>
      </c>
      <c r="K13" s="8">
        <f>I13/SUM(D:D)</f>
        <v>6.3670901931090762E-2</v>
      </c>
      <c r="L13" s="8">
        <f>L12+K13</f>
        <v>1</v>
      </c>
      <c r="M13" t="str">
        <f>IF(L13&lt;=80%,"A",IF(L13&lt;=95%,"B","C"))</f>
        <v>C</v>
      </c>
      <c r="O13" t="s">
        <v>20</v>
      </c>
      <c r="P13">
        <f>COUNTIF(A:A,O13)</f>
        <v>63</v>
      </c>
      <c r="Q13" s="8">
        <f>(ROW()-1)/12</f>
        <v>1</v>
      </c>
      <c r="R13" s="8">
        <f>P13/1000</f>
        <v>6.3E-2</v>
      </c>
      <c r="S13" s="8">
        <f>R13+S12</f>
        <v>0.99999999999999978</v>
      </c>
      <c r="T13" t="str">
        <f>IF(S13&lt;=80%,"A",IF(S13&lt;=95%,"B","C"))</f>
        <v>C</v>
      </c>
      <c r="W13" t="s">
        <v>26</v>
      </c>
      <c r="X13" s="11" t="s">
        <v>16</v>
      </c>
      <c r="Y13" s="7">
        <v>81333</v>
      </c>
      <c r="Z13" s="11" t="str">
        <f t="shared" si="5"/>
        <v>2023-9</v>
      </c>
      <c r="AA13" t="s">
        <v>98</v>
      </c>
      <c r="AB13">
        <f>SUMIFS($Y:$Y,$W:$W,$AA13,$Z:$Z,AB$1)</f>
        <v>70262</v>
      </c>
      <c r="AC13">
        <f>SUMIFS($Y:$Y,$W:$W,$AA13,$Z:$Z,AC$1)</f>
        <v>0</v>
      </c>
      <c r="AD13">
        <f>SUMIFS($Y:$Y,$W:$W,$AA13,$Z:$Z,AD$1)</f>
        <v>0</v>
      </c>
      <c r="AE13">
        <f>SUMIFS($Y:$Y,$W:$W,$AA13,$Z:$Z,AE$1)</f>
        <v>153035</v>
      </c>
      <c r="AF13">
        <f>SUMIFS($Y:$Y,$W:$W,$AA13,$Z:$Z,AF$1)</f>
        <v>59520</v>
      </c>
      <c r="AG13">
        <f>SUMIFS($Y:$Y,$W:$W,$AA13,$Z:$Z,AG$1)</f>
        <v>0</v>
      </c>
      <c r="AH13">
        <f>SUMIFS($Y:$Y,$W:$W,$AA13,$Z:$Z,AH$1)</f>
        <v>190677</v>
      </c>
      <c r="AI13">
        <f>SUMIFS($Y:$Y,$W:$W,$AA13,$Z:$Z,AI$1)</f>
        <v>60421</v>
      </c>
      <c r="AJ13">
        <f>SUMIFS($Y:$Y,$W:$W,$AA13,$Z:$Z,AJ$1)</f>
        <v>48172</v>
      </c>
      <c r="AK13">
        <f>SUMIFS($Y:$Y,$W:$W,$AA13,$Z:$Z,AK$1)</f>
        <v>0</v>
      </c>
      <c r="AL13">
        <f>SUMIFS($Y:$Y,$W:$W,$AA13,$Z:$Z,AL$1)</f>
        <v>0</v>
      </c>
      <c r="AM13">
        <f>SUMIFS($Y:$Y,$W:$W,$AA13,$Z:$Z,AM$1)</f>
        <v>0</v>
      </c>
      <c r="AN13">
        <f>SUMIFS($Y:$Y,$W:$W,$AA13,$Z:$Z,AN$1)</f>
        <v>0</v>
      </c>
      <c r="AO13">
        <f>SUM(AB13:AN13)</f>
        <v>582087</v>
      </c>
      <c r="AP13" s="8">
        <f t="shared" si="0"/>
        <v>6.0606060606060608E-2</v>
      </c>
      <c r="AQ13" s="8">
        <f t="shared" si="1"/>
        <v>1.0681169992424109E-2</v>
      </c>
      <c r="AR13" s="8">
        <f t="shared" si="6"/>
        <v>0.16062941076021717</v>
      </c>
      <c r="AS13" t="str">
        <f t="shared" si="2"/>
        <v>A</v>
      </c>
      <c r="AT13" s="8">
        <f t="shared" si="3"/>
        <v>1.359401033555957</v>
      </c>
      <c r="AU13" t="str">
        <f t="shared" si="4"/>
        <v>Z</v>
      </c>
      <c r="AZ13" t="s">
        <v>61</v>
      </c>
      <c r="BA13" t="s">
        <v>474</v>
      </c>
      <c r="BB13" t="s">
        <v>472</v>
      </c>
      <c r="BC13">
        <v>21518</v>
      </c>
      <c r="BD13">
        <v>0</v>
      </c>
      <c r="BE13">
        <v>0</v>
      </c>
      <c r="BF13">
        <v>28737</v>
      </c>
      <c r="BG13">
        <v>0</v>
      </c>
      <c r="BH13">
        <v>0</v>
      </c>
      <c r="BI13">
        <v>0</v>
      </c>
      <c r="BJ13">
        <v>59806</v>
      </c>
      <c r="BK13">
        <v>0</v>
      </c>
      <c r="BL13">
        <v>0</v>
      </c>
      <c r="BM13">
        <v>0</v>
      </c>
      <c r="BN13">
        <v>101183</v>
      </c>
      <c r="BO13">
        <v>0</v>
      </c>
    </row>
    <row r="14" spans="1:67" x14ac:dyDescent="0.25">
      <c r="A14" t="s">
        <v>27</v>
      </c>
      <c r="B14" t="s">
        <v>28</v>
      </c>
      <c r="C14" t="s">
        <v>16</v>
      </c>
      <c r="D14" s="7">
        <v>72257</v>
      </c>
      <c r="E14">
        <v>5</v>
      </c>
      <c r="W14" t="s">
        <v>28</v>
      </c>
      <c r="X14" s="11" t="s">
        <v>16</v>
      </c>
      <c r="Y14" s="7">
        <v>72257</v>
      </c>
      <c r="Z14" s="11" t="str">
        <f t="shared" si="5"/>
        <v>2023-9</v>
      </c>
      <c r="AA14" t="s">
        <v>161</v>
      </c>
      <c r="AB14">
        <f>SUMIFS($Y:$Y,$W:$W,$AA14,$Z:$Z,AB$1)</f>
        <v>0</v>
      </c>
      <c r="AC14">
        <f>SUMIFS($Y:$Y,$W:$W,$AA14,$Z:$Z,AC$1)</f>
        <v>0</v>
      </c>
      <c r="AD14">
        <f>SUMIFS($Y:$Y,$W:$W,$AA14,$Z:$Z,AD$1)</f>
        <v>107721</v>
      </c>
      <c r="AE14">
        <f>SUMIFS($Y:$Y,$W:$W,$AA14,$Z:$Z,AE$1)</f>
        <v>75640</v>
      </c>
      <c r="AF14">
        <f>SUMIFS($Y:$Y,$W:$W,$AA14,$Z:$Z,AF$1)</f>
        <v>0</v>
      </c>
      <c r="AG14">
        <f>SUMIFS($Y:$Y,$W:$W,$AA14,$Z:$Z,AG$1)</f>
        <v>92805</v>
      </c>
      <c r="AH14">
        <f>SUMIFS($Y:$Y,$W:$W,$AA14,$Z:$Z,AH$1)</f>
        <v>0</v>
      </c>
      <c r="AI14">
        <f>SUMIFS($Y:$Y,$W:$W,$AA14,$Z:$Z,AI$1)</f>
        <v>218178</v>
      </c>
      <c r="AJ14">
        <f>SUMIFS($Y:$Y,$W:$W,$AA14,$Z:$Z,AJ$1)</f>
        <v>0</v>
      </c>
      <c r="AK14">
        <f>SUMIFS($Y:$Y,$W:$W,$AA14,$Z:$Z,AK$1)</f>
        <v>0</v>
      </c>
      <c r="AL14">
        <f>SUMIFS($Y:$Y,$W:$W,$AA14,$Z:$Z,AL$1)</f>
        <v>63154</v>
      </c>
      <c r="AM14">
        <f>SUMIFS($Y:$Y,$W:$W,$AA14,$Z:$Z,AM$1)</f>
        <v>0</v>
      </c>
      <c r="AN14">
        <f>SUMIFS($Y:$Y,$W:$W,$AA14,$Z:$Z,AN$1)</f>
        <v>0</v>
      </c>
      <c r="AO14">
        <f>SUM(AB14:AN14)</f>
        <v>557498</v>
      </c>
      <c r="AP14" s="8">
        <f t="shared" si="0"/>
        <v>6.5656565656565663E-2</v>
      </c>
      <c r="AQ14" s="8">
        <f t="shared" si="1"/>
        <v>1.0229967184349514E-2</v>
      </c>
      <c r="AR14" s="8">
        <f t="shared" si="6"/>
        <v>0.17085937794456668</v>
      </c>
      <c r="AS14" t="str">
        <f t="shared" si="2"/>
        <v>A</v>
      </c>
      <c r="AT14" s="8">
        <f t="shared" si="3"/>
        <v>1.4975867860893064</v>
      </c>
      <c r="AU14" t="str">
        <f t="shared" si="4"/>
        <v>Z</v>
      </c>
      <c r="AZ14" t="s">
        <v>352</v>
      </c>
      <c r="BA14" t="s">
        <v>471</v>
      </c>
      <c r="BB14" t="s">
        <v>472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62932</v>
      </c>
      <c r="BK14">
        <v>24655</v>
      </c>
      <c r="BL14">
        <v>93379</v>
      </c>
      <c r="BM14">
        <v>50576</v>
      </c>
      <c r="BN14">
        <v>82617</v>
      </c>
      <c r="BO14">
        <v>0</v>
      </c>
    </row>
    <row r="15" spans="1:67" x14ac:dyDescent="0.25">
      <c r="A15" t="s">
        <v>10</v>
      </c>
      <c r="B15" t="s">
        <v>29</v>
      </c>
      <c r="C15" t="s">
        <v>16</v>
      </c>
      <c r="D15" s="7">
        <v>79493</v>
      </c>
      <c r="E15">
        <v>5</v>
      </c>
      <c r="W15" t="s">
        <v>29</v>
      </c>
      <c r="X15" s="11" t="s">
        <v>16</v>
      </c>
      <c r="Y15" s="7">
        <v>79493</v>
      </c>
      <c r="Z15" s="11" t="str">
        <f t="shared" si="5"/>
        <v>2023-9</v>
      </c>
      <c r="AA15" t="s">
        <v>26</v>
      </c>
      <c r="AB15">
        <f>SUMIFS($Y:$Y,$W:$W,$AA15,$Z:$Z,AB$1)</f>
        <v>81333</v>
      </c>
      <c r="AC15">
        <f>SUMIFS($Y:$Y,$W:$W,$AA15,$Z:$Z,AC$1)</f>
        <v>209758</v>
      </c>
      <c r="AD15">
        <f>SUMIFS($Y:$Y,$W:$W,$AA15,$Z:$Z,AD$1)</f>
        <v>43730</v>
      </c>
      <c r="AE15">
        <f>SUMIFS($Y:$Y,$W:$W,$AA15,$Z:$Z,AE$1)</f>
        <v>88120</v>
      </c>
      <c r="AF15">
        <f>SUMIFS($Y:$Y,$W:$W,$AA15,$Z:$Z,AF$1)</f>
        <v>0</v>
      </c>
      <c r="AG15">
        <f>SUMIFS($Y:$Y,$W:$W,$AA15,$Z:$Z,AG$1)</f>
        <v>82646</v>
      </c>
      <c r="AH15">
        <f>SUMIFS($Y:$Y,$W:$W,$AA15,$Z:$Z,AH$1)</f>
        <v>0</v>
      </c>
      <c r="AI15">
        <f>SUMIFS($Y:$Y,$W:$W,$AA15,$Z:$Z,AI$1)</f>
        <v>0</v>
      </c>
      <c r="AJ15">
        <f>SUMIFS($Y:$Y,$W:$W,$AA15,$Z:$Z,AJ$1)</f>
        <v>0</v>
      </c>
      <c r="AK15">
        <f>SUMIFS($Y:$Y,$W:$W,$AA15,$Z:$Z,AK$1)</f>
        <v>28153</v>
      </c>
      <c r="AL15">
        <f>SUMIFS($Y:$Y,$W:$W,$AA15,$Z:$Z,AL$1)</f>
        <v>0</v>
      </c>
      <c r="AM15">
        <f>SUMIFS($Y:$Y,$W:$W,$AA15,$Z:$Z,AM$1)</f>
        <v>20720</v>
      </c>
      <c r="AN15">
        <f>SUMIFS($Y:$Y,$W:$W,$AA15,$Z:$Z,AN$1)</f>
        <v>0</v>
      </c>
      <c r="AO15">
        <f>SUM(AB15:AN15)</f>
        <v>554460</v>
      </c>
      <c r="AP15" s="8">
        <f t="shared" si="0"/>
        <v>7.0707070707070704E-2</v>
      </c>
      <c r="AQ15" s="8">
        <f t="shared" si="1"/>
        <v>1.017422054435071E-2</v>
      </c>
      <c r="AR15" s="8">
        <f t="shared" si="6"/>
        <v>0.1810335984889174</v>
      </c>
      <c r="AS15" t="str">
        <f t="shared" si="2"/>
        <v>A</v>
      </c>
      <c r="AT15" s="8">
        <f t="shared" si="3"/>
        <v>1.3747735291480736</v>
      </c>
      <c r="AU15" t="str">
        <f t="shared" si="4"/>
        <v>Z</v>
      </c>
      <c r="AZ15" t="s">
        <v>283</v>
      </c>
      <c r="BA15" t="s">
        <v>478</v>
      </c>
      <c r="BB15" t="s">
        <v>472</v>
      </c>
      <c r="BC15">
        <v>0</v>
      </c>
      <c r="BD15">
        <v>0</v>
      </c>
      <c r="BE15">
        <v>0</v>
      </c>
      <c r="BF15">
        <v>0</v>
      </c>
      <c r="BG15">
        <v>34416</v>
      </c>
      <c r="BH15">
        <v>0</v>
      </c>
      <c r="BI15">
        <v>67464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</row>
    <row r="16" spans="1:67" x14ac:dyDescent="0.25">
      <c r="A16" t="s">
        <v>23</v>
      </c>
      <c r="B16" t="s">
        <v>30</v>
      </c>
      <c r="C16" t="s">
        <v>31</v>
      </c>
      <c r="D16" s="7">
        <v>43060</v>
      </c>
      <c r="E16">
        <v>5</v>
      </c>
      <c r="W16" t="s">
        <v>30</v>
      </c>
      <c r="X16" s="11" t="s">
        <v>31</v>
      </c>
      <c r="Y16" s="7">
        <v>43060</v>
      </c>
      <c r="Z16" s="11" t="str">
        <f t="shared" si="5"/>
        <v>2023-9</v>
      </c>
      <c r="AA16" t="s">
        <v>18</v>
      </c>
      <c r="AB16">
        <f>SUMIFS($Y:$Y,$W:$W,$AA16,$Z:$Z,AB$1)</f>
        <v>39172</v>
      </c>
      <c r="AC16">
        <f>SUMIFS($Y:$Y,$W:$W,$AA16,$Z:$Z,AC$1)</f>
        <v>78724</v>
      </c>
      <c r="AD16">
        <f>SUMIFS($Y:$Y,$W:$W,$AA16,$Z:$Z,AD$1)</f>
        <v>0</v>
      </c>
      <c r="AE16">
        <f>SUMIFS($Y:$Y,$W:$W,$AA16,$Z:$Z,AE$1)</f>
        <v>0</v>
      </c>
      <c r="AF16">
        <f>SUMIFS($Y:$Y,$W:$W,$AA16,$Z:$Z,AF$1)</f>
        <v>38841</v>
      </c>
      <c r="AG16">
        <f>SUMIFS($Y:$Y,$W:$W,$AA16,$Z:$Z,AG$1)</f>
        <v>0</v>
      </c>
      <c r="AH16">
        <f>SUMIFS($Y:$Y,$W:$W,$AA16,$Z:$Z,AH$1)</f>
        <v>29833</v>
      </c>
      <c r="AI16">
        <f>SUMIFS($Y:$Y,$W:$W,$AA16,$Z:$Z,AI$1)</f>
        <v>42875</v>
      </c>
      <c r="AJ16">
        <f>SUMIFS($Y:$Y,$W:$W,$AA16,$Z:$Z,AJ$1)</f>
        <v>98644</v>
      </c>
      <c r="AK16">
        <f>SUMIFS($Y:$Y,$W:$W,$AA16,$Z:$Z,AK$1)</f>
        <v>53858</v>
      </c>
      <c r="AL16">
        <f>SUMIFS($Y:$Y,$W:$W,$AA16,$Z:$Z,AL$1)</f>
        <v>84357</v>
      </c>
      <c r="AM16">
        <f>SUMIFS($Y:$Y,$W:$W,$AA16,$Z:$Z,AM$1)</f>
        <v>87916</v>
      </c>
      <c r="AN16">
        <f>SUMIFS($Y:$Y,$W:$W,$AA16,$Z:$Z,AN$1)</f>
        <v>0</v>
      </c>
      <c r="AO16">
        <f>SUM(AB16:AN16)</f>
        <v>554220</v>
      </c>
      <c r="AP16" s="8">
        <f t="shared" si="0"/>
        <v>7.575757575757576E-2</v>
      </c>
      <c r="AQ16" s="8">
        <f t="shared" si="1"/>
        <v>1.0169816596490369E-2</v>
      </c>
      <c r="AR16" s="8">
        <f t="shared" si="6"/>
        <v>0.19120341508540778</v>
      </c>
      <c r="AS16" t="str">
        <f t="shared" si="2"/>
        <v>A</v>
      </c>
      <c r="AT16" s="8">
        <f t="shared" si="3"/>
        <v>0.81820528505367141</v>
      </c>
      <c r="AU16" t="str">
        <f t="shared" si="4"/>
        <v>Z</v>
      </c>
      <c r="AZ16" t="s">
        <v>56</v>
      </c>
      <c r="BA16" t="s">
        <v>471</v>
      </c>
      <c r="BB16" t="s">
        <v>472</v>
      </c>
      <c r="BC16">
        <v>139244</v>
      </c>
      <c r="BD16">
        <v>0</v>
      </c>
      <c r="BE16">
        <v>0</v>
      </c>
      <c r="BF16">
        <v>0</v>
      </c>
      <c r="BG16">
        <v>0</v>
      </c>
      <c r="BH16">
        <v>118844</v>
      </c>
      <c r="BI16">
        <v>0</v>
      </c>
      <c r="BJ16">
        <v>0</v>
      </c>
      <c r="BK16">
        <v>66873</v>
      </c>
      <c r="BL16">
        <v>0</v>
      </c>
      <c r="BM16">
        <v>0</v>
      </c>
      <c r="BN16">
        <v>69661</v>
      </c>
      <c r="BO16">
        <v>0</v>
      </c>
    </row>
    <row r="17" spans="1:67" x14ac:dyDescent="0.25">
      <c r="A17" t="s">
        <v>32</v>
      </c>
      <c r="B17" t="s">
        <v>28</v>
      </c>
      <c r="C17" t="s">
        <v>31</v>
      </c>
      <c r="D17" s="7">
        <v>65995</v>
      </c>
      <c r="E17">
        <v>4</v>
      </c>
      <c r="W17" t="s">
        <v>28</v>
      </c>
      <c r="X17" s="11" t="s">
        <v>31</v>
      </c>
      <c r="Y17" s="7">
        <v>65995</v>
      </c>
      <c r="Z17" s="11" t="str">
        <f t="shared" si="5"/>
        <v>2023-9</v>
      </c>
      <c r="AA17" t="s">
        <v>214</v>
      </c>
      <c r="AB17">
        <f>SUMIFS($Y:$Y,$W:$W,$AA17,$Z:$Z,AB$1)</f>
        <v>0</v>
      </c>
      <c r="AC17">
        <f>SUMIFS($Y:$Y,$W:$W,$AA17,$Z:$Z,AC$1)</f>
        <v>0</v>
      </c>
      <c r="AD17">
        <f>SUMIFS($Y:$Y,$W:$W,$AA17,$Z:$Z,AD$1)</f>
        <v>0</v>
      </c>
      <c r="AE17">
        <f>SUMIFS($Y:$Y,$W:$W,$AA17,$Z:$Z,AE$1)</f>
        <v>144508</v>
      </c>
      <c r="AF17">
        <f>SUMIFS($Y:$Y,$W:$W,$AA17,$Z:$Z,AF$1)</f>
        <v>0</v>
      </c>
      <c r="AG17">
        <f>SUMIFS($Y:$Y,$W:$W,$AA17,$Z:$Z,AG$1)</f>
        <v>0</v>
      </c>
      <c r="AH17">
        <f>SUMIFS($Y:$Y,$W:$W,$AA17,$Z:$Z,AH$1)</f>
        <v>65397</v>
      </c>
      <c r="AI17">
        <f>SUMIFS($Y:$Y,$W:$W,$AA17,$Z:$Z,AI$1)</f>
        <v>77779</v>
      </c>
      <c r="AJ17">
        <f>SUMIFS($Y:$Y,$W:$W,$AA17,$Z:$Z,AJ$1)</f>
        <v>0</v>
      </c>
      <c r="AK17">
        <f>SUMIFS($Y:$Y,$W:$W,$AA17,$Z:$Z,AK$1)</f>
        <v>80794</v>
      </c>
      <c r="AL17">
        <f>SUMIFS($Y:$Y,$W:$W,$AA17,$Z:$Z,AL$1)</f>
        <v>0</v>
      </c>
      <c r="AM17">
        <f>SUMIFS($Y:$Y,$W:$W,$AA17,$Z:$Z,AM$1)</f>
        <v>183085</v>
      </c>
      <c r="AN17">
        <f>SUMIFS($Y:$Y,$W:$W,$AA17,$Z:$Z,AN$1)</f>
        <v>0</v>
      </c>
      <c r="AO17">
        <f>SUM(AB17:AN17)</f>
        <v>551563</v>
      </c>
      <c r="AP17" s="8">
        <f t="shared" si="0"/>
        <v>8.0808080808080815E-2</v>
      </c>
      <c r="AQ17" s="8">
        <f t="shared" si="1"/>
        <v>1.0121061223719854E-2</v>
      </c>
      <c r="AR17" s="8">
        <f t="shared" si="6"/>
        <v>0.20132447630912764</v>
      </c>
      <c r="AS17" t="str">
        <f t="shared" si="2"/>
        <v>A</v>
      </c>
      <c r="AT17" s="8">
        <f t="shared" si="3"/>
        <v>1.4300140069079363</v>
      </c>
      <c r="AU17" t="str">
        <f t="shared" si="4"/>
        <v>Z</v>
      </c>
      <c r="AZ17" t="s">
        <v>226</v>
      </c>
      <c r="BA17" t="s">
        <v>478</v>
      </c>
      <c r="BB17" t="s">
        <v>472</v>
      </c>
      <c r="BC17">
        <v>0</v>
      </c>
      <c r="BD17">
        <v>0</v>
      </c>
      <c r="BE17">
        <v>0</v>
      </c>
      <c r="BF17">
        <v>79157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</row>
    <row r="18" spans="1:67" x14ac:dyDescent="0.25">
      <c r="A18" t="s">
        <v>33</v>
      </c>
      <c r="B18" t="s">
        <v>34</v>
      </c>
      <c r="C18" t="s">
        <v>31</v>
      </c>
      <c r="D18" s="7">
        <v>86555</v>
      </c>
      <c r="E18">
        <v>6</v>
      </c>
      <c r="H18" t="s">
        <v>12</v>
      </c>
      <c r="I18">
        <v>4152118</v>
      </c>
      <c r="J18" s="8">
        <v>0.75</v>
      </c>
      <c r="K18">
        <v>7.6190463258248353E-2</v>
      </c>
      <c r="L18">
        <v>0.7940247345529603</v>
      </c>
      <c r="M18" t="s">
        <v>471</v>
      </c>
      <c r="O18" t="s">
        <v>12</v>
      </c>
      <c r="P18">
        <v>78</v>
      </c>
      <c r="Q18">
        <v>0.75</v>
      </c>
      <c r="R18" s="9">
        <v>7.8E-2</v>
      </c>
      <c r="S18" s="9">
        <v>0.78899999999999981</v>
      </c>
      <c r="T18" t="s">
        <v>471</v>
      </c>
      <c r="W18" t="s">
        <v>34</v>
      </c>
      <c r="X18" s="11" t="s">
        <v>31</v>
      </c>
      <c r="Y18" s="7">
        <v>86555</v>
      </c>
      <c r="Z18" s="11" t="str">
        <f t="shared" si="5"/>
        <v>2023-9</v>
      </c>
      <c r="AA18" t="s">
        <v>72</v>
      </c>
      <c r="AB18">
        <f>SUMIFS($Y:$Y,$W:$W,$AA18,$Z:$Z,AB$1)</f>
        <v>91703</v>
      </c>
      <c r="AC18">
        <f>SUMIFS($Y:$Y,$W:$W,$AA18,$Z:$Z,AC$1)</f>
        <v>0</v>
      </c>
      <c r="AD18">
        <f>SUMIFS($Y:$Y,$W:$W,$AA18,$Z:$Z,AD$1)</f>
        <v>107118</v>
      </c>
      <c r="AE18">
        <f>SUMIFS($Y:$Y,$W:$W,$AA18,$Z:$Z,AE$1)</f>
        <v>36556</v>
      </c>
      <c r="AF18">
        <f>SUMIFS($Y:$Y,$W:$W,$AA18,$Z:$Z,AF$1)</f>
        <v>0</v>
      </c>
      <c r="AG18">
        <f>SUMIFS($Y:$Y,$W:$W,$AA18,$Z:$Z,AG$1)</f>
        <v>0</v>
      </c>
      <c r="AH18">
        <f>SUMIFS($Y:$Y,$W:$W,$AA18,$Z:$Z,AH$1)</f>
        <v>98460</v>
      </c>
      <c r="AI18">
        <f>SUMIFS($Y:$Y,$W:$W,$AA18,$Z:$Z,AI$1)</f>
        <v>0</v>
      </c>
      <c r="AJ18">
        <f>SUMIFS($Y:$Y,$W:$W,$AA18,$Z:$Z,AJ$1)</f>
        <v>32787</v>
      </c>
      <c r="AK18">
        <f>SUMIFS($Y:$Y,$W:$W,$AA18,$Z:$Z,AK$1)</f>
        <v>133516</v>
      </c>
      <c r="AL18">
        <f>SUMIFS($Y:$Y,$W:$W,$AA18,$Z:$Z,AL$1)</f>
        <v>0</v>
      </c>
      <c r="AM18">
        <f>SUMIFS($Y:$Y,$W:$W,$AA18,$Z:$Z,AM$1)</f>
        <v>51331</v>
      </c>
      <c r="AN18">
        <f>SUMIFS($Y:$Y,$W:$W,$AA18,$Z:$Z,AN$1)</f>
        <v>0</v>
      </c>
      <c r="AO18">
        <f>SUM(AB18:AN18)</f>
        <v>551471</v>
      </c>
      <c r="AP18" s="8">
        <f t="shared" si="0"/>
        <v>8.5858585858585856E-2</v>
      </c>
      <c r="AQ18" s="8">
        <f t="shared" si="1"/>
        <v>1.0119373043706723E-2</v>
      </c>
      <c r="AR18" s="8">
        <f t="shared" si="6"/>
        <v>0.21144384935283436</v>
      </c>
      <c r="AS18" t="str">
        <f t="shared" si="2"/>
        <v>A</v>
      </c>
      <c r="AT18" s="8">
        <f t="shared" si="3"/>
        <v>1.1144841268548089</v>
      </c>
      <c r="AU18" t="str">
        <f t="shared" si="4"/>
        <v>Z</v>
      </c>
      <c r="AZ18" t="s">
        <v>183</v>
      </c>
      <c r="BA18" t="s">
        <v>471</v>
      </c>
      <c r="BB18" t="s">
        <v>472</v>
      </c>
      <c r="BC18">
        <v>0</v>
      </c>
      <c r="BD18">
        <v>0</v>
      </c>
      <c r="BE18">
        <v>18479</v>
      </c>
      <c r="BF18">
        <v>0</v>
      </c>
      <c r="BG18">
        <v>187816</v>
      </c>
      <c r="BH18">
        <v>0</v>
      </c>
      <c r="BI18">
        <v>0</v>
      </c>
      <c r="BJ18">
        <v>112157</v>
      </c>
      <c r="BK18">
        <v>282927</v>
      </c>
      <c r="BL18">
        <v>0</v>
      </c>
      <c r="BM18">
        <v>121694</v>
      </c>
      <c r="BN18">
        <v>0</v>
      </c>
      <c r="BO18">
        <v>0</v>
      </c>
    </row>
    <row r="19" spans="1:67" x14ac:dyDescent="0.25">
      <c r="A19" t="s">
        <v>17</v>
      </c>
      <c r="B19" t="s">
        <v>35</v>
      </c>
      <c r="C19" t="s">
        <v>31</v>
      </c>
      <c r="D19" s="7">
        <v>30722</v>
      </c>
      <c r="E19">
        <v>5</v>
      </c>
      <c r="H19" t="s">
        <v>10</v>
      </c>
      <c r="I19">
        <v>4929070</v>
      </c>
      <c r="J19" s="8">
        <v>0.41666666666666669</v>
      </c>
      <c r="K19">
        <v>9.0447363666527336E-2</v>
      </c>
      <c r="L19">
        <v>0.4787905137054711</v>
      </c>
      <c r="M19" t="s">
        <v>471</v>
      </c>
      <c r="O19" t="s">
        <v>10</v>
      </c>
      <c r="P19">
        <v>96</v>
      </c>
      <c r="Q19">
        <v>0.16666666666666666</v>
      </c>
      <c r="R19" s="9">
        <v>9.6000000000000002E-2</v>
      </c>
      <c r="S19" s="9">
        <v>0.19500000000000001</v>
      </c>
      <c r="T19" t="s">
        <v>471</v>
      </c>
      <c r="W19" t="s">
        <v>35</v>
      </c>
      <c r="X19" s="11" t="s">
        <v>31</v>
      </c>
      <c r="Y19" s="7">
        <v>30722</v>
      </c>
      <c r="Z19" s="11" t="str">
        <f t="shared" si="5"/>
        <v>2023-9</v>
      </c>
      <c r="AA19" t="s">
        <v>120</v>
      </c>
      <c r="AB19">
        <f>SUMIFS($Y:$Y,$W:$W,$AA19,$Z:$Z,AB$1)</f>
        <v>0</v>
      </c>
      <c r="AC19">
        <f>SUMIFS($Y:$Y,$W:$W,$AA19,$Z:$Z,AC$1)</f>
        <v>38844</v>
      </c>
      <c r="AD19">
        <f>SUMIFS($Y:$Y,$W:$W,$AA19,$Z:$Z,AD$1)</f>
        <v>0</v>
      </c>
      <c r="AE19">
        <f>SUMIFS($Y:$Y,$W:$W,$AA19,$Z:$Z,AE$1)</f>
        <v>0</v>
      </c>
      <c r="AF19">
        <f>SUMIFS($Y:$Y,$W:$W,$AA19,$Z:$Z,AF$1)</f>
        <v>0</v>
      </c>
      <c r="AG19">
        <f>SUMIFS($Y:$Y,$W:$W,$AA19,$Z:$Z,AG$1)</f>
        <v>165674</v>
      </c>
      <c r="AH19">
        <f>SUMIFS($Y:$Y,$W:$W,$AA19,$Z:$Z,AH$1)</f>
        <v>174286</v>
      </c>
      <c r="AI19">
        <f>SUMIFS($Y:$Y,$W:$W,$AA19,$Z:$Z,AI$1)</f>
        <v>0</v>
      </c>
      <c r="AJ19">
        <f>SUMIFS($Y:$Y,$W:$W,$AA19,$Z:$Z,AJ$1)</f>
        <v>107741</v>
      </c>
      <c r="AK19">
        <f>SUMIFS($Y:$Y,$W:$W,$AA19,$Z:$Z,AK$1)</f>
        <v>0</v>
      </c>
      <c r="AL19">
        <f>SUMIFS($Y:$Y,$W:$W,$AA19,$Z:$Z,AL$1)</f>
        <v>58559</v>
      </c>
      <c r="AM19">
        <f>SUMIFS($Y:$Y,$W:$W,$AA19,$Z:$Z,AM$1)</f>
        <v>0</v>
      </c>
      <c r="AN19">
        <f>SUMIFS($Y:$Y,$W:$W,$AA19,$Z:$Z,AN$1)</f>
        <v>0</v>
      </c>
      <c r="AO19">
        <f>SUM(AB19:AN19)</f>
        <v>545104</v>
      </c>
      <c r="AP19" s="8">
        <f t="shared" si="0"/>
        <v>9.0909090909090912E-2</v>
      </c>
      <c r="AQ19" s="8">
        <f t="shared" si="1"/>
        <v>1.0002539976928451E-2</v>
      </c>
      <c r="AR19" s="8">
        <f t="shared" si="6"/>
        <v>0.22144638932976282</v>
      </c>
      <c r="AS19" t="str">
        <f t="shared" si="2"/>
        <v>A</v>
      </c>
      <c r="AT19" s="8">
        <f t="shared" si="3"/>
        <v>1.5012394875744666</v>
      </c>
      <c r="AU19" t="str">
        <f t="shared" si="4"/>
        <v>Z</v>
      </c>
      <c r="AZ19" t="s">
        <v>158</v>
      </c>
      <c r="BA19" t="s">
        <v>471</v>
      </c>
      <c r="BB19" t="s">
        <v>472</v>
      </c>
      <c r="BC19">
        <v>0</v>
      </c>
      <c r="BD19">
        <v>87546</v>
      </c>
      <c r="BE19">
        <v>0</v>
      </c>
      <c r="BF19">
        <v>90020</v>
      </c>
      <c r="BG19">
        <v>106409</v>
      </c>
      <c r="BH19">
        <v>0</v>
      </c>
      <c r="BI19">
        <v>0</v>
      </c>
      <c r="BJ19">
        <v>29679</v>
      </c>
      <c r="BK19">
        <v>158540</v>
      </c>
      <c r="BL19">
        <v>16739</v>
      </c>
      <c r="BM19">
        <v>77392</v>
      </c>
      <c r="BN19">
        <v>33592</v>
      </c>
      <c r="BO19">
        <v>0</v>
      </c>
    </row>
    <row r="20" spans="1:67" x14ac:dyDescent="0.25">
      <c r="A20" t="s">
        <v>36</v>
      </c>
      <c r="B20" t="s">
        <v>37</v>
      </c>
      <c r="C20" t="s">
        <v>38</v>
      </c>
      <c r="D20" s="7">
        <v>13331</v>
      </c>
      <c r="E20">
        <v>10</v>
      </c>
      <c r="H20" t="s">
        <v>14</v>
      </c>
      <c r="I20">
        <v>4215377</v>
      </c>
      <c r="J20" s="8">
        <v>0.58333333333333337</v>
      </c>
      <c r="K20">
        <v>7.7351252165320239E-2</v>
      </c>
      <c r="L20">
        <v>0.64066805833865692</v>
      </c>
      <c r="M20" t="s">
        <v>471</v>
      </c>
      <c r="O20" t="s">
        <v>14</v>
      </c>
      <c r="P20">
        <v>83</v>
      </c>
      <c r="Q20">
        <v>0.58333333333333337</v>
      </c>
      <c r="R20" s="9">
        <v>8.3000000000000004E-2</v>
      </c>
      <c r="S20" s="9">
        <v>0.6319999999999999</v>
      </c>
      <c r="T20" t="s">
        <v>471</v>
      </c>
      <c r="W20" t="s">
        <v>37</v>
      </c>
      <c r="X20" s="11" t="s">
        <v>38</v>
      </c>
      <c r="Y20" s="7">
        <v>13331</v>
      </c>
      <c r="Z20" s="11" t="str">
        <f t="shared" si="5"/>
        <v>2023-9</v>
      </c>
      <c r="AA20" t="s">
        <v>93</v>
      </c>
      <c r="AB20">
        <f>SUMIFS($Y:$Y,$W:$W,$AA20,$Z:$Z,AB$1)</f>
        <v>85174</v>
      </c>
      <c r="AC20">
        <f>SUMIFS($Y:$Y,$W:$W,$AA20,$Z:$Z,AC$1)</f>
        <v>0</v>
      </c>
      <c r="AD20">
        <f>SUMIFS($Y:$Y,$W:$W,$AA20,$Z:$Z,AD$1)</f>
        <v>45461</v>
      </c>
      <c r="AE20">
        <f>SUMIFS($Y:$Y,$W:$W,$AA20,$Z:$Z,AE$1)</f>
        <v>0</v>
      </c>
      <c r="AF20">
        <f>SUMIFS($Y:$Y,$W:$W,$AA20,$Z:$Z,AF$1)</f>
        <v>50818</v>
      </c>
      <c r="AG20">
        <f>SUMIFS($Y:$Y,$W:$W,$AA20,$Z:$Z,AG$1)</f>
        <v>0</v>
      </c>
      <c r="AH20">
        <f>SUMIFS($Y:$Y,$W:$W,$AA20,$Z:$Z,AH$1)</f>
        <v>78376</v>
      </c>
      <c r="AI20">
        <f>SUMIFS($Y:$Y,$W:$W,$AA20,$Z:$Z,AI$1)</f>
        <v>19616</v>
      </c>
      <c r="AJ20">
        <f>SUMIFS($Y:$Y,$W:$W,$AA20,$Z:$Z,AJ$1)</f>
        <v>152256</v>
      </c>
      <c r="AK20">
        <f>SUMIFS($Y:$Y,$W:$W,$AA20,$Z:$Z,AK$1)</f>
        <v>0</v>
      </c>
      <c r="AL20">
        <f>SUMIFS($Y:$Y,$W:$W,$AA20,$Z:$Z,AL$1)</f>
        <v>0</v>
      </c>
      <c r="AM20">
        <f>SUMIFS($Y:$Y,$W:$W,$AA20,$Z:$Z,AM$1)</f>
        <v>95306</v>
      </c>
      <c r="AN20">
        <f>SUMIFS($Y:$Y,$W:$W,$AA20,$Z:$Z,AN$1)</f>
        <v>0</v>
      </c>
      <c r="AO20">
        <f>SUM(AB20:AN20)</f>
        <v>527007</v>
      </c>
      <c r="AP20" s="8">
        <f t="shared" si="0"/>
        <v>9.5959595959595953E-2</v>
      </c>
      <c r="AQ20" s="8">
        <f t="shared" si="1"/>
        <v>9.6704639584760561E-3</v>
      </c>
      <c r="AR20" s="8">
        <f t="shared" si="6"/>
        <v>0.23111685328823889</v>
      </c>
      <c r="AS20" t="str">
        <f t="shared" si="2"/>
        <v>A</v>
      </c>
      <c r="AT20" s="8">
        <f t="shared" si="3"/>
        <v>1.1717292309020115</v>
      </c>
      <c r="AU20" t="str">
        <f t="shared" si="4"/>
        <v>Z</v>
      </c>
      <c r="AZ20" t="s">
        <v>174</v>
      </c>
      <c r="BA20" t="s">
        <v>471</v>
      </c>
      <c r="BB20" t="s">
        <v>472</v>
      </c>
      <c r="BC20">
        <v>0</v>
      </c>
      <c r="BD20">
        <v>0</v>
      </c>
      <c r="BE20">
        <v>44197</v>
      </c>
      <c r="BF20">
        <v>75509</v>
      </c>
      <c r="BG20">
        <v>0</v>
      </c>
      <c r="BH20">
        <v>0</v>
      </c>
      <c r="BI20">
        <v>0</v>
      </c>
      <c r="BJ20">
        <v>0</v>
      </c>
      <c r="BK20">
        <v>96960</v>
      </c>
      <c r="BL20">
        <v>125654</v>
      </c>
      <c r="BM20">
        <v>0</v>
      </c>
      <c r="BN20">
        <v>59849</v>
      </c>
      <c r="BO20">
        <v>0</v>
      </c>
    </row>
    <row r="21" spans="1:67" x14ac:dyDescent="0.25">
      <c r="A21" t="s">
        <v>5</v>
      </c>
      <c r="B21" t="s">
        <v>39</v>
      </c>
      <c r="C21" t="s">
        <v>38</v>
      </c>
      <c r="D21" s="7">
        <v>82207</v>
      </c>
      <c r="E21">
        <v>9</v>
      </c>
      <c r="H21" t="s">
        <v>33</v>
      </c>
      <c r="I21">
        <v>3990672</v>
      </c>
      <c r="J21" s="8">
        <v>0.83333333333333337</v>
      </c>
      <c r="K21">
        <v>7.3227964232163073E-2</v>
      </c>
      <c r="L21">
        <v>0.86725269878512334</v>
      </c>
      <c r="M21" t="s">
        <v>474</v>
      </c>
      <c r="O21" t="s">
        <v>33</v>
      </c>
      <c r="P21">
        <v>76</v>
      </c>
      <c r="Q21">
        <v>0.83333333333333337</v>
      </c>
      <c r="R21" s="9">
        <v>7.5999999999999998E-2</v>
      </c>
      <c r="S21" s="9">
        <v>0.86499999999999977</v>
      </c>
      <c r="T21" t="s">
        <v>474</v>
      </c>
      <c r="W21" t="s">
        <v>39</v>
      </c>
      <c r="X21" s="11" t="s">
        <v>38</v>
      </c>
      <c r="Y21" s="7">
        <v>82207</v>
      </c>
      <c r="Z21" s="11" t="str">
        <f t="shared" si="5"/>
        <v>2023-9</v>
      </c>
      <c r="AA21" t="s">
        <v>19</v>
      </c>
      <c r="AB21">
        <f>SUMIFS($Y:$Y,$W:$W,$AA21,$Z:$Z,AB$1)</f>
        <v>12495</v>
      </c>
      <c r="AC21">
        <f>SUMIFS($Y:$Y,$W:$W,$AA21,$Z:$Z,AC$1)</f>
        <v>54060</v>
      </c>
      <c r="AD21">
        <f>SUMIFS($Y:$Y,$W:$W,$AA21,$Z:$Z,AD$1)</f>
        <v>39905</v>
      </c>
      <c r="AE21">
        <f>SUMIFS($Y:$Y,$W:$W,$AA21,$Z:$Z,AE$1)</f>
        <v>48804</v>
      </c>
      <c r="AF21">
        <f>SUMIFS($Y:$Y,$W:$W,$AA21,$Z:$Z,AF$1)</f>
        <v>142246</v>
      </c>
      <c r="AG21">
        <f>SUMIFS($Y:$Y,$W:$W,$AA21,$Z:$Z,AG$1)</f>
        <v>0</v>
      </c>
      <c r="AH21">
        <f>SUMIFS($Y:$Y,$W:$W,$AA21,$Z:$Z,AH$1)</f>
        <v>74047</v>
      </c>
      <c r="AI21">
        <f>SUMIFS($Y:$Y,$W:$W,$AA21,$Z:$Z,AI$1)</f>
        <v>34246</v>
      </c>
      <c r="AJ21">
        <f>SUMIFS($Y:$Y,$W:$W,$AA21,$Z:$Z,AJ$1)</f>
        <v>0</v>
      </c>
      <c r="AK21">
        <f>SUMIFS($Y:$Y,$W:$W,$AA21,$Z:$Z,AK$1)</f>
        <v>31673</v>
      </c>
      <c r="AL21">
        <f>SUMIFS($Y:$Y,$W:$W,$AA21,$Z:$Z,AL$1)</f>
        <v>86002</v>
      </c>
      <c r="AM21">
        <f>SUMIFS($Y:$Y,$W:$W,$AA21,$Z:$Z,AM$1)</f>
        <v>0</v>
      </c>
      <c r="AN21">
        <f>SUMIFS($Y:$Y,$W:$W,$AA21,$Z:$Z,AN$1)</f>
        <v>0</v>
      </c>
      <c r="AO21">
        <f>SUM(AB21:AN21)</f>
        <v>523478</v>
      </c>
      <c r="AP21" s="8">
        <f t="shared" si="0"/>
        <v>0.10101010101010101</v>
      </c>
      <c r="AQ21" s="8">
        <f t="shared" si="1"/>
        <v>9.6057075751463054E-3</v>
      </c>
      <c r="AR21" s="8">
        <f t="shared" si="6"/>
        <v>0.2407225608633852</v>
      </c>
      <c r="AS21" t="str">
        <f t="shared" si="2"/>
        <v>A</v>
      </c>
      <c r="AT21" s="8">
        <f t="shared" si="3"/>
        <v>1.0043479591866049</v>
      </c>
      <c r="AU21" t="str">
        <f t="shared" si="4"/>
        <v>Z</v>
      </c>
      <c r="AZ21" t="s">
        <v>384</v>
      </c>
      <c r="BA21" t="s">
        <v>478</v>
      </c>
      <c r="BB21" t="s">
        <v>472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46574</v>
      </c>
      <c r="BL21">
        <v>0</v>
      </c>
      <c r="BM21">
        <v>0</v>
      </c>
      <c r="BN21">
        <v>0</v>
      </c>
      <c r="BO21">
        <v>0</v>
      </c>
    </row>
    <row r="22" spans="1:67" x14ac:dyDescent="0.25">
      <c r="A22" t="s">
        <v>10</v>
      </c>
      <c r="B22" t="s">
        <v>6</v>
      </c>
      <c r="C22" t="s">
        <v>38</v>
      </c>
      <c r="D22" s="7">
        <v>51891</v>
      </c>
      <c r="E22">
        <v>7</v>
      </c>
      <c r="H22" t="s">
        <v>23</v>
      </c>
      <c r="I22">
        <v>5002098</v>
      </c>
      <c r="J22" s="8">
        <v>0.33333333333333331</v>
      </c>
      <c r="K22">
        <v>9.178741160129783E-2</v>
      </c>
      <c r="L22">
        <v>0.38834315003894376</v>
      </c>
      <c r="M22" t="s">
        <v>471</v>
      </c>
      <c r="O22" t="s">
        <v>23</v>
      </c>
      <c r="P22">
        <v>86</v>
      </c>
      <c r="Q22">
        <v>0.41666666666666669</v>
      </c>
      <c r="R22" s="9">
        <v>8.5999999999999993E-2</v>
      </c>
      <c r="S22" s="9">
        <v>0.46499999999999997</v>
      </c>
      <c r="T22" t="s">
        <v>471</v>
      </c>
      <c r="W22" t="s">
        <v>6</v>
      </c>
      <c r="X22" s="11" t="s">
        <v>38</v>
      </c>
      <c r="Y22" s="7">
        <v>51891</v>
      </c>
      <c r="Z22" s="11" t="str">
        <f t="shared" si="5"/>
        <v>2023-9</v>
      </c>
      <c r="AA22" t="s">
        <v>44</v>
      </c>
      <c r="AB22">
        <f>SUMIFS($Y:$Y,$W:$W,$AA22,$Z:$Z,AB$1)</f>
        <v>38155</v>
      </c>
      <c r="AC22">
        <f>SUMIFS($Y:$Y,$W:$W,$AA22,$Z:$Z,AC$1)</f>
        <v>0</v>
      </c>
      <c r="AD22">
        <f>SUMIFS($Y:$Y,$W:$W,$AA22,$Z:$Z,AD$1)</f>
        <v>74351</v>
      </c>
      <c r="AE22">
        <f>SUMIFS($Y:$Y,$W:$W,$AA22,$Z:$Z,AE$1)</f>
        <v>74728</v>
      </c>
      <c r="AF22">
        <f>SUMIFS($Y:$Y,$W:$W,$AA22,$Z:$Z,AF$1)</f>
        <v>0</v>
      </c>
      <c r="AG22">
        <f>SUMIFS($Y:$Y,$W:$W,$AA22,$Z:$Z,AG$1)</f>
        <v>0</v>
      </c>
      <c r="AH22">
        <f>SUMIFS($Y:$Y,$W:$W,$AA22,$Z:$Z,AH$1)</f>
        <v>0</v>
      </c>
      <c r="AI22">
        <f>SUMIFS($Y:$Y,$W:$W,$AA22,$Z:$Z,AI$1)</f>
        <v>98190</v>
      </c>
      <c r="AJ22">
        <f>SUMIFS($Y:$Y,$W:$W,$AA22,$Z:$Z,AJ$1)</f>
        <v>133609</v>
      </c>
      <c r="AK22">
        <f>SUMIFS($Y:$Y,$W:$W,$AA22,$Z:$Z,AK$1)</f>
        <v>0</v>
      </c>
      <c r="AL22">
        <f>SUMIFS($Y:$Y,$W:$W,$AA22,$Z:$Z,AL$1)</f>
        <v>0</v>
      </c>
      <c r="AM22">
        <f>SUMIFS($Y:$Y,$W:$W,$AA22,$Z:$Z,AM$1)</f>
        <v>70697</v>
      </c>
      <c r="AN22">
        <f>SUMIFS($Y:$Y,$W:$W,$AA22,$Z:$Z,AN$1)</f>
        <v>0</v>
      </c>
      <c r="AO22">
        <f>SUM(AB22:AN22)</f>
        <v>489730</v>
      </c>
      <c r="AP22" s="8">
        <f t="shared" si="0"/>
        <v>0.10606060606060606</v>
      </c>
      <c r="AQ22" s="8">
        <f t="shared" si="1"/>
        <v>8.9864391068514831E-3</v>
      </c>
      <c r="AR22" s="8">
        <f t="shared" si="6"/>
        <v>0.24970899997023668</v>
      </c>
      <c r="AS22" t="str">
        <f t="shared" si="2"/>
        <v>A</v>
      </c>
      <c r="AT22" s="8">
        <f t="shared" si="3"/>
        <v>1.2009839070420687</v>
      </c>
      <c r="AU22" t="str">
        <f t="shared" si="4"/>
        <v>Z</v>
      </c>
      <c r="AZ22" t="s">
        <v>225</v>
      </c>
      <c r="BA22" t="s">
        <v>478</v>
      </c>
      <c r="BB22" t="s">
        <v>472</v>
      </c>
      <c r="BC22">
        <v>0</v>
      </c>
      <c r="BD22">
        <v>0</v>
      </c>
      <c r="BE22">
        <v>0</v>
      </c>
      <c r="BF22">
        <v>35209</v>
      </c>
      <c r="BG22">
        <v>54723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</row>
    <row r="23" spans="1:67" x14ac:dyDescent="0.25">
      <c r="A23" t="s">
        <v>10</v>
      </c>
      <c r="B23" t="s">
        <v>28</v>
      </c>
      <c r="C23" t="s">
        <v>40</v>
      </c>
      <c r="D23" s="7">
        <v>41044</v>
      </c>
      <c r="E23">
        <v>4</v>
      </c>
      <c r="H23" t="s">
        <v>27</v>
      </c>
      <c r="I23">
        <v>5367389</v>
      </c>
      <c r="J23" s="8">
        <v>0.16666666666666666</v>
      </c>
      <c r="K23">
        <v>9.8490422092345722E-2</v>
      </c>
      <c r="L23">
        <v>0.20331406985373279</v>
      </c>
      <c r="M23" t="s">
        <v>471</v>
      </c>
      <c r="O23" t="s">
        <v>27</v>
      </c>
      <c r="P23">
        <v>89</v>
      </c>
      <c r="Q23">
        <v>0.33333333333333331</v>
      </c>
      <c r="R23" s="9">
        <v>8.8999999999999996E-2</v>
      </c>
      <c r="S23" s="9">
        <v>0.379</v>
      </c>
      <c r="T23" t="s">
        <v>471</v>
      </c>
      <c r="W23" t="s">
        <v>28</v>
      </c>
      <c r="X23" s="11" t="s">
        <v>40</v>
      </c>
      <c r="Y23" s="7">
        <v>41044</v>
      </c>
      <c r="Z23" s="11" t="str">
        <f t="shared" si="5"/>
        <v>2023-9</v>
      </c>
      <c r="AA23" t="s">
        <v>269</v>
      </c>
      <c r="AB23">
        <f>SUMIFS($Y:$Y,$W:$W,$AA23,$Z:$Z,AB$1)</f>
        <v>0</v>
      </c>
      <c r="AC23">
        <f>SUMIFS($Y:$Y,$W:$W,$AA23,$Z:$Z,AC$1)</f>
        <v>0</v>
      </c>
      <c r="AD23">
        <f>SUMIFS($Y:$Y,$W:$W,$AA23,$Z:$Z,AD$1)</f>
        <v>0</v>
      </c>
      <c r="AE23">
        <f>SUMIFS($Y:$Y,$W:$W,$AA23,$Z:$Z,AE$1)</f>
        <v>0</v>
      </c>
      <c r="AF23">
        <f>SUMIFS($Y:$Y,$W:$W,$AA23,$Z:$Z,AF$1)</f>
        <v>80818</v>
      </c>
      <c r="AG23">
        <f>SUMIFS($Y:$Y,$W:$W,$AA23,$Z:$Z,AG$1)</f>
        <v>172145</v>
      </c>
      <c r="AH23">
        <f>SUMIFS($Y:$Y,$W:$W,$AA23,$Z:$Z,AH$1)</f>
        <v>71847</v>
      </c>
      <c r="AI23">
        <f>SUMIFS($Y:$Y,$W:$W,$AA23,$Z:$Z,AI$1)</f>
        <v>0</v>
      </c>
      <c r="AJ23">
        <f>SUMIFS($Y:$Y,$W:$W,$AA23,$Z:$Z,AJ$1)</f>
        <v>99358</v>
      </c>
      <c r="AK23">
        <f>SUMIFS($Y:$Y,$W:$W,$AA23,$Z:$Z,AK$1)</f>
        <v>0</v>
      </c>
      <c r="AL23">
        <f>SUMIFS($Y:$Y,$W:$W,$AA23,$Z:$Z,AL$1)</f>
        <v>60677</v>
      </c>
      <c r="AM23">
        <f>SUMIFS($Y:$Y,$W:$W,$AA23,$Z:$Z,AM$1)</f>
        <v>0</v>
      </c>
      <c r="AN23">
        <f>SUMIFS($Y:$Y,$W:$W,$AA23,$Z:$Z,AN$1)</f>
        <v>0</v>
      </c>
      <c r="AO23">
        <f>SUM(AB23:AN23)</f>
        <v>484845</v>
      </c>
      <c r="AP23" s="8">
        <f t="shared" si="0"/>
        <v>0.1111111111111111</v>
      </c>
      <c r="AQ23" s="8">
        <f t="shared" si="1"/>
        <v>8.8968004181108097E-3</v>
      </c>
      <c r="AR23" s="8">
        <f t="shared" si="6"/>
        <v>0.25860580038834752</v>
      </c>
      <c r="AS23" t="str">
        <f t="shared" si="2"/>
        <v>A</v>
      </c>
      <c r="AT23" s="8">
        <f t="shared" si="3"/>
        <v>1.4265392432361805</v>
      </c>
      <c r="AU23" t="str">
        <f t="shared" si="4"/>
        <v>Z</v>
      </c>
      <c r="AZ23" t="s">
        <v>229</v>
      </c>
      <c r="BA23" t="s">
        <v>471</v>
      </c>
      <c r="BB23" t="s">
        <v>472</v>
      </c>
      <c r="BC23">
        <v>0</v>
      </c>
      <c r="BD23">
        <v>0</v>
      </c>
      <c r="BE23">
        <v>0</v>
      </c>
      <c r="BF23">
        <v>76066</v>
      </c>
      <c r="BG23">
        <v>56932</v>
      </c>
      <c r="BH23">
        <v>35748</v>
      </c>
      <c r="BI23">
        <v>0</v>
      </c>
      <c r="BJ23">
        <v>20929</v>
      </c>
      <c r="BK23">
        <v>0</v>
      </c>
      <c r="BL23">
        <v>0</v>
      </c>
      <c r="BM23">
        <v>82385</v>
      </c>
      <c r="BN23">
        <v>0</v>
      </c>
      <c r="BO23">
        <v>0</v>
      </c>
    </row>
    <row r="24" spans="1:67" x14ac:dyDescent="0.25">
      <c r="A24" t="s">
        <v>27</v>
      </c>
      <c r="B24" t="s">
        <v>34</v>
      </c>
      <c r="C24" t="s">
        <v>40</v>
      </c>
      <c r="D24" s="7">
        <v>26719</v>
      </c>
      <c r="E24">
        <v>7</v>
      </c>
      <c r="H24" t="s">
        <v>5</v>
      </c>
      <c r="I24">
        <v>4205293</v>
      </c>
      <c r="J24" s="8">
        <v>0.66666666666666663</v>
      </c>
      <c r="K24">
        <v>7.7166212956054955E-2</v>
      </c>
      <c r="L24">
        <v>0.71783427129471189</v>
      </c>
      <c r="M24" t="s">
        <v>471</v>
      </c>
      <c r="O24" t="s">
        <v>5</v>
      </c>
      <c r="P24">
        <v>84</v>
      </c>
      <c r="Q24">
        <v>0.5</v>
      </c>
      <c r="R24" s="9">
        <v>8.4000000000000005E-2</v>
      </c>
      <c r="S24" s="9">
        <v>0.54899999999999993</v>
      </c>
      <c r="T24" t="s">
        <v>471</v>
      </c>
      <c r="W24" t="s">
        <v>34</v>
      </c>
      <c r="X24" s="11" t="s">
        <v>40</v>
      </c>
      <c r="Y24" s="7">
        <v>26719</v>
      </c>
      <c r="Z24" s="11" t="str">
        <f t="shared" si="5"/>
        <v>2023-9</v>
      </c>
      <c r="AA24" t="s">
        <v>266</v>
      </c>
      <c r="AB24">
        <f>SUMIFS($Y:$Y,$W:$W,$AA24,$Z:$Z,AB$1)</f>
        <v>0</v>
      </c>
      <c r="AC24">
        <f>SUMIFS($Y:$Y,$W:$W,$AA24,$Z:$Z,AC$1)</f>
        <v>0</v>
      </c>
      <c r="AD24">
        <f>SUMIFS($Y:$Y,$W:$W,$AA24,$Z:$Z,AD$1)</f>
        <v>0</v>
      </c>
      <c r="AE24">
        <f>SUMIFS($Y:$Y,$W:$W,$AA24,$Z:$Z,AE$1)</f>
        <v>0</v>
      </c>
      <c r="AF24">
        <f>SUMIFS($Y:$Y,$W:$W,$AA24,$Z:$Z,AF$1)</f>
        <v>43308</v>
      </c>
      <c r="AG24">
        <f>SUMIFS($Y:$Y,$W:$W,$AA24,$Z:$Z,AG$1)</f>
        <v>75168</v>
      </c>
      <c r="AH24">
        <f>SUMIFS($Y:$Y,$W:$W,$AA24,$Z:$Z,AH$1)</f>
        <v>92745</v>
      </c>
      <c r="AI24">
        <f>SUMIFS($Y:$Y,$W:$W,$AA24,$Z:$Z,AI$1)</f>
        <v>88348</v>
      </c>
      <c r="AJ24">
        <f>SUMIFS($Y:$Y,$W:$W,$AA24,$Z:$Z,AJ$1)</f>
        <v>0</v>
      </c>
      <c r="AK24">
        <f>SUMIFS($Y:$Y,$W:$W,$AA24,$Z:$Z,AK$1)</f>
        <v>0</v>
      </c>
      <c r="AL24">
        <f>SUMIFS($Y:$Y,$W:$W,$AA24,$Z:$Z,AL$1)</f>
        <v>90039</v>
      </c>
      <c r="AM24">
        <f>SUMIFS($Y:$Y,$W:$W,$AA24,$Z:$Z,AM$1)</f>
        <v>92451</v>
      </c>
      <c r="AN24">
        <f>SUMIFS($Y:$Y,$W:$W,$AA24,$Z:$Z,AN$1)</f>
        <v>0</v>
      </c>
      <c r="AO24">
        <f>SUM(AB24:AN24)</f>
        <v>482059</v>
      </c>
      <c r="AP24" s="8">
        <f t="shared" si="0"/>
        <v>0.11616161616161616</v>
      </c>
      <c r="AQ24" s="8">
        <f t="shared" si="1"/>
        <v>8.8456779233653613E-3</v>
      </c>
      <c r="AR24" s="8">
        <f t="shared" si="6"/>
        <v>0.2674514783117129</v>
      </c>
      <c r="AS24" t="str">
        <f t="shared" si="2"/>
        <v>A</v>
      </c>
      <c r="AT24" s="8">
        <f t="shared" si="3"/>
        <v>1.1271846789208773</v>
      </c>
      <c r="AU24" t="str">
        <f t="shared" si="4"/>
        <v>Z</v>
      </c>
      <c r="AZ24" t="s">
        <v>281</v>
      </c>
      <c r="BA24" t="s">
        <v>474</v>
      </c>
      <c r="BB24" t="s">
        <v>472</v>
      </c>
      <c r="BC24">
        <v>0</v>
      </c>
      <c r="BD24">
        <v>0</v>
      </c>
      <c r="BE24">
        <v>0</v>
      </c>
      <c r="BF24">
        <v>0</v>
      </c>
      <c r="BG24">
        <v>50614</v>
      </c>
      <c r="BH24">
        <v>0</v>
      </c>
      <c r="BI24">
        <v>94620</v>
      </c>
      <c r="BJ24">
        <v>0</v>
      </c>
      <c r="BK24">
        <v>0</v>
      </c>
      <c r="BL24">
        <v>70036</v>
      </c>
      <c r="BM24">
        <v>0</v>
      </c>
      <c r="BN24">
        <v>0</v>
      </c>
      <c r="BO24">
        <v>0</v>
      </c>
    </row>
    <row r="25" spans="1:67" x14ac:dyDescent="0.25">
      <c r="A25" t="s">
        <v>5</v>
      </c>
      <c r="B25" t="s">
        <v>41</v>
      </c>
      <c r="C25" t="s">
        <v>40</v>
      </c>
      <c r="D25" s="7">
        <v>20721</v>
      </c>
      <c r="E25">
        <v>8</v>
      </c>
      <c r="H25" t="s">
        <v>8</v>
      </c>
      <c r="I25">
        <v>4606392</v>
      </c>
      <c r="J25" s="8">
        <v>0.5</v>
      </c>
      <c r="K25">
        <v>8.4526292467865582E-2</v>
      </c>
      <c r="L25">
        <v>0.56331680617333668</v>
      </c>
      <c r="M25" t="s">
        <v>471</v>
      </c>
      <c r="O25" t="s">
        <v>8</v>
      </c>
      <c r="P25">
        <v>79</v>
      </c>
      <c r="Q25">
        <v>0.66666666666666663</v>
      </c>
      <c r="R25" s="9">
        <v>7.9000000000000001E-2</v>
      </c>
      <c r="S25" s="9">
        <v>0.71099999999999985</v>
      </c>
      <c r="T25" t="s">
        <v>471</v>
      </c>
      <c r="W25" t="s">
        <v>41</v>
      </c>
      <c r="X25" s="11" t="s">
        <v>40</v>
      </c>
      <c r="Y25" s="7">
        <v>20721</v>
      </c>
      <c r="Z25" s="11" t="str">
        <f t="shared" si="5"/>
        <v>2023-9</v>
      </c>
      <c r="AA25" t="s">
        <v>132</v>
      </c>
      <c r="AB25">
        <f>SUMIFS($Y:$Y,$W:$W,$AA25,$Z:$Z,AB$1)</f>
        <v>0</v>
      </c>
      <c r="AC25">
        <f>SUMIFS($Y:$Y,$W:$W,$AA25,$Z:$Z,AC$1)</f>
        <v>86872</v>
      </c>
      <c r="AD25">
        <f>SUMIFS($Y:$Y,$W:$W,$AA25,$Z:$Z,AD$1)</f>
        <v>56274</v>
      </c>
      <c r="AE25">
        <f>SUMIFS($Y:$Y,$W:$W,$AA25,$Z:$Z,AE$1)</f>
        <v>0</v>
      </c>
      <c r="AF25">
        <f>SUMIFS($Y:$Y,$W:$W,$AA25,$Z:$Z,AF$1)</f>
        <v>0</v>
      </c>
      <c r="AG25">
        <f>SUMIFS($Y:$Y,$W:$W,$AA25,$Z:$Z,AG$1)</f>
        <v>0</v>
      </c>
      <c r="AH25">
        <f>SUMIFS($Y:$Y,$W:$W,$AA25,$Z:$Z,AH$1)</f>
        <v>172643</v>
      </c>
      <c r="AI25">
        <f>SUMIFS($Y:$Y,$W:$W,$AA25,$Z:$Z,AI$1)</f>
        <v>59753</v>
      </c>
      <c r="AJ25">
        <f>SUMIFS($Y:$Y,$W:$W,$AA25,$Z:$Z,AJ$1)</f>
        <v>0</v>
      </c>
      <c r="AK25">
        <f>SUMIFS($Y:$Y,$W:$W,$AA25,$Z:$Z,AK$1)</f>
        <v>0</v>
      </c>
      <c r="AL25">
        <f>SUMIFS($Y:$Y,$W:$W,$AA25,$Z:$Z,AL$1)</f>
        <v>0</v>
      </c>
      <c r="AM25">
        <f>SUMIFS($Y:$Y,$W:$W,$AA25,$Z:$Z,AM$1)</f>
        <v>91906</v>
      </c>
      <c r="AN25">
        <f>SUMIFS($Y:$Y,$W:$W,$AA25,$Z:$Z,AN$1)</f>
        <v>0</v>
      </c>
      <c r="AO25">
        <f>SUM(AB25:AN25)</f>
        <v>467448</v>
      </c>
      <c r="AP25" s="8">
        <f t="shared" si="0"/>
        <v>0.12121212121212122</v>
      </c>
      <c r="AQ25" s="8">
        <f t="shared" si="1"/>
        <v>8.5775692475844063E-3</v>
      </c>
      <c r="AR25" s="8">
        <f t="shared" si="6"/>
        <v>0.2760290475592973</v>
      </c>
      <c r="AS25" t="str">
        <f t="shared" si="2"/>
        <v>A</v>
      </c>
      <c r="AT25" s="8">
        <f t="shared" si="3"/>
        <v>1.4579496447239879</v>
      </c>
      <c r="AU25" t="str">
        <f t="shared" si="4"/>
        <v>Z</v>
      </c>
      <c r="AZ25" t="s">
        <v>255</v>
      </c>
      <c r="BA25" t="s">
        <v>474</v>
      </c>
      <c r="BB25" t="s">
        <v>472</v>
      </c>
      <c r="BC25">
        <v>0</v>
      </c>
      <c r="BD25">
        <v>0</v>
      </c>
      <c r="BE25">
        <v>0</v>
      </c>
      <c r="BF25">
        <v>0</v>
      </c>
      <c r="BG25">
        <v>72863</v>
      </c>
      <c r="BH25">
        <v>0</v>
      </c>
      <c r="BI25">
        <v>0</v>
      </c>
      <c r="BJ25">
        <v>38600</v>
      </c>
      <c r="BK25">
        <v>0</v>
      </c>
      <c r="BL25">
        <v>0</v>
      </c>
      <c r="BM25">
        <v>0</v>
      </c>
      <c r="BN25">
        <v>40600</v>
      </c>
      <c r="BO25">
        <v>0</v>
      </c>
    </row>
    <row r="26" spans="1:67" x14ac:dyDescent="0.25">
      <c r="A26" t="s">
        <v>27</v>
      </c>
      <c r="B26" t="s">
        <v>42</v>
      </c>
      <c r="C26" t="s">
        <v>40</v>
      </c>
      <c r="D26" s="7">
        <v>14427</v>
      </c>
      <c r="E26">
        <v>5</v>
      </c>
      <c r="H26" t="s">
        <v>36</v>
      </c>
      <c r="I26">
        <v>3469845</v>
      </c>
      <c r="J26" s="8">
        <v>1</v>
      </c>
      <c r="K26">
        <v>6.3670901931090762E-2</v>
      </c>
      <c r="L26">
        <v>1</v>
      </c>
      <c r="M26" t="s">
        <v>478</v>
      </c>
      <c r="O26" t="s">
        <v>36</v>
      </c>
      <c r="P26">
        <v>72</v>
      </c>
      <c r="Q26">
        <v>0.91666666666666663</v>
      </c>
      <c r="R26" s="9">
        <v>7.1999999999999995E-2</v>
      </c>
      <c r="S26" s="9">
        <v>0.93699999999999972</v>
      </c>
      <c r="T26" t="s">
        <v>474</v>
      </c>
      <c r="W26" t="s">
        <v>42</v>
      </c>
      <c r="X26" s="11" t="s">
        <v>40</v>
      </c>
      <c r="Y26" s="7">
        <v>14427</v>
      </c>
      <c r="Z26" s="11" t="str">
        <f t="shared" si="5"/>
        <v>2023-9</v>
      </c>
      <c r="AA26" t="s">
        <v>180</v>
      </c>
      <c r="AB26">
        <f>SUMIFS($Y:$Y,$W:$W,$AA26,$Z:$Z,AB$1)</f>
        <v>0</v>
      </c>
      <c r="AC26">
        <f>SUMIFS($Y:$Y,$W:$W,$AA26,$Z:$Z,AC$1)</f>
        <v>0</v>
      </c>
      <c r="AD26">
        <f>SUMIFS($Y:$Y,$W:$W,$AA26,$Z:$Z,AD$1)</f>
        <v>59204</v>
      </c>
      <c r="AE26">
        <f>SUMIFS($Y:$Y,$W:$W,$AA26,$Z:$Z,AE$1)</f>
        <v>0</v>
      </c>
      <c r="AF26">
        <f>SUMIFS($Y:$Y,$W:$W,$AA26,$Z:$Z,AF$1)</f>
        <v>0</v>
      </c>
      <c r="AG26">
        <f>SUMIFS($Y:$Y,$W:$W,$AA26,$Z:$Z,AG$1)</f>
        <v>82676</v>
      </c>
      <c r="AH26">
        <f>SUMIFS($Y:$Y,$W:$W,$AA26,$Z:$Z,AH$1)</f>
        <v>0</v>
      </c>
      <c r="AI26">
        <f>SUMIFS($Y:$Y,$W:$W,$AA26,$Z:$Z,AI$1)</f>
        <v>91271</v>
      </c>
      <c r="AJ26">
        <f>SUMIFS($Y:$Y,$W:$W,$AA26,$Z:$Z,AJ$1)</f>
        <v>41094</v>
      </c>
      <c r="AK26">
        <f>SUMIFS($Y:$Y,$W:$W,$AA26,$Z:$Z,AK$1)</f>
        <v>68510</v>
      </c>
      <c r="AL26">
        <f>SUMIFS($Y:$Y,$W:$W,$AA26,$Z:$Z,AL$1)</f>
        <v>0</v>
      </c>
      <c r="AM26">
        <f>SUMIFS($Y:$Y,$W:$W,$AA26,$Z:$Z,AM$1)</f>
        <v>48429</v>
      </c>
      <c r="AN26">
        <f>SUMIFS($Y:$Y,$W:$W,$AA26,$Z:$Z,AN$1)</f>
        <v>74244</v>
      </c>
      <c r="AO26">
        <f>SUM(AB26:AN26)</f>
        <v>465428</v>
      </c>
      <c r="AP26" s="8">
        <f t="shared" si="0"/>
        <v>0.12626262626262627</v>
      </c>
      <c r="AQ26" s="8">
        <f t="shared" si="1"/>
        <v>8.5405026864265442E-3</v>
      </c>
      <c r="AR26" s="8">
        <f t="shared" si="6"/>
        <v>0.28456955024572383</v>
      </c>
      <c r="AS26" t="str">
        <f t="shared" si="2"/>
        <v>A</v>
      </c>
      <c r="AT26" s="8">
        <f t="shared" si="3"/>
        <v>0.9874403295966625</v>
      </c>
      <c r="AU26" t="str">
        <f t="shared" si="4"/>
        <v>Z</v>
      </c>
      <c r="AZ26" t="s">
        <v>147</v>
      </c>
      <c r="BA26" t="s">
        <v>471</v>
      </c>
      <c r="BB26" t="s">
        <v>472</v>
      </c>
      <c r="BC26">
        <v>0</v>
      </c>
      <c r="BD26">
        <v>63853</v>
      </c>
      <c r="BE26">
        <v>58737</v>
      </c>
      <c r="BF26">
        <v>0</v>
      </c>
      <c r="BG26">
        <v>0</v>
      </c>
      <c r="BH26">
        <v>0</v>
      </c>
      <c r="BI26">
        <v>73749</v>
      </c>
      <c r="BJ26">
        <v>0</v>
      </c>
      <c r="BK26">
        <v>22922</v>
      </c>
      <c r="BL26">
        <v>94737</v>
      </c>
      <c r="BM26">
        <v>0</v>
      </c>
      <c r="BN26">
        <v>0</v>
      </c>
      <c r="BO26">
        <v>0</v>
      </c>
    </row>
    <row r="27" spans="1:67" x14ac:dyDescent="0.25">
      <c r="A27" t="s">
        <v>27</v>
      </c>
      <c r="B27" t="s">
        <v>11</v>
      </c>
      <c r="C27" t="s">
        <v>43</v>
      </c>
      <c r="D27" s="7">
        <v>78056</v>
      </c>
      <c r="E27">
        <v>6</v>
      </c>
      <c r="H27" t="s">
        <v>17</v>
      </c>
      <c r="I27">
        <v>5081350</v>
      </c>
      <c r="J27" s="8">
        <v>0.25</v>
      </c>
      <c r="K27">
        <v>9.324166858391314E-2</v>
      </c>
      <c r="L27">
        <v>0.29655573843764593</v>
      </c>
      <c r="M27" t="s">
        <v>471</v>
      </c>
      <c r="O27" t="s">
        <v>17</v>
      </c>
      <c r="P27">
        <v>95</v>
      </c>
      <c r="Q27">
        <v>0.25</v>
      </c>
      <c r="R27" s="9">
        <v>9.5000000000000001E-2</v>
      </c>
      <c r="S27" s="9">
        <v>0.29000000000000004</v>
      </c>
      <c r="T27" t="s">
        <v>471</v>
      </c>
      <c r="W27" t="s">
        <v>11</v>
      </c>
      <c r="X27" s="11" t="s">
        <v>43</v>
      </c>
      <c r="Y27" s="7">
        <v>78056</v>
      </c>
      <c r="Z27" s="11" t="str">
        <f t="shared" si="5"/>
        <v>2023-9</v>
      </c>
      <c r="AA27" t="s">
        <v>89</v>
      </c>
      <c r="AB27">
        <f>SUMIFS($Y:$Y,$W:$W,$AA27,$Z:$Z,AB$1)</f>
        <v>21510</v>
      </c>
      <c r="AC27">
        <f>SUMIFS($Y:$Y,$W:$W,$AA27,$Z:$Z,AC$1)</f>
        <v>0</v>
      </c>
      <c r="AD27">
        <f>SUMIFS($Y:$Y,$W:$W,$AA27,$Z:$Z,AD$1)</f>
        <v>158496</v>
      </c>
      <c r="AE27">
        <f>SUMIFS($Y:$Y,$W:$W,$AA27,$Z:$Z,AE$1)</f>
        <v>162836</v>
      </c>
      <c r="AF27">
        <f>SUMIFS($Y:$Y,$W:$W,$AA27,$Z:$Z,AF$1)</f>
        <v>0</v>
      </c>
      <c r="AG27">
        <f>SUMIFS($Y:$Y,$W:$W,$AA27,$Z:$Z,AG$1)</f>
        <v>0</v>
      </c>
      <c r="AH27">
        <f>SUMIFS($Y:$Y,$W:$W,$AA27,$Z:$Z,AH$1)</f>
        <v>0</v>
      </c>
      <c r="AI27">
        <f>SUMIFS($Y:$Y,$W:$W,$AA27,$Z:$Z,AI$1)</f>
        <v>0</v>
      </c>
      <c r="AJ27">
        <f>SUMIFS($Y:$Y,$W:$W,$AA27,$Z:$Z,AJ$1)</f>
        <v>0</v>
      </c>
      <c r="AK27">
        <f>SUMIFS($Y:$Y,$W:$W,$AA27,$Z:$Z,AK$1)</f>
        <v>23001</v>
      </c>
      <c r="AL27">
        <f>SUMIFS($Y:$Y,$W:$W,$AA27,$Z:$Z,AL$1)</f>
        <v>94599</v>
      </c>
      <c r="AM27">
        <f>SUMIFS($Y:$Y,$W:$W,$AA27,$Z:$Z,AM$1)</f>
        <v>0</v>
      </c>
      <c r="AN27">
        <f>SUMIFS($Y:$Y,$W:$W,$AA27,$Z:$Z,AN$1)</f>
        <v>0</v>
      </c>
      <c r="AO27">
        <f>SUM(AB27:AN27)</f>
        <v>460442</v>
      </c>
      <c r="AP27" s="8">
        <f t="shared" si="0"/>
        <v>0.13131313131313133</v>
      </c>
      <c r="AQ27" s="8">
        <f t="shared" si="1"/>
        <v>8.4490106696279797E-3</v>
      </c>
      <c r="AR27" s="8">
        <f t="shared" si="6"/>
        <v>0.29301856091535183</v>
      </c>
      <c r="AS27" t="str">
        <f t="shared" si="2"/>
        <v>A</v>
      </c>
      <c r="AT27" s="8">
        <f t="shared" si="3"/>
        <v>1.6660855919441635</v>
      </c>
      <c r="AU27" t="str">
        <f t="shared" si="4"/>
        <v>Z</v>
      </c>
      <c r="AZ27" t="s">
        <v>180</v>
      </c>
      <c r="BA27" t="s">
        <v>471</v>
      </c>
      <c r="BB27" t="s">
        <v>472</v>
      </c>
      <c r="BC27">
        <v>0</v>
      </c>
      <c r="BD27">
        <v>0</v>
      </c>
      <c r="BE27">
        <v>59204</v>
      </c>
      <c r="BF27">
        <v>0</v>
      </c>
      <c r="BG27">
        <v>0</v>
      </c>
      <c r="BH27">
        <v>82676</v>
      </c>
      <c r="BI27">
        <v>0</v>
      </c>
      <c r="BJ27">
        <v>91271</v>
      </c>
      <c r="BK27">
        <v>41094</v>
      </c>
      <c r="BL27">
        <v>68510</v>
      </c>
      <c r="BM27">
        <v>0</v>
      </c>
      <c r="BN27">
        <v>48429</v>
      </c>
      <c r="BO27">
        <v>74244</v>
      </c>
    </row>
    <row r="28" spans="1:67" x14ac:dyDescent="0.25">
      <c r="A28" t="s">
        <v>23</v>
      </c>
      <c r="B28" t="s">
        <v>44</v>
      </c>
      <c r="C28" t="s">
        <v>43</v>
      </c>
      <c r="D28" s="7">
        <v>38155</v>
      </c>
      <c r="E28">
        <v>6</v>
      </c>
      <c r="H28" t="s">
        <v>32</v>
      </c>
      <c r="I28">
        <v>5712528</v>
      </c>
      <c r="J28" s="8">
        <v>8.3333333333333329E-2</v>
      </c>
      <c r="K28">
        <v>0.10482364776138706</v>
      </c>
      <c r="L28">
        <v>0.10482364776138706</v>
      </c>
      <c r="M28" t="s">
        <v>471</v>
      </c>
      <c r="O28" t="s">
        <v>32</v>
      </c>
      <c r="P28">
        <v>99</v>
      </c>
      <c r="Q28">
        <v>8.3333333333333329E-2</v>
      </c>
      <c r="R28" s="9">
        <v>9.9000000000000005E-2</v>
      </c>
      <c r="S28" s="9">
        <v>9.9000000000000005E-2</v>
      </c>
      <c r="T28" t="s">
        <v>471</v>
      </c>
      <c r="W28" t="s">
        <v>44</v>
      </c>
      <c r="X28" s="11" t="s">
        <v>43</v>
      </c>
      <c r="Y28" s="7">
        <v>38155</v>
      </c>
      <c r="Z28" s="11" t="str">
        <f t="shared" si="5"/>
        <v>2023-9</v>
      </c>
      <c r="AA28" t="s">
        <v>69</v>
      </c>
      <c r="AB28">
        <f>SUMIFS($Y:$Y,$W:$W,$AA28,$Z:$Z,AB$1)</f>
        <v>59331</v>
      </c>
      <c r="AC28">
        <f>SUMIFS($Y:$Y,$W:$W,$AA28,$Z:$Z,AC$1)</f>
        <v>0</v>
      </c>
      <c r="AD28">
        <f>SUMIFS($Y:$Y,$W:$W,$AA28,$Z:$Z,AD$1)</f>
        <v>0</v>
      </c>
      <c r="AE28">
        <f>SUMIFS($Y:$Y,$W:$W,$AA28,$Z:$Z,AE$1)</f>
        <v>109721</v>
      </c>
      <c r="AF28">
        <f>SUMIFS($Y:$Y,$W:$W,$AA28,$Z:$Z,AF$1)</f>
        <v>166966</v>
      </c>
      <c r="AG28">
        <f>SUMIFS($Y:$Y,$W:$W,$AA28,$Z:$Z,AG$1)</f>
        <v>60228</v>
      </c>
      <c r="AH28">
        <f>SUMIFS($Y:$Y,$W:$W,$AA28,$Z:$Z,AH$1)</f>
        <v>0</v>
      </c>
      <c r="AI28">
        <f>SUMIFS($Y:$Y,$W:$W,$AA28,$Z:$Z,AI$1)</f>
        <v>0</v>
      </c>
      <c r="AJ28">
        <f>SUMIFS($Y:$Y,$W:$W,$AA28,$Z:$Z,AJ$1)</f>
        <v>41287</v>
      </c>
      <c r="AK28">
        <f>SUMIFS($Y:$Y,$W:$W,$AA28,$Z:$Z,AK$1)</f>
        <v>0</v>
      </c>
      <c r="AL28">
        <f>SUMIFS($Y:$Y,$W:$W,$AA28,$Z:$Z,AL$1)</f>
        <v>0</v>
      </c>
      <c r="AM28">
        <f>SUMIFS($Y:$Y,$W:$W,$AA28,$Z:$Z,AM$1)</f>
        <v>0</v>
      </c>
      <c r="AN28">
        <f>SUMIFS($Y:$Y,$W:$W,$AA28,$Z:$Z,AN$1)</f>
        <v>0</v>
      </c>
      <c r="AO28">
        <f>SUM(AB28:AN28)</f>
        <v>437533</v>
      </c>
      <c r="AP28" s="8">
        <f t="shared" si="0"/>
        <v>0.13636363636363635</v>
      </c>
      <c r="AQ28" s="8">
        <f t="shared" si="1"/>
        <v>8.0286354965757659E-3</v>
      </c>
      <c r="AR28" s="8">
        <f t="shared" si="6"/>
        <v>0.30104719641192762</v>
      </c>
      <c r="AS28" t="str">
        <f t="shared" si="2"/>
        <v>A</v>
      </c>
      <c r="AT28" s="8">
        <f t="shared" si="3"/>
        <v>1.520453852056211</v>
      </c>
      <c r="AU28" t="str">
        <f t="shared" si="4"/>
        <v>Z</v>
      </c>
      <c r="AZ28" t="s">
        <v>236</v>
      </c>
      <c r="BA28" t="s">
        <v>478</v>
      </c>
      <c r="BB28" t="s">
        <v>472</v>
      </c>
      <c r="BC28">
        <v>0</v>
      </c>
      <c r="BD28">
        <v>0</v>
      </c>
      <c r="BE28">
        <v>0</v>
      </c>
      <c r="BF28">
        <v>19599</v>
      </c>
      <c r="BG28">
        <v>0</v>
      </c>
      <c r="BH28">
        <v>0</v>
      </c>
      <c r="BI28">
        <v>32412</v>
      </c>
      <c r="BJ28">
        <v>33850</v>
      </c>
      <c r="BK28">
        <v>17328</v>
      </c>
      <c r="BL28">
        <v>0</v>
      </c>
      <c r="BM28">
        <v>0</v>
      </c>
      <c r="BN28">
        <v>0</v>
      </c>
      <c r="BO28">
        <v>0</v>
      </c>
    </row>
    <row r="29" spans="1:67" x14ac:dyDescent="0.25">
      <c r="A29" t="s">
        <v>14</v>
      </c>
      <c r="B29" t="s">
        <v>45</v>
      </c>
      <c r="C29" t="s">
        <v>43</v>
      </c>
      <c r="D29" s="7">
        <v>24177</v>
      </c>
      <c r="E29">
        <v>6</v>
      </c>
      <c r="H29" t="s">
        <v>20</v>
      </c>
      <c r="I29">
        <v>3764426</v>
      </c>
      <c r="J29" s="8">
        <v>0.91666666666666663</v>
      </c>
      <c r="K29">
        <v>6.9076399283785964E-2</v>
      </c>
      <c r="L29">
        <v>0.93632909806890929</v>
      </c>
      <c r="M29" t="s">
        <v>474</v>
      </c>
      <c r="O29" t="s">
        <v>20</v>
      </c>
      <c r="P29">
        <v>63</v>
      </c>
      <c r="Q29">
        <v>1</v>
      </c>
      <c r="R29" s="9">
        <v>6.3E-2</v>
      </c>
      <c r="S29" s="9">
        <v>0.99999999999999978</v>
      </c>
      <c r="T29" t="s">
        <v>478</v>
      </c>
      <c r="W29" t="s">
        <v>45</v>
      </c>
      <c r="X29" s="11" t="s">
        <v>43</v>
      </c>
      <c r="Y29" s="7">
        <v>24177</v>
      </c>
      <c r="Z29" s="11" t="str">
        <f t="shared" si="5"/>
        <v>2023-9</v>
      </c>
      <c r="AA29" t="s">
        <v>52</v>
      </c>
      <c r="AB29">
        <f>SUMIFS($Y:$Y,$W:$W,$AA29,$Z:$Z,AB$1)</f>
        <v>73719</v>
      </c>
      <c r="AC29">
        <f>SUMIFS($Y:$Y,$W:$W,$AA29,$Z:$Z,AC$1)</f>
        <v>77812</v>
      </c>
      <c r="AD29">
        <f>SUMIFS($Y:$Y,$W:$W,$AA29,$Z:$Z,AD$1)</f>
        <v>0</v>
      </c>
      <c r="AE29">
        <f>SUMIFS($Y:$Y,$W:$W,$AA29,$Z:$Z,AE$1)</f>
        <v>133044</v>
      </c>
      <c r="AF29">
        <f>SUMIFS($Y:$Y,$W:$W,$AA29,$Z:$Z,AF$1)</f>
        <v>0</v>
      </c>
      <c r="AG29">
        <f>SUMIFS($Y:$Y,$W:$W,$AA29,$Z:$Z,AG$1)</f>
        <v>0</v>
      </c>
      <c r="AH29">
        <f>SUMIFS($Y:$Y,$W:$W,$AA29,$Z:$Z,AH$1)</f>
        <v>80268</v>
      </c>
      <c r="AI29">
        <f>SUMIFS($Y:$Y,$W:$W,$AA29,$Z:$Z,AI$1)</f>
        <v>66415</v>
      </c>
      <c r="AJ29">
        <f>SUMIFS($Y:$Y,$W:$W,$AA29,$Z:$Z,AJ$1)</f>
        <v>0</v>
      </c>
      <c r="AK29">
        <f>SUMIFS($Y:$Y,$W:$W,$AA29,$Z:$Z,AK$1)</f>
        <v>0</v>
      </c>
      <c r="AL29">
        <f>SUMIFS($Y:$Y,$W:$W,$AA29,$Z:$Z,AL$1)</f>
        <v>0</v>
      </c>
      <c r="AM29">
        <f>SUMIFS($Y:$Y,$W:$W,$AA29,$Z:$Z,AM$1)</f>
        <v>0</v>
      </c>
      <c r="AN29">
        <f>SUMIFS($Y:$Y,$W:$W,$AA29,$Z:$Z,AN$1)</f>
        <v>0</v>
      </c>
      <c r="AO29">
        <f>SUM(AB29:AN29)</f>
        <v>431258</v>
      </c>
      <c r="AP29" s="8">
        <f t="shared" si="0"/>
        <v>0.14141414141414141</v>
      </c>
      <c r="AQ29" s="8">
        <f t="shared" si="1"/>
        <v>7.9134906098106226E-3</v>
      </c>
      <c r="AR29" s="8">
        <f t="shared" si="6"/>
        <v>0.30896068702173823</v>
      </c>
      <c r="AS29" t="str">
        <f t="shared" si="2"/>
        <v>A</v>
      </c>
      <c r="AT29" s="8">
        <f t="shared" si="3"/>
        <v>1.3412716566972926</v>
      </c>
      <c r="AU29" t="str">
        <f t="shared" si="4"/>
        <v>Z</v>
      </c>
      <c r="AZ29" t="s">
        <v>290</v>
      </c>
      <c r="BA29" t="s">
        <v>471</v>
      </c>
      <c r="BB29" t="s">
        <v>472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178057</v>
      </c>
      <c r="BI29">
        <v>26196</v>
      </c>
      <c r="BJ29">
        <v>0</v>
      </c>
      <c r="BK29">
        <v>50672</v>
      </c>
      <c r="BL29">
        <v>0</v>
      </c>
      <c r="BM29">
        <v>0</v>
      </c>
      <c r="BN29">
        <v>0</v>
      </c>
      <c r="BO29">
        <v>0</v>
      </c>
    </row>
    <row r="30" spans="1:67" x14ac:dyDescent="0.25">
      <c r="A30" t="s">
        <v>14</v>
      </c>
      <c r="B30" t="s">
        <v>46</v>
      </c>
      <c r="C30" t="s">
        <v>43</v>
      </c>
      <c r="D30" s="7">
        <v>66960</v>
      </c>
      <c r="E30">
        <v>4</v>
      </c>
      <c r="W30" t="s">
        <v>46</v>
      </c>
      <c r="X30" s="11" t="s">
        <v>43</v>
      </c>
      <c r="Y30" s="7">
        <v>66960</v>
      </c>
      <c r="Z30" s="11" t="str">
        <f t="shared" si="5"/>
        <v>2023-9</v>
      </c>
      <c r="AA30" t="s">
        <v>256</v>
      </c>
      <c r="AB30">
        <f>SUMIFS($Y:$Y,$W:$W,$AA30,$Z:$Z,AB$1)</f>
        <v>0</v>
      </c>
      <c r="AC30">
        <f>SUMIFS($Y:$Y,$W:$W,$AA30,$Z:$Z,AC$1)</f>
        <v>0</v>
      </c>
      <c r="AD30">
        <f>SUMIFS($Y:$Y,$W:$W,$AA30,$Z:$Z,AD$1)</f>
        <v>0</v>
      </c>
      <c r="AE30">
        <f>SUMIFS($Y:$Y,$W:$W,$AA30,$Z:$Z,AE$1)</f>
        <v>0</v>
      </c>
      <c r="AF30">
        <f>SUMIFS($Y:$Y,$W:$W,$AA30,$Z:$Z,AF$1)</f>
        <v>158156</v>
      </c>
      <c r="AG30">
        <f>SUMIFS($Y:$Y,$W:$W,$AA30,$Z:$Z,AG$1)</f>
        <v>0</v>
      </c>
      <c r="AH30">
        <f>SUMIFS($Y:$Y,$W:$W,$AA30,$Z:$Z,AH$1)</f>
        <v>96841</v>
      </c>
      <c r="AI30">
        <f>SUMIFS($Y:$Y,$W:$W,$AA30,$Z:$Z,AI$1)</f>
        <v>94063</v>
      </c>
      <c r="AJ30">
        <f>SUMIFS($Y:$Y,$W:$W,$AA30,$Z:$Z,AJ$1)</f>
        <v>45301</v>
      </c>
      <c r="AK30">
        <f>SUMIFS($Y:$Y,$W:$W,$AA30,$Z:$Z,AK$1)</f>
        <v>32971</v>
      </c>
      <c r="AL30">
        <f>SUMIFS($Y:$Y,$W:$W,$AA30,$Z:$Z,AL$1)</f>
        <v>0</v>
      </c>
      <c r="AM30">
        <f>SUMIFS($Y:$Y,$W:$W,$AA30,$Z:$Z,AM$1)</f>
        <v>0</v>
      </c>
      <c r="AN30">
        <f>SUMIFS($Y:$Y,$W:$W,$AA30,$Z:$Z,AN$1)</f>
        <v>0</v>
      </c>
      <c r="AO30">
        <f>SUM(AB30:AN30)</f>
        <v>427332</v>
      </c>
      <c r="AP30" s="8">
        <f t="shared" si="0"/>
        <v>0.14646464646464646</v>
      </c>
      <c r="AQ30" s="8">
        <f t="shared" si="1"/>
        <v>7.8414493627285593E-3</v>
      </c>
      <c r="AR30" s="8">
        <f t="shared" si="6"/>
        <v>0.3168021363844668</v>
      </c>
      <c r="AS30" t="str">
        <f t="shared" si="2"/>
        <v>A</v>
      </c>
      <c r="AT30" s="8">
        <f t="shared" si="3"/>
        <v>1.5171171363773424</v>
      </c>
      <c r="AU30" t="str">
        <f t="shared" si="4"/>
        <v>Z</v>
      </c>
      <c r="AZ30" t="s">
        <v>213</v>
      </c>
      <c r="BA30" t="s">
        <v>474</v>
      </c>
      <c r="BB30" t="s">
        <v>472</v>
      </c>
      <c r="BC30">
        <v>0</v>
      </c>
      <c r="BD30">
        <v>0</v>
      </c>
      <c r="BE30">
        <v>0</v>
      </c>
      <c r="BF30">
        <v>27645</v>
      </c>
      <c r="BG30">
        <v>78057</v>
      </c>
      <c r="BH30">
        <v>0</v>
      </c>
      <c r="BI30">
        <v>0</v>
      </c>
      <c r="BJ30">
        <v>0</v>
      </c>
      <c r="BK30">
        <v>83365</v>
      </c>
      <c r="BL30">
        <v>12350</v>
      </c>
      <c r="BM30">
        <v>0</v>
      </c>
      <c r="BN30">
        <v>0</v>
      </c>
      <c r="BO30">
        <v>0</v>
      </c>
    </row>
    <row r="31" spans="1:67" x14ac:dyDescent="0.25">
      <c r="A31" t="s">
        <v>23</v>
      </c>
      <c r="B31" t="s">
        <v>47</v>
      </c>
      <c r="C31" t="s">
        <v>43</v>
      </c>
      <c r="D31" s="7">
        <v>98421</v>
      </c>
      <c r="E31">
        <v>6</v>
      </c>
      <c r="W31" t="s">
        <v>47</v>
      </c>
      <c r="X31" s="11" t="s">
        <v>43</v>
      </c>
      <c r="Y31" s="7">
        <v>98421</v>
      </c>
      <c r="Z31" s="11" t="str">
        <f t="shared" si="5"/>
        <v>2023-9</v>
      </c>
      <c r="AA31" t="s">
        <v>247</v>
      </c>
      <c r="AB31">
        <f>SUMIFS($Y:$Y,$W:$W,$AA31,$Z:$Z,AB$1)</f>
        <v>0</v>
      </c>
      <c r="AC31">
        <f>SUMIFS($Y:$Y,$W:$W,$AA31,$Z:$Z,AC$1)</f>
        <v>0</v>
      </c>
      <c r="AD31">
        <f>SUMIFS($Y:$Y,$W:$W,$AA31,$Z:$Z,AD$1)</f>
        <v>0</v>
      </c>
      <c r="AE31">
        <f>SUMIFS($Y:$Y,$W:$W,$AA31,$Z:$Z,AE$1)</f>
        <v>56529</v>
      </c>
      <c r="AF31">
        <f>SUMIFS($Y:$Y,$W:$W,$AA31,$Z:$Z,AF$1)</f>
        <v>0</v>
      </c>
      <c r="AG31">
        <f>SUMIFS($Y:$Y,$W:$W,$AA31,$Z:$Z,AG$1)</f>
        <v>0</v>
      </c>
      <c r="AH31">
        <f>SUMIFS($Y:$Y,$W:$W,$AA31,$Z:$Z,AH$1)</f>
        <v>0</v>
      </c>
      <c r="AI31">
        <f>SUMIFS($Y:$Y,$W:$W,$AA31,$Z:$Z,AI$1)</f>
        <v>141053</v>
      </c>
      <c r="AJ31">
        <f>SUMIFS($Y:$Y,$W:$W,$AA31,$Z:$Z,AJ$1)</f>
        <v>69480</v>
      </c>
      <c r="AK31">
        <f>SUMIFS($Y:$Y,$W:$W,$AA31,$Z:$Z,AK$1)</f>
        <v>0</v>
      </c>
      <c r="AL31">
        <f>SUMIFS($Y:$Y,$W:$W,$AA31,$Z:$Z,AL$1)</f>
        <v>156781</v>
      </c>
      <c r="AM31">
        <f>SUMIFS($Y:$Y,$W:$W,$AA31,$Z:$Z,AM$1)</f>
        <v>0</v>
      </c>
      <c r="AN31">
        <f>SUMIFS($Y:$Y,$W:$W,$AA31,$Z:$Z,AN$1)</f>
        <v>0</v>
      </c>
      <c r="AO31">
        <f>SUM(AB31:AN31)</f>
        <v>423843</v>
      </c>
      <c r="AP31" s="8">
        <f t="shared" si="0"/>
        <v>0.15151515151515152</v>
      </c>
      <c r="AQ31" s="8">
        <f t="shared" si="1"/>
        <v>7.7774269707088653E-3</v>
      </c>
      <c r="AR31" s="8">
        <f t="shared" si="6"/>
        <v>0.32457956335517568</v>
      </c>
      <c r="AS31" t="str">
        <f t="shared" si="2"/>
        <v>A</v>
      </c>
      <c r="AT31" s="8">
        <f t="shared" si="3"/>
        <v>1.6730655431958936</v>
      </c>
      <c r="AU31" t="str">
        <f t="shared" si="4"/>
        <v>Z</v>
      </c>
      <c r="AZ31" t="s">
        <v>46</v>
      </c>
      <c r="BA31" t="s">
        <v>471</v>
      </c>
      <c r="BB31" t="s">
        <v>472</v>
      </c>
      <c r="BC31">
        <v>66960</v>
      </c>
      <c r="BD31">
        <v>39421</v>
      </c>
      <c r="BE31">
        <v>0</v>
      </c>
      <c r="BF31">
        <v>0</v>
      </c>
      <c r="BG31">
        <v>0</v>
      </c>
      <c r="BH31">
        <v>0</v>
      </c>
      <c r="BI31">
        <v>34665</v>
      </c>
      <c r="BJ31">
        <v>17134</v>
      </c>
      <c r="BK31">
        <v>81445</v>
      </c>
      <c r="BL31">
        <v>0</v>
      </c>
      <c r="BM31">
        <v>0</v>
      </c>
      <c r="BN31">
        <v>0</v>
      </c>
      <c r="BO31">
        <v>0</v>
      </c>
    </row>
    <row r="32" spans="1:67" x14ac:dyDescent="0.25">
      <c r="A32" t="s">
        <v>23</v>
      </c>
      <c r="B32" t="s">
        <v>48</v>
      </c>
      <c r="C32" t="s">
        <v>49</v>
      </c>
      <c r="D32" s="7">
        <v>76797</v>
      </c>
      <c r="E32">
        <v>5</v>
      </c>
      <c r="W32" t="s">
        <v>48</v>
      </c>
      <c r="X32" s="11" t="s">
        <v>49</v>
      </c>
      <c r="Y32" s="7">
        <v>76797</v>
      </c>
      <c r="Z32" s="11" t="str">
        <f t="shared" si="5"/>
        <v>2023-9</v>
      </c>
      <c r="AA32" t="s">
        <v>116</v>
      </c>
      <c r="AB32">
        <f>SUMIFS($Y:$Y,$W:$W,$AA32,$Z:$Z,AB$1)</f>
        <v>0</v>
      </c>
      <c r="AC32">
        <f>SUMIFS($Y:$Y,$W:$W,$AA32,$Z:$Z,AC$1)</f>
        <v>54276</v>
      </c>
      <c r="AD32">
        <f>SUMIFS($Y:$Y,$W:$W,$AA32,$Z:$Z,AD$1)</f>
        <v>42285</v>
      </c>
      <c r="AE32">
        <f>SUMIFS($Y:$Y,$W:$W,$AA32,$Z:$Z,AE$1)</f>
        <v>0</v>
      </c>
      <c r="AF32">
        <f>SUMIFS($Y:$Y,$W:$W,$AA32,$Z:$Z,AF$1)</f>
        <v>66111</v>
      </c>
      <c r="AG32">
        <f>SUMIFS($Y:$Y,$W:$W,$AA32,$Z:$Z,AG$1)</f>
        <v>0</v>
      </c>
      <c r="AH32">
        <f>SUMIFS($Y:$Y,$W:$W,$AA32,$Z:$Z,AH$1)</f>
        <v>103903</v>
      </c>
      <c r="AI32">
        <f>SUMIFS($Y:$Y,$W:$W,$AA32,$Z:$Z,AI$1)</f>
        <v>85187</v>
      </c>
      <c r="AJ32">
        <f>SUMIFS($Y:$Y,$W:$W,$AA32,$Z:$Z,AJ$1)</f>
        <v>65887</v>
      </c>
      <c r="AK32">
        <f>SUMIFS($Y:$Y,$W:$W,$AA32,$Z:$Z,AK$1)</f>
        <v>0</v>
      </c>
      <c r="AL32">
        <f>SUMIFS($Y:$Y,$W:$W,$AA32,$Z:$Z,AL$1)</f>
        <v>0</v>
      </c>
      <c r="AM32">
        <f>SUMIFS($Y:$Y,$W:$W,$AA32,$Z:$Z,AM$1)</f>
        <v>0</v>
      </c>
      <c r="AN32">
        <f>SUMIFS($Y:$Y,$W:$W,$AA32,$Z:$Z,AN$1)</f>
        <v>0</v>
      </c>
      <c r="AO32">
        <f>SUM(AB32:AN32)</f>
        <v>417649</v>
      </c>
      <c r="AP32" s="8">
        <f t="shared" si="0"/>
        <v>0.15656565656565657</v>
      </c>
      <c r="AQ32" s="8">
        <f t="shared" si="1"/>
        <v>7.6637684163465888E-3</v>
      </c>
      <c r="AR32" s="8">
        <f t="shared" si="6"/>
        <v>0.33224333177152227</v>
      </c>
      <c r="AS32" t="str">
        <f t="shared" si="2"/>
        <v>A</v>
      </c>
      <c r="AT32" s="8">
        <f t="shared" si="3"/>
        <v>1.1608240723713283</v>
      </c>
      <c r="AU32" t="str">
        <f t="shared" si="4"/>
        <v>Z</v>
      </c>
      <c r="AZ32" t="s">
        <v>104</v>
      </c>
      <c r="BA32" t="s">
        <v>471</v>
      </c>
      <c r="BB32" t="s">
        <v>472</v>
      </c>
      <c r="BC32">
        <v>0</v>
      </c>
      <c r="BD32">
        <v>12327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84199</v>
      </c>
      <c r="BL32">
        <v>43160</v>
      </c>
      <c r="BM32">
        <v>84855</v>
      </c>
      <c r="BN32">
        <v>49357</v>
      </c>
      <c r="BO32">
        <v>0</v>
      </c>
    </row>
    <row r="33" spans="1:67" x14ac:dyDescent="0.25">
      <c r="A33" t="s">
        <v>27</v>
      </c>
      <c r="B33" t="s">
        <v>50</v>
      </c>
      <c r="C33" t="s">
        <v>49</v>
      </c>
      <c r="D33" s="7">
        <v>74012</v>
      </c>
      <c r="E33">
        <v>7</v>
      </c>
      <c r="W33" t="s">
        <v>50</v>
      </c>
      <c r="X33" s="11" t="s">
        <v>49</v>
      </c>
      <c r="Y33" s="7">
        <v>74012</v>
      </c>
      <c r="Z33" s="11" t="str">
        <f t="shared" si="5"/>
        <v>2023-9</v>
      </c>
      <c r="AA33" t="s">
        <v>28</v>
      </c>
      <c r="AB33">
        <f>SUMIFS($Y:$Y,$W:$W,$AA33,$Z:$Z,AB$1)</f>
        <v>237245</v>
      </c>
      <c r="AC33">
        <f>SUMIFS($Y:$Y,$W:$W,$AA33,$Z:$Z,AC$1)</f>
        <v>0</v>
      </c>
      <c r="AD33">
        <f>SUMIFS($Y:$Y,$W:$W,$AA33,$Z:$Z,AD$1)</f>
        <v>0</v>
      </c>
      <c r="AE33">
        <f>SUMIFS($Y:$Y,$W:$W,$AA33,$Z:$Z,AE$1)</f>
        <v>0</v>
      </c>
      <c r="AF33">
        <f>SUMIFS($Y:$Y,$W:$W,$AA33,$Z:$Z,AF$1)</f>
        <v>0</v>
      </c>
      <c r="AG33">
        <f>SUMIFS($Y:$Y,$W:$W,$AA33,$Z:$Z,AG$1)</f>
        <v>0</v>
      </c>
      <c r="AH33">
        <f>SUMIFS($Y:$Y,$W:$W,$AA33,$Z:$Z,AH$1)</f>
        <v>0</v>
      </c>
      <c r="AI33">
        <f>SUMIFS($Y:$Y,$W:$W,$AA33,$Z:$Z,AI$1)</f>
        <v>16280</v>
      </c>
      <c r="AJ33">
        <f>SUMIFS($Y:$Y,$W:$W,$AA33,$Z:$Z,AJ$1)</f>
        <v>0</v>
      </c>
      <c r="AK33">
        <f>SUMIFS($Y:$Y,$W:$W,$AA33,$Z:$Z,AK$1)</f>
        <v>66190</v>
      </c>
      <c r="AL33">
        <f>SUMIFS($Y:$Y,$W:$W,$AA33,$Z:$Z,AL$1)</f>
        <v>93234</v>
      </c>
      <c r="AM33">
        <f>SUMIFS($Y:$Y,$W:$W,$AA33,$Z:$Z,AM$1)</f>
        <v>0</v>
      </c>
      <c r="AN33">
        <f>SUMIFS($Y:$Y,$W:$W,$AA33,$Z:$Z,AN$1)</f>
        <v>0</v>
      </c>
      <c r="AO33">
        <f>SUM(AB33:AN33)</f>
        <v>412949</v>
      </c>
      <c r="AP33" s="8">
        <f t="shared" si="0"/>
        <v>0.16161616161616163</v>
      </c>
      <c r="AQ33" s="8">
        <f t="shared" si="1"/>
        <v>7.5775244374149285E-3</v>
      </c>
      <c r="AR33" s="8">
        <f t="shared" si="6"/>
        <v>0.33982085620893721</v>
      </c>
      <c r="AS33" t="str">
        <f t="shared" si="2"/>
        <v>A</v>
      </c>
      <c r="AT33" s="8">
        <f t="shared" si="3"/>
        <v>2.0755077092908865</v>
      </c>
      <c r="AU33" t="str">
        <f t="shared" si="4"/>
        <v>Z</v>
      </c>
      <c r="AZ33" t="s">
        <v>393</v>
      </c>
      <c r="BA33" t="s">
        <v>478</v>
      </c>
      <c r="BB33" t="s">
        <v>472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87879</v>
      </c>
      <c r="BM33">
        <v>0</v>
      </c>
      <c r="BN33">
        <v>0</v>
      </c>
      <c r="BO33">
        <v>0</v>
      </c>
    </row>
    <row r="34" spans="1:67" x14ac:dyDescent="0.25">
      <c r="A34" t="s">
        <v>5</v>
      </c>
      <c r="B34" t="s">
        <v>35</v>
      </c>
      <c r="C34" t="s">
        <v>49</v>
      </c>
      <c r="D34" s="7">
        <v>50546</v>
      </c>
      <c r="E34">
        <v>6</v>
      </c>
      <c r="W34" t="s">
        <v>35</v>
      </c>
      <c r="X34" s="11" t="s">
        <v>49</v>
      </c>
      <c r="Y34" s="7">
        <v>50546</v>
      </c>
      <c r="Z34" s="11" t="str">
        <f t="shared" si="5"/>
        <v>2023-9</v>
      </c>
      <c r="AA34" t="s">
        <v>87</v>
      </c>
      <c r="AB34">
        <f>SUMIFS($Y:$Y,$W:$W,$AA34,$Z:$Z,AB$1)</f>
        <v>13036</v>
      </c>
      <c r="AC34">
        <f>SUMIFS($Y:$Y,$W:$W,$AA34,$Z:$Z,AC$1)</f>
        <v>139592</v>
      </c>
      <c r="AD34">
        <f>SUMIFS($Y:$Y,$W:$W,$AA34,$Z:$Z,AD$1)</f>
        <v>0</v>
      </c>
      <c r="AE34">
        <f>SUMIFS($Y:$Y,$W:$W,$AA34,$Z:$Z,AE$1)</f>
        <v>30355</v>
      </c>
      <c r="AF34">
        <f>SUMIFS($Y:$Y,$W:$W,$AA34,$Z:$Z,AF$1)</f>
        <v>31317</v>
      </c>
      <c r="AG34">
        <f>SUMIFS($Y:$Y,$W:$W,$AA34,$Z:$Z,AG$1)</f>
        <v>0</v>
      </c>
      <c r="AH34">
        <f>SUMIFS($Y:$Y,$W:$W,$AA34,$Z:$Z,AH$1)</f>
        <v>31571</v>
      </c>
      <c r="AI34">
        <f>SUMIFS($Y:$Y,$W:$W,$AA34,$Z:$Z,AI$1)</f>
        <v>0</v>
      </c>
      <c r="AJ34">
        <f>SUMIFS($Y:$Y,$W:$W,$AA34,$Z:$Z,AJ$1)</f>
        <v>20372</v>
      </c>
      <c r="AK34">
        <f>SUMIFS($Y:$Y,$W:$W,$AA34,$Z:$Z,AK$1)</f>
        <v>0</v>
      </c>
      <c r="AL34">
        <f>SUMIFS($Y:$Y,$W:$W,$AA34,$Z:$Z,AL$1)</f>
        <v>82606</v>
      </c>
      <c r="AM34">
        <f>SUMIFS($Y:$Y,$W:$W,$AA34,$Z:$Z,AM$1)</f>
        <v>62713</v>
      </c>
      <c r="AN34">
        <f>SUMIFS($Y:$Y,$W:$W,$AA34,$Z:$Z,AN$1)</f>
        <v>0</v>
      </c>
      <c r="AO34">
        <f>SUM(AB34:AN34)</f>
        <v>411562</v>
      </c>
      <c r="AP34" s="8">
        <f t="shared" ref="AP34:AP65" si="8">(ROW()-1) / 198</f>
        <v>0.16666666666666666</v>
      </c>
      <c r="AQ34" s="8">
        <f t="shared" ref="AQ34:AQ65" si="9">AO34/$AO$1</f>
        <v>7.5520732887387129E-3</v>
      </c>
      <c r="AR34" s="8">
        <f t="shared" si="6"/>
        <v>0.3473729294976759</v>
      </c>
      <c r="AS34" t="str">
        <f t="shared" ref="AS34:AS65" si="10">IF(AR34&lt;80%,"A",IF(AR34&lt;95.0000001%,"B","C"))</f>
        <v>A</v>
      </c>
      <c r="AT34" s="8">
        <f t="shared" ref="AT34:AT65" si="11">_xlfn.STDEV.P(AB34:AN34)/AVERAGE(AB34:AN34)</f>
        <v>1.2603462952957922</v>
      </c>
      <c r="AU34" t="str">
        <f t="shared" ref="AU34:AU65" si="12">IF(AT34&lt;10%,"X",IF(AT34&lt;25%,"Y","Z"))</f>
        <v>Z</v>
      </c>
      <c r="AZ34" t="s">
        <v>129</v>
      </c>
      <c r="BA34" t="s">
        <v>471</v>
      </c>
      <c r="BB34" t="s">
        <v>472</v>
      </c>
      <c r="BC34">
        <v>0</v>
      </c>
      <c r="BD34">
        <v>34110</v>
      </c>
      <c r="BE34">
        <v>83330</v>
      </c>
      <c r="BF34">
        <v>98496</v>
      </c>
      <c r="BG34">
        <v>73813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18712</v>
      </c>
      <c r="BO34">
        <v>0</v>
      </c>
    </row>
    <row r="35" spans="1:67" x14ac:dyDescent="0.25">
      <c r="A35" t="s">
        <v>32</v>
      </c>
      <c r="B35" t="s">
        <v>51</v>
      </c>
      <c r="C35" t="s">
        <v>49</v>
      </c>
      <c r="D35" s="7">
        <v>14308</v>
      </c>
      <c r="E35">
        <v>7</v>
      </c>
      <c r="W35" t="s">
        <v>51</v>
      </c>
      <c r="X35" s="11" t="s">
        <v>49</v>
      </c>
      <c r="Y35" s="7">
        <v>14308</v>
      </c>
      <c r="Z35" s="11" t="str">
        <f t="shared" si="5"/>
        <v>2023-9</v>
      </c>
      <c r="AA35" t="s">
        <v>174</v>
      </c>
      <c r="AB35">
        <f>SUMIFS($Y:$Y,$W:$W,$AA35,$Z:$Z,AB$1)</f>
        <v>0</v>
      </c>
      <c r="AC35">
        <f>SUMIFS($Y:$Y,$W:$W,$AA35,$Z:$Z,AC$1)</f>
        <v>0</v>
      </c>
      <c r="AD35">
        <f>SUMIFS($Y:$Y,$W:$W,$AA35,$Z:$Z,AD$1)</f>
        <v>44197</v>
      </c>
      <c r="AE35">
        <f>SUMIFS($Y:$Y,$W:$W,$AA35,$Z:$Z,AE$1)</f>
        <v>75509</v>
      </c>
      <c r="AF35">
        <f>SUMIFS($Y:$Y,$W:$W,$AA35,$Z:$Z,AF$1)</f>
        <v>0</v>
      </c>
      <c r="AG35">
        <f>SUMIFS($Y:$Y,$W:$W,$AA35,$Z:$Z,AG$1)</f>
        <v>0</v>
      </c>
      <c r="AH35">
        <f>SUMIFS($Y:$Y,$W:$W,$AA35,$Z:$Z,AH$1)</f>
        <v>0</v>
      </c>
      <c r="AI35">
        <f>SUMIFS($Y:$Y,$W:$W,$AA35,$Z:$Z,AI$1)</f>
        <v>0</v>
      </c>
      <c r="AJ35">
        <f>SUMIFS($Y:$Y,$W:$W,$AA35,$Z:$Z,AJ$1)</f>
        <v>96960</v>
      </c>
      <c r="AK35">
        <f>SUMIFS($Y:$Y,$W:$W,$AA35,$Z:$Z,AK$1)</f>
        <v>125654</v>
      </c>
      <c r="AL35">
        <f>SUMIFS($Y:$Y,$W:$W,$AA35,$Z:$Z,AL$1)</f>
        <v>0</v>
      </c>
      <c r="AM35">
        <f>SUMIFS($Y:$Y,$W:$W,$AA35,$Z:$Z,AM$1)</f>
        <v>59849</v>
      </c>
      <c r="AN35">
        <f>SUMIFS($Y:$Y,$W:$W,$AA35,$Z:$Z,AN$1)</f>
        <v>0</v>
      </c>
      <c r="AO35">
        <f>SUM(AB35:AN35)</f>
        <v>402169</v>
      </c>
      <c r="AP35" s="8">
        <f t="shared" si="8"/>
        <v>0.17171717171717171</v>
      </c>
      <c r="AQ35" s="8">
        <f t="shared" si="9"/>
        <v>7.3797137793546524E-3</v>
      </c>
      <c r="AR35" s="8">
        <f t="shared" ref="AR35:AR66" si="13">AR34+AQ35</f>
        <v>0.35475264327703054</v>
      </c>
      <c r="AS35" t="str">
        <f t="shared" si="10"/>
        <v>A</v>
      </c>
      <c r="AT35" s="8">
        <f t="shared" si="11"/>
        <v>1.3884738291195151</v>
      </c>
      <c r="AU35" t="str">
        <f t="shared" si="12"/>
        <v>Z</v>
      </c>
      <c r="AZ35" t="s">
        <v>9</v>
      </c>
      <c r="BA35" t="s">
        <v>471</v>
      </c>
      <c r="BB35" t="s">
        <v>472</v>
      </c>
      <c r="BC35">
        <v>67379</v>
      </c>
      <c r="BD35">
        <v>0</v>
      </c>
      <c r="BE35">
        <v>0</v>
      </c>
      <c r="BF35">
        <v>0</v>
      </c>
      <c r="BG35">
        <v>0</v>
      </c>
      <c r="BH35">
        <v>11950</v>
      </c>
      <c r="BI35">
        <v>0</v>
      </c>
      <c r="BJ35">
        <v>16824</v>
      </c>
      <c r="BK35">
        <v>158421</v>
      </c>
      <c r="BL35">
        <v>0</v>
      </c>
      <c r="BM35">
        <v>72799</v>
      </c>
      <c r="BN35">
        <v>0</v>
      </c>
      <c r="BO35">
        <v>0</v>
      </c>
    </row>
    <row r="36" spans="1:67" x14ac:dyDescent="0.25">
      <c r="A36" t="s">
        <v>12</v>
      </c>
      <c r="B36" t="s">
        <v>52</v>
      </c>
      <c r="C36" t="s">
        <v>49</v>
      </c>
      <c r="D36" s="7">
        <v>73719</v>
      </c>
      <c r="E36">
        <v>9</v>
      </c>
      <c r="W36" t="s">
        <v>52</v>
      </c>
      <c r="X36" s="11" t="s">
        <v>49</v>
      </c>
      <c r="Y36" s="7">
        <v>73719</v>
      </c>
      <c r="Z36" s="11" t="str">
        <f t="shared" si="5"/>
        <v>2023-9</v>
      </c>
      <c r="AA36" t="s">
        <v>11</v>
      </c>
      <c r="AB36">
        <f>SUMIFS($Y:$Y,$W:$W,$AA36,$Z:$Z,AB$1)</f>
        <v>89306</v>
      </c>
      <c r="AC36">
        <f>SUMIFS($Y:$Y,$W:$W,$AA36,$Z:$Z,AC$1)</f>
        <v>55064</v>
      </c>
      <c r="AD36">
        <f>SUMIFS($Y:$Y,$W:$W,$AA36,$Z:$Z,AD$1)</f>
        <v>0</v>
      </c>
      <c r="AE36">
        <f>SUMIFS($Y:$Y,$W:$W,$AA36,$Z:$Z,AE$1)</f>
        <v>0</v>
      </c>
      <c r="AF36">
        <f>SUMIFS($Y:$Y,$W:$W,$AA36,$Z:$Z,AF$1)</f>
        <v>0</v>
      </c>
      <c r="AG36">
        <f>SUMIFS($Y:$Y,$W:$W,$AA36,$Z:$Z,AG$1)</f>
        <v>0</v>
      </c>
      <c r="AH36">
        <f>SUMIFS($Y:$Y,$W:$W,$AA36,$Z:$Z,AH$1)</f>
        <v>0</v>
      </c>
      <c r="AI36">
        <f>SUMIFS($Y:$Y,$W:$W,$AA36,$Z:$Z,AI$1)</f>
        <v>30978</v>
      </c>
      <c r="AJ36">
        <f>SUMIFS($Y:$Y,$W:$W,$AA36,$Z:$Z,AJ$1)</f>
        <v>116993</v>
      </c>
      <c r="AK36">
        <f>SUMIFS($Y:$Y,$W:$W,$AA36,$Z:$Z,AK$1)</f>
        <v>0</v>
      </c>
      <c r="AL36">
        <f>SUMIFS($Y:$Y,$W:$W,$AA36,$Z:$Z,AL$1)</f>
        <v>106852</v>
      </c>
      <c r="AM36">
        <f>SUMIFS($Y:$Y,$W:$W,$AA36,$Z:$Z,AM$1)</f>
        <v>0</v>
      </c>
      <c r="AN36">
        <f>SUMIFS($Y:$Y,$W:$W,$AA36,$Z:$Z,AN$1)</f>
        <v>0</v>
      </c>
      <c r="AO36">
        <f>SUM(AB36:AN36)</f>
        <v>399193</v>
      </c>
      <c r="AP36" s="8">
        <f t="shared" si="8"/>
        <v>0.17676767676767677</v>
      </c>
      <c r="AQ36" s="8">
        <f t="shared" si="9"/>
        <v>7.3251048258864346E-3</v>
      </c>
      <c r="AR36" s="8">
        <f t="shared" si="13"/>
        <v>0.36207774810291699</v>
      </c>
      <c r="AS36" t="str">
        <f t="shared" si="10"/>
        <v>A</v>
      </c>
      <c r="AT36" s="8">
        <f t="shared" si="11"/>
        <v>1.4227743898307641</v>
      </c>
      <c r="AU36" t="str">
        <f t="shared" si="12"/>
        <v>Z</v>
      </c>
      <c r="AZ36" t="s">
        <v>85</v>
      </c>
      <c r="BA36" t="s">
        <v>471</v>
      </c>
      <c r="BB36" t="s">
        <v>472</v>
      </c>
      <c r="BC36">
        <v>30900</v>
      </c>
      <c r="BD36">
        <v>78721</v>
      </c>
      <c r="BE36">
        <v>0</v>
      </c>
      <c r="BF36">
        <v>0</v>
      </c>
      <c r="BG36">
        <v>0</v>
      </c>
      <c r="BH36">
        <v>87934</v>
      </c>
      <c r="BI36">
        <v>0</v>
      </c>
      <c r="BJ36">
        <v>27512</v>
      </c>
      <c r="BK36">
        <v>0</v>
      </c>
      <c r="BL36">
        <v>0</v>
      </c>
      <c r="BM36">
        <v>75819</v>
      </c>
      <c r="BN36">
        <v>67217</v>
      </c>
      <c r="BO36">
        <v>0</v>
      </c>
    </row>
    <row r="37" spans="1:67" x14ac:dyDescent="0.25">
      <c r="A37" t="s">
        <v>23</v>
      </c>
      <c r="B37" t="s">
        <v>53</v>
      </c>
      <c r="C37" t="s">
        <v>49</v>
      </c>
      <c r="D37" s="7">
        <v>98033</v>
      </c>
      <c r="E37">
        <v>7</v>
      </c>
      <c r="W37" t="s">
        <v>53</v>
      </c>
      <c r="X37" s="11" t="s">
        <v>49</v>
      </c>
      <c r="Y37" s="7">
        <v>98033</v>
      </c>
      <c r="Z37" s="11" t="str">
        <f t="shared" si="5"/>
        <v>2023-9</v>
      </c>
      <c r="AA37" t="s">
        <v>60</v>
      </c>
      <c r="AB37">
        <f>SUMIFS($Y:$Y,$W:$W,$AA37,$Z:$Z,AB$1)</f>
        <v>77723</v>
      </c>
      <c r="AC37">
        <f>SUMIFS($Y:$Y,$W:$W,$AA37,$Z:$Z,AC$1)</f>
        <v>0</v>
      </c>
      <c r="AD37">
        <f>SUMIFS($Y:$Y,$W:$W,$AA37,$Z:$Z,AD$1)</f>
        <v>0</v>
      </c>
      <c r="AE37">
        <f>SUMIFS($Y:$Y,$W:$W,$AA37,$Z:$Z,AE$1)</f>
        <v>56948</v>
      </c>
      <c r="AF37">
        <f>SUMIFS($Y:$Y,$W:$W,$AA37,$Z:$Z,AF$1)</f>
        <v>0</v>
      </c>
      <c r="AG37">
        <f>SUMIFS($Y:$Y,$W:$W,$AA37,$Z:$Z,AG$1)</f>
        <v>43997</v>
      </c>
      <c r="AH37">
        <f>SUMIFS($Y:$Y,$W:$W,$AA37,$Z:$Z,AH$1)</f>
        <v>123445</v>
      </c>
      <c r="AI37">
        <f>SUMIFS($Y:$Y,$W:$W,$AA37,$Z:$Z,AI$1)</f>
        <v>0</v>
      </c>
      <c r="AJ37">
        <f>SUMIFS($Y:$Y,$W:$W,$AA37,$Z:$Z,AJ$1)</f>
        <v>0</v>
      </c>
      <c r="AK37">
        <f>SUMIFS($Y:$Y,$W:$W,$AA37,$Z:$Z,AK$1)</f>
        <v>0</v>
      </c>
      <c r="AL37">
        <f>SUMIFS($Y:$Y,$W:$W,$AA37,$Z:$Z,AL$1)</f>
        <v>96106</v>
      </c>
      <c r="AM37">
        <f>SUMIFS($Y:$Y,$W:$W,$AA37,$Z:$Z,AM$1)</f>
        <v>0</v>
      </c>
      <c r="AN37">
        <f>SUMIFS($Y:$Y,$W:$W,$AA37,$Z:$Z,AN$1)</f>
        <v>0</v>
      </c>
      <c r="AO37">
        <f>SUM(AB37:AN37)</f>
        <v>398219</v>
      </c>
      <c r="AP37" s="8">
        <f t="shared" si="8"/>
        <v>0.18181818181818182</v>
      </c>
      <c r="AQ37" s="8">
        <f t="shared" si="9"/>
        <v>7.3072321374865546E-3</v>
      </c>
      <c r="AR37" s="8">
        <f t="shared" si="13"/>
        <v>0.36938498024040356</v>
      </c>
      <c r="AS37" t="str">
        <f t="shared" si="10"/>
        <v>A</v>
      </c>
      <c r="AT37" s="8">
        <f t="shared" si="11"/>
        <v>1.3878741557063039</v>
      </c>
      <c r="AU37" t="str">
        <f t="shared" si="12"/>
        <v>Z</v>
      </c>
      <c r="AZ37" t="s">
        <v>202</v>
      </c>
      <c r="BA37" t="s">
        <v>471</v>
      </c>
      <c r="BB37" t="s">
        <v>472</v>
      </c>
      <c r="BC37">
        <v>0</v>
      </c>
      <c r="BD37">
        <v>0</v>
      </c>
      <c r="BE37">
        <v>68024</v>
      </c>
      <c r="BF37">
        <v>0</v>
      </c>
      <c r="BG37">
        <v>0</v>
      </c>
      <c r="BH37">
        <v>83897</v>
      </c>
      <c r="BI37">
        <v>0</v>
      </c>
      <c r="BJ37">
        <v>37907</v>
      </c>
      <c r="BK37">
        <v>0</v>
      </c>
      <c r="BL37">
        <v>78715</v>
      </c>
      <c r="BM37">
        <v>0</v>
      </c>
      <c r="BN37">
        <v>0</v>
      </c>
      <c r="BO37">
        <v>0</v>
      </c>
    </row>
    <row r="38" spans="1:67" x14ac:dyDescent="0.25">
      <c r="A38" t="s">
        <v>27</v>
      </c>
      <c r="B38" t="s">
        <v>54</v>
      </c>
      <c r="C38" t="s">
        <v>49</v>
      </c>
      <c r="D38" s="7">
        <v>82090</v>
      </c>
      <c r="E38">
        <v>2</v>
      </c>
      <c r="W38" t="s">
        <v>54</v>
      </c>
      <c r="X38" s="11" t="s">
        <v>49</v>
      </c>
      <c r="Y38" s="7">
        <v>82090</v>
      </c>
      <c r="Z38" s="11" t="str">
        <f t="shared" si="5"/>
        <v>2023-9</v>
      </c>
      <c r="AA38" t="s">
        <v>56</v>
      </c>
      <c r="AB38">
        <f>SUMIFS($Y:$Y,$W:$W,$AA38,$Z:$Z,AB$1)</f>
        <v>139244</v>
      </c>
      <c r="AC38">
        <f>SUMIFS($Y:$Y,$W:$W,$AA38,$Z:$Z,AC$1)</f>
        <v>0</v>
      </c>
      <c r="AD38">
        <f>SUMIFS($Y:$Y,$W:$W,$AA38,$Z:$Z,AD$1)</f>
        <v>0</v>
      </c>
      <c r="AE38">
        <f>SUMIFS($Y:$Y,$W:$W,$AA38,$Z:$Z,AE$1)</f>
        <v>0</v>
      </c>
      <c r="AF38">
        <f>SUMIFS($Y:$Y,$W:$W,$AA38,$Z:$Z,AF$1)</f>
        <v>0</v>
      </c>
      <c r="AG38">
        <f>SUMIFS($Y:$Y,$W:$W,$AA38,$Z:$Z,AG$1)</f>
        <v>118844</v>
      </c>
      <c r="AH38">
        <f>SUMIFS($Y:$Y,$W:$W,$AA38,$Z:$Z,AH$1)</f>
        <v>0</v>
      </c>
      <c r="AI38">
        <f>SUMIFS($Y:$Y,$W:$W,$AA38,$Z:$Z,AI$1)</f>
        <v>0</v>
      </c>
      <c r="AJ38">
        <f>SUMIFS($Y:$Y,$W:$W,$AA38,$Z:$Z,AJ$1)</f>
        <v>66873</v>
      </c>
      <c r="AK38">
        <f>SUMIFS($Y:$Y,$W:$W,$AA38,$Z:$Z,AK$1)</f>
        <v>0</v>
      </c>
      <c r="AL38">
        <f>SUMIFS($Y:$Y,$W:$W,$AA38,$Z:$Z,AL$1)</f>
        <v>0</v>
      </c>
      <c r="AM38">
        <f>SUMIFS($Y:$Y,$W:$W,$AA38,$Z:$Z,AM$1)</f>
        <v>69661</v>
      </c>
      <c r="AN38">
        <f>SUMIFS($Y:$Y,$W:$W,$AA38,$Z:$Z,AN$1)</f>
        <v>0</v>
      </c>
      <c r="AO38">
        <f>SUM(AB38:AN38)</f>
        <v>394622</v>
      </c>
      <c r="AP38" s="8">
        <f t="shared" si="8"/>
        <v>0.18686868686868688</v>
      </c>
      <c r="AQ38" s="8">
        <f t="shared" si="9"/>
        <v>7.2412279689297076E-3</v>
      </c>
      <c r="AR38" s="8">
        <f t="shared" si="13"/>
        <v>0.37662620820933329</v>
      </c>
      <c r="AS38" t="str">
        <f t="shared" si="10"/>
        <v>A</v>
      </c>
      <c r="AT38" s="8">
        <f t="shared" si="11"/>
        <v>1.6050095882110176</v>
      </c>
      <c r="AU38" t="str">
        <f t="shared" si="12"/>
        <v>Z</v>
      </c>
      <c r="AZ38" t="s">
        <v>11</v>
      </c>
      <c r="BA38" t="s">
        <v>471</v>
      </c>
      <c r="BB38" t="s">
        <v>472</v>
      </c>
      <c r="BC38">
        <v>89306</v>
      </c>
      <c r="BD38">
        <v>55064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30978</v>
      </c>
      <c r="BK38">
        <v>116993</v>
      </c>
      <c r="BL38">
        <v>0</v>
      </c>
      <c r="BM38">
        <v>106852</v>
      </c>
      <c r="BN38">
        <v>0</v>
      </c>
      <c r="BO38">
        <v>0</v>
      </c>
    </row>
    <row r="39" spans="1:67" x14ac:dyDescent="0.25">
      <c r="A39" t="s">
        <v>27</v>
      </c>
      <c r="B39" t="s">
        <v>55</v>
      </c>
      <c r="C39" t="s">
        <v>49</v>
      </c>
      <c r="D39" s="7">
        <v>41519</v>
      </c>
      <c r="E39">
        <v>4</v>
      </c>
      <c r="W39" t="s">
        <v>55</v>
      </c>
      <c r="X39" s="11" t="s">
        <v>49</v>
      </c>
      <c r="Y39" s="7">
        <v>41519</v>
      </c>
      <c r="Z39" s="11" t="str">
        <f t="shared" si="5"/>
        <v>2023-9</v>
      </c>
      <c r="AA39" t="s">
        <v>13</v>
      </c>
      <c r="AB39">
        <f>SUMIFS($Y:$Y,$W:$W,$AA39,$Z:$Z,AB$1)</f>
        <v>76223</v>
      </c>
      <c r="AC39">
        <f>SUMIFS($Y:$Y,$W:$W,$AA39,$Z:$Z,AC$1)</f>
        <v>20745</v>
      </c>
      <c r="AD39">
        <f>SUMIFS($Y:$Y,$W:$W,$AA39,$Z:$Z,AD$1)</f>
        <v>0</v>
      </c>
      <c r="AE39">
        <f>SUMIFS($Y:$Y,$W:$W,$AA39,$Z:$Z,AE$1)</f>
        <v>0</v>
      </c>
      <c r="AF39">
        <f>SUMIFS($Y:$Y,$W:$W,$AA39,$Z:$Z,AF$1)</f>
        <v>84258</v>
      </c>
      <c r="AG39">
        <f>SUMIFS($Y:$Y,$W:$W,$AA39,$Z:$Z,AG$1)</f>
        <v>0</v>
      </c>
      <c r="AH39">
        <f>SUMIFS($Y:$Y,$W:$W,$AA39,$Z:$Z,AH$1)</f>
        <v>0</v>
      </c>
      <c r="AI39">
        <f>SUMIFS($Y:$Y,$W:$W,$AA39,$Z:$Z,AI$1)</f>
        <v>0</v>
      </c>
      <c r="AJ39">
        <f>SUMIFS($Y:$Y,$W:$W,$AA39,$Z:$Z,AJ$1)</f>
        <v>45400</v>
      </c>
      <c r="AK39">
        <f>SUMIFS($Y:$Y,$W:$W,$AA39,$Z:$Z,AK$1)</f>
        <v>161080</v>
      </c>
      <c r="AL39">
        <f>SUMIFS($Y:$Y,$W:$W,$AA39,$Z:$Z,AL$1)</f>
        <v>0</v>
      </c>
      <c r="AM39">
        <f>SUMIFS($Y:$Y,$W:$W,$AA39,$Z:$Z,AM$1)</f>
        <v>0</v>
      </c>
      <c r="AN39">
        <f>SUMIFS($Y:$Y,$W:$W,$AA39,$Z:$Z,AN$1)</f>
        <v>0</v>
      </c>
      <c r="AO39">
        <f>SUM(AB39:AN39)</f>
        <v>387706</v>
      </c>
      <c r="AP39" s="8">
        <f t="shared" si="8"/>
        <v>0.19191919191919191</v>
      </c>
      <c r="AQ39" s="8">
        <f t="shared" si="9"/>
        <v>7.1143208714209072E-3</v>
      </c>
      <c r="AR39" s="8">
        <f t="shared" si="13"/>
        <v>0.38374052908075418</v>
      </c>
      <c r="AS39" t="str">
        <f t="shared" si="10"/>
        <v>A</v>
      </c>
      <c r="AT39" s="8">
        <f t="shared" si="11"/>
        <v>1.6049704094759352</v>
      </c>
      <c r="AU39" t="str">
        <f t="shared" si="12"/>
        <v>Z</v>
      </c>
      <c r="AZ39" t="s">
        <v>296</v>
      </c>
      <c r="BA39" t="s">
        <v>471</v>
      </c>
      <c r="BB39" t="s">
        <v>472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99692</v>
      </c>
      <c r="BI39">
        <v>0</v>
      </c>
      <c r="BJ39">
        <v>0</v>
      </c>
      <c r="BK39">
        <v>22991</v>
      </c>
      <c r="BL39">
        <v>87694</v>
      </c>
      <c r="BM39">
        <v>0</v>
      </c>
      <c r="BN39">
        <v>163276</v>
      </c>
      <c r="BO39">
        <v>0</v>
      </c>
    </row>
    <row r="40" spans="1:67" x14ac:dyDescent="0.25">
      <c r="A40" t="s">
        <v>12</v>
      </c>
      <c r="B40" t="s">
        <v>56</v>
      </c>
      <c r="C40" t="s">
        <v>49</v>
      </c>
      <c r="D40" s="7">
        <v>92162</v>
      </c>
      <c r="E40">
        <v>8</v>
      </c>
      <c r="W40" t="s">
        <v>56</v>
      </c>
      <c r="X40" s="11" t="s">
        <v>49</v>
      </c>
      <c r="Y40" s="7">
        <v>92162</v>
      </c>
      <c r="Z40" s="11" t="str">
        <f t="shared" si="5"/>
        <v>2023-9</v>
      </c>
      <c r="AA40" t="s">
        <v>101</v>
      </c>
      <c r="AB40">
        <f>SUMIFS($Y:$Y,$W:$W,$AA40,$Z:$Z,AB$1)</f>
        <v>0</v>
      </c>
      <c r="AC40">
        <f>SUMIFS($Y:$Y,$W:$W,$AA40,$Z:$Z,AC$1)</f>
        <v>154124</v>
      </c>
      <c r="AD40">
        <f>SUMIFS($Y:$Y,$W:$W,$AA40,$Z:$Z,AD$1)</f>
        <v>19972</v>
      </c>
      <c r="AE40">
        <f>SUMIFS($Y:$Y,$W:$W,$AA40,$Z:$Z,AE$1)</f>
        <v>0</v>
      </c>
      <c r="AF40">
        <f>SUMIFS($Y:$Y,$W:$W,$AA40,$Z:$Z,AF$1)</f>
        <v>0</v>
      </c>
      <c r="AG40">
        <f>SUMIFS($Y:$Y,$W:$W,$AA40,$Z:$Z,AG$1)</f>
        <v>21249</v>
      </c>
      <c r="AH40">
        <f>SUMIFS($Y:$Y,$W:$W,$AA40,$Z:$Z,AH$1)</f>
        <v>0</v>
      </c>
      <c r="AI40">
        <f>SUMIFS($Y:$Y,$W:$W,$AA40,$Z:$Z,AI$1)</f>
        <v>133791</v>
      </c>
      <c r="AJ40">
        <f>SUMIFS($Y:$Y,$W:$W,$AA40,$Z:$Z,AJ$1)</f>
        <v>14276</v>
      </c>
      <c r="AK40">
        <f>SUMIFS($Y:$Y,$W:$W,$AA40,$Z:$Z,AK$1)</f>
        <v>40101</v>
      </c>
      <c r="AL40">
        <f>SUMIFS($Y:$Y,$W:$W,$AA40,$Z:$Z,AL$1)</f>
        <v>0</v>
      </c>
      <c r="AM40">
        <f>SUMIFS($Y:$Y,$W:$W,$AA40,$Z:$Z,AM$1)</f>
        <v>0</v>
      </c>
      <c r="AN40">
        <f>SUMIFS($Y:$Y,$W:$W,$AA40,$Z:$Z,AN$1)</f>
        <v>0</v>
      </c>
      <c r="AO40">
        <f>SUM(AB40:AN40)</f>
        <v>383513</v>
      </c>
      <c r="AP40" s="8">
        <f t="shared" si="8"/>
        <v>0.19696969696969696</v>
      </c>
      <c r="AQ40" s="8">
        <f t="shared" si="9"/>
        <v>7.0373802323442152E-3</v>
      </c>
      <c r="AR40" s="8">
        <f t="shared" si="13"/>
        <v>0.39077790931309841</v>
      </c>
      <c r="AS40" t="str">
        <f t="shared" si="10"/>
        <v>A</v>
      </c>
      <c r="AT40" s="8">
        <f t="shared" si="11"/>
        <v>1.70791054256536</v>
      </c>
      <c r="AU40" t="str">
        <f t="shared" si="12"/>
        <v>Z</v>
      </c>
      <c r="AZ40" t="s">
        <v>48</v>
      </c>
      <c r="BA40" t="s">
        <v>471</v>
      </c>
      <c r="BB40" t="s">
        <v>472</v>
      </c>
      <c r="BC40">
        <v>76797</v>
      </c>
      <c r="BD40">
        <v>0</v>
      </c>
      <c r="BE40">
        <v>179924</v>
      </c>
      <c r="BF40">
        <v>27487</v>
      </c>
      <c r="BG40">
        <v>52204</v>
      </c>
      <c r="BH40">
        <v>40137</v>
      </c>
      <c r="BI40">
        <v>36362</v>
      </c>
      <c r="BJ40">
        <v>98023</v>
      </c>
      <c r="BK40">
        <v>96838</v>
      </c>
      <c r="BL40">
        <v>0</v>
      </c>
      <c r="BM40">
        <v>52164</v>
      </c>
      <c r="BN40">
        <v>0</v>
      </c>
      <c r="BO40">
        <v>0</v>
      </c>
    </row>
    <row r="41" spans="1:67" x14ac:dyDescent="0.25">
      <c r="A41" t="s">
        <v>23</v>
      </c>
      <c r="B41" t="s">
        <v>57</v>
      </c>
      <c r="C41" t="s">
        <v>49</v>
      </c>
      <c r="D41" s="7">
        <v>43583</v>
      </c>
      <c r="E41">
        <v>5</v>
      </c>
      <c r="W41" t="s">
        <v>57</v>
      </c>
      <c r="X41" s="11" t="s">
        <v>49</v>
      </c>
      <c r="Y41" s="7">
        <v>43583</v>
      </c>
      <c r="Z41" s="11" t="str">
        <f t="shared" si="5"/>
        <v>2023-9</v>
      </c>
      <c r="AA41" t="s">
        <v>131</v>
      </c>
      <c r="AB41">
        <f>SUMIFS($Y:$Y,$W:$W,$AA41,$Z:$Z,AB$1)</f>
        <v>0</v>
      </c>
      <c r="AC41">
        <f>SUMIFS($Y:$Y,$W:$W,$AA41,$Z:$Z,AC$1)</f>
        <v>92661</v>
      </c>
      <c r="AD41">
        <f>SUMIFS($Y:$Y,$W:$W,$AA41,$Z:$Z,AD$1)</f>
        <v>0</v>
      </c>
      <c r="AE41">
        <f>SUMIFS($Y:$Y,$W:$W,$AA41,$Z:$Z,AE$1)</f>
        <v>0</v>
      </c>
      <c r="AF41">
        <f>SUMIFS($Y:$Y,$W:$W,$AA41,$Z:$Z,AF$1)</f>
        <v>0</v>
      </c>
      <c r="AG41">
        <f>SUMIFS($Y:$Y,$W:$W,$AA41,$Z:$Z,AG$1)</f>
        <v>17012</v>
      </c>
      <c r="AH41">
        <f>SUMIFS($Y:$Y,$W:$W,$AA41,$Z:$Z,AH$1)</f>
        <v>13226</v>
      </c>
      <c r="AI41">
        <f>SUMIFS($Y:$Y,$W:$W,$AA41,$Z:$Z,AI$1)</f>
        <v>0</v>
      </c>
      <c r="AJ41">
        <f>SUMIFS($Y:$Y,$W:$W,$AA41,$Z:$Z,AJ$1)</f>
        <v>0</v>
      </c>
      <c r="AK41">
        <f>SUMIFS($Y:$Y,$W:$W,$AA41,$Z:$Z,AK$1)</f>
        <v>69262</v>
      </c>
      <c r="AL41">
        <f>SUMIFS($Y:$Y,$W:$W,$AA41,$Z:$Z,AL$1)</f>
        <v>53285</v>
      </c>
      <c r="AM41">
        <f>SUMIFS($Y:$Y,$W:$W,$AA41,$Z:$Z,AM$1)</f>
        <v>137000</v>
      </c>
      <c r="AN41">
        <f>SUMIFS($Y:$Y,$W:$W,$AA41,$Z:$Z,AN$1)</f>
        <v>0</v>
      </c>
      <c r="AO41">
        <f>SUM(AB41:AN41)</f>
        <v>382446</v>
      </c>
      <c r="AP41" s="8">
        <f t="shared" si="8"/>
        <v>0.20202020202020202</v>
      </c>
      <c r="AQ41" s="8">
        <f t="shared" si="9"/>
        <v>7.017801014148453E-3</v>
      </c>
      <c r="AR41" s="8">
        <f t="shared" si="13"/>
        <v>0.39779571032724687</v>
      </c>
      <c r="AS41" t="str">
        <f t="shared" si="10"/>
        <v>A</v>
      </c>
      <c r="AT41" s="8">
        <f t="shared" si="11"/>
        <v>1.4667360503402407</v>
      </c>
      <c r="AU41" t="str">
        <f t="shared" si="12"/>
        <v>Z</v>
      </c>
      <c r="AZ41" t="s">
        <v>195</v>
      </c>
      <c r="BA41" t="s">
        <v>471</v>
      </c>
      <c r="BB41" t="s">
        <v>472</v>
      </c>
      <c r="BC41">
        <v>0</v>
      </c>
      <c r="BD41">
        <v>0</v>
      </c>
      <c r="BE41">
        <v>69567</v>
      </c>
      <c r="BF41">
        <v>0</v>
      </c>
      <c r="BG41">
        <v>0</v>
      </c>
      <c r="BH41">
        <v>53843</v>
      </c>
      <c r="BI41">
        <v>0</v>
      </c>
      <c r="BJ41">
        <v>121807</v>
      </c>
      <c r="BK41">
        <v>0</v>
      </c>
      <c r="BL41">
        <v>87749</v>
      </c>
      <c r="BM41">
        <v>0</v>
      </c>
      <c r="BN41">
        <v>31868</v>
      </c>
      <c r="BO41">
        <v>0</v>
      </c>
    </row>
    <row r="42" spans="1:67" x14ac:dyDescent="0.25">
      <c r="A42" t="s">
        <v>14</v>
      </c>
      <c r="B42" t="s">
        <v>58</v>
      </c>
      <c r="C42" t="s">
        <v>59</v>
      </c>
      <c r="D42" s="7">
        <v>71216</v>
      </c>
      <c r="E42">
        <v>9</v>
      </c>
      <c r="W42" t="s">
        <v>58</v>
      </c>
      <c r="X42" s="11" t="s">
        <v>59</v>
      </c>
      <c r="Y42" s="7">
        <v>71216</v>
      </c>
      <c r="Z42" s="11" t="str">
        <f t="shared" si="5"/>
        <v>2023-9</v>
      </c>
      <c r="AA42" t="s">
        <v>184</v>
      </c>
      <c r="AB42">
        <f>SUMIFS($Y:$Y,$W:$W,$AA42,$Z:$Z,AB$1)</f>
        <v>0</v>
      </c>
      <c r="AC42">
        <f>SUMIFS($Y:$Y,$W:$W,$AA42,$Z:$Z,AC$1)</f>
        <v>0</v>
      </c>
      <c r="AD42">
        <f>SUMIFS($Y:$Y,$W:$W,$AA42,$Z:$Z,AD$1)</f>
        <v>97546</v>
      </c>
      <c r="AE42">
        <f>SUMIFS($Y:$Y,$W:$W,$AA42,$Z:$Z,AE$1)</f>
        <v>57058</v>
      </c>
      <c r="AF42">
        <f>SUMIFS($Y:$Y,$W:$W,$AA42,$Z:$Z,AF$1)</f>
        <v>25423</v>
      </c>
      <c r="AG42">
        <f>SUMIFS($Y:$Y,$W:$W,$AA42,$Z:$Z,AG$1)</f>
        <v>0</v>
      </c>
      <c r="AH42">
        <f>SUMIFS($Y:$Y,$W:$W,$AA42,$Z:$Z,AH$1)</f>
        <v>0</v>
      </c>
      <c r="AI42">
        <f>SUMIFS($Y:$Y,$W:$W,$AA42,$Z:$Z,AI$1)</f>
        <v>0</v>
      </c>
      <c r="AJ42">
        <f>SUMIFS($Y:$Y,$W:$W,$AA42,$Z:$Z,AJ$1)</f>
        <v>0</v>
      </c>
      <c r="AK42">
        <f>SUMIFS($Y:$Y,$W:$W,$AA42,$Z:$Z,AK$1)</f>
        <v>42334</v>
      </c>
      <c r="AL42">
        <f>SUMIFS($Y:$Y,$W:$W,$AA42,$Z:$Z,AL$1)</f>
        <v>121051</v>
      </c>
      <c r="AM42">
        <f>SUMIFS($Y:$Y,$W:$W,$AA42,$Z:$Z,AM$1)</f>
        <v>32967</v>
      </c>
      <c r="AN42">
        <f>SUMIFS($Y:$Y,$W:$W,$AA42,$Z:$Z,AN$1)</f>
        <v>0</v>
      </c>
      <c r="AO42">
        <f>SUM(AB42:AN42)</f>
        <v>376379</v>
      </c>
      <c r="AP42" s="8">
        <f t="shared" si="8"/>
        <v>0.20707070707070707</v>
      </c>
      <c r="AQ42" s="8">
        <f t="shared" si="9"/>
        <v>6.9064728821956059E-3</v>
      </c>
      <c r="AR42" s="8">
        <f t="shared" si="13"/>
        <v>0.40470218320944246</v>
      </c>
      <c r="AS42" t="str">
        <f t="shared" si="10"/>
        <v>A</v>
      </c>
      <c r="AT42" s="8">
        <f t="shared" si="11"/>
        <v>1.3565332593506287</v>
      </c>
      <c r="AU42" t="str">
        <f t="shared" si="12"/>
        <v>Z</v>
      </c>
      <c r="AZ42" t="s">
        <v>150</v>
      </c>
      <c r="BA42" t="s">
        <v>474</v>
      </c>
      <c r="BB42" t="s">
        <v>472</v>
      </c>
      <c r="BC42">
        <v>0</v>
      </c>
      <c r="BD42">
        <v>90008</v>
      </c>
      <c r="BE42">
        <v>0</v>
      </c>
      <c r="BF42">
        <v>0</v>
      </c>
      <c r="BG42">
        <v>0</v>
      </c>
      <c r="BH42">
        <v>0</v>
      </c>
      <c r="BI42">
        <v>54946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</row>
    <row r="43" spans="1:67" x14ac:dyDescent="0.25">
      <c r="A43" t="s">
        <v>17</v>
      </c>
      <c r="B43" t="s">
        <v>50</v>
      </c>
      <c r="C43" t="s">
        <v>59</v>
      </c>
      <c r="D43" s="7">
        <v>75394</v>
      </c>
      <c r="E43">
        <v>7</v>
      </c>
      <c r="W43" t="s">
        <v>50</v>
      </c>
      <c r="X43" s="11" t="s">
        <v>59</v>
      </c>
      <c r="Y43" s="7">
        <v>75394</v>
      </c>
      <c r="Z43" s="11" t="str">
        <f t="shared" si="5"/>
        <v>2023-9</v>
      </c>
      <c r="AA43" t="s">
        <v>45</v>
      </c>
      <c r="AB43">
        <f>SUMIFS($Y:$Y,$W:$W,$AA43,$Z:$Z,AB$1)</f>
        <v>24177</v>
      </c>
      <c r="AC43">
        <f>SUMIFS($Y:$Y,$W:$W,$AA43,$Z:$Z,AC$1)</f>
        <v>84544</v>
      </c>
      <c r="AD43">
        <f>SUMIFS($Y:$Y,$W:$W,$AA43,$Z:$Z,AD$1)</f>
        <v>0</v>
      </c>
      <c r="AE43">
        <f>SUMIFS($Y:$Y,$W:$W,$AA43,$Z:$Z,AE$1)</f>
        <v>0</v>
      </c>
      <c r="AF43">
        <f>SUMIFS($Y:$Y,$W:$W,$AA43,$Z:$Z,AF$1)</f>
        <v>79184</v>
      </c>
      <c r="AG43">
        <f>SUMIFS($Y:$Y,$W:$W,$AA43,$Z:$Z,AG$1)</f>
        <v>86652</v>
      </c>
      <c r="AH43">
        <f>SUMIFS($Y:$Y,$W:$W,$AA43,$Z:$Z,AH$1)</f>
        <v>0</v>
      </c>
      <c r="AI43">
        <f>SUMIFS($Y:$Y,$W:$W,$AA43,$Z:$Z,AI$1)</f>
        <v>0</v>
      </c>
      <c r="AJ43">
        <f>SUMIFS($Y:$Y,$W:$W,$AA43,$Z:$Z,AJ$1)</f>
        <v>0</v>
      </c>
      <c r="AK43">
        <f>SUMIFS($Y:$Y,$W:$W,$AA43,$Z:$Z,AK$1)</f>
        <v>0</v>
      </c>
      <c r="AL43">
        <f>SUMIFS($Y:$Y,$W:$W,$AA43,$Z:$Z,AL$1)</f>
        <v>100752</v>
      </c>
      <c r="AM43">
        <f>SUMIFS($Y:$Y,$W:$W,$AA43,$Z:$Z,AM$1)</f>
        <v>0</v>
      </c>
      <c r="AN43">
        <f>SUMIFS($Y:$Y,$W:$W,$AA43,$Z:$Z,AN$1)</f>
        <v>0</v>
      </c>
      <c r="AO43">
        <f>SUM(AB43:AN43)</f>
        <v>375309</v>
      </c>
      <c r="AP43" s="8">
        <f t="shared" si="8"/>
        <v>0.21212121212121213</v>
      </c>
      <c r="AQ43" s="8">
        <f t="shared" si="9"/>
        <v>6.8868386146515893E-3</v>
      </c>
      <c r="AR43" s="8">
        <f t="shared" si="13"/>
        <v>0.41158902182409407</v>
      </c>
      <c r="AS43" t="str">
        <f t="shared" si="10"/>
        <v>A</v>
      </c>
      <c r="AT43" s="8">
        <f t="shared" si="11"/>
        <v>1.3864144344126317</v>
      </c>
      <c r="AU43" t="str">
        <f t="shared" si="12"/>
        <v>Z</v>
      </c>
      <c r="AZ43" t="s">
        <v>133</v>
      </c>
      <c r="BA43" t="s">
        <v>471</v>
      </c>
      <c r="BB43" t="s">
        <v>472</v>
      </c>
      <c r="BC43">
        <v>0</v>
      </c>
      <c r="BD43">
        <v>16779</v>
      </c>
      <c r="BE43">
        <v>0</v>
      </c>
      <c r="BF43">
        <v>0</v>
      </c>
      <c r="BG43">
        <v>123383</v>
      </c>
      <c r="BH43">
        <v>0</v>
      </c>
      <c r="BI43">
        <v>54634</v>
      </c>
      <c r="BJ43">
        <v>0</v>
      </c>
      <c r="BK43">
        <v>49172</v>
      </c>
      <c r="BL43">
        <v>0</v>
      </c>
      <c r="BM43">
        <v>0</v>
      </c>
      <c r="BN43">
        <v>33037</v>
      </c>
      <c r="BO43">
        <v>0</v>
      </c>
    </row>
    <row r="44" spans="1:67" x14ac:dyDescent="0.25">
      <c r="A44" t="s">
        <v>8</v>
      </c>
      <c r="B44" t="s">
        <v>60</v>
      </c>
      <c r="C44" t="s">
        <v>59</v>
      </c>
      <c r="D44" s="7">
        <v>58509</v>
      </c>
      <c r="E44">
        <v>7</v>
      </c>
      <c r="W44" t="s">
        <v>60</v>
      </c>
      <c r="X44" s="11" t="s">
        <v>59</v>
      </c>
      <c r="Y44" s="7">
        <v>58509</v>
      </c>
      <c r="Z44" s="11" t="str">
        <f t="shared" si="5"/>
        <v>2023-9</v>
      </c>
      <c r="AA44" t="s">
        <v>296</v>
      </c>
      <c r="AB44">
        <f>SUMIFS($Y:$Y,$W:$W,$AA44,$Z:$Z,AB$1)</f>
        <v>0</v>
      </c>
      <c r="AC44">
        <f>SUMIFS($Y:$Y,$W:$W,$AA44,$Z:$Z,AC$1)</f>
        <v>0</v>
      </c>
      <c r="AD44">
        <f>SUMIFS($Y:$Y,$W:$W,$AA44,$Z:$Z,AD$1)</f>
        <v>0</v>
      </c>
      <c r="AE44">
        <f>SUMIFS($Y:$Y,$W:$W,$AA44,$Z:$Z,AE$1)</f>
        <v>0</v>
      </c>
      <c r="AF44">
        <f>SUMIFS($Y:$Y,$W:$W,$AA44,$Z:$Z,AF$1)</f>
        <v>0</v>
      </c>
      <c r="AG44">
        <f>SUMIFS($Y:$Y,$W:$W,$AA44,$Z:$Z,AG$1)</f>
        <v>99692</v>
      </c>
      <c r="AH44">
        <f>SUMIFS($Y:$Y,$W:$W,$AA44,$Z:$Z,AH$1)</f>
        <v>0</v>
      </c>
      <c r="AI44">
        <f>SUMIFS($Y:$Y,$W:$W,$AA44,$Z:$Z,AI$1)</f>
        <v>0</v>
      </c>
      <c r="AJ44">
        <f>SUMIFS($Y:$Y,$W:$W,$AA44,$Z:$Z,AJ$1)</f>
        <v>22991</v>
      </c>
      <c r="AK44">
        <f>SUMIFS($Y:$Y,$W:$W,$AA44,$Z:$Z,AK$1)</f>
        <v>87694</v>
      </c>
      <c r="AL44">
        <f>SUMIFS($Y:$Y,$W:$W,$AA44,$Z:$Z,AL$1)</f>
        <v>0</v>
      </c>
      <c r="AM44">
        <f>SUMIFS($Y:$Y,$W:$W,$AA44,$Z:$Z,AM$1)</f>
        <v>163276</v>
      </c>
      <c r="AN44">
        <f>SUMIFS($Y:$Y,$W:$W,$AA44,$Z:$Z,AN$1)</f>
        <v>0</v>
      </c>
      <c r="AO44">
        <f>SUM(AB44:AN44)</f>
        <v>373653</v>
      </c>
      <c r="AP44" s="8">
        <f t="shared" si="8"/>
        <v>0.21717171717171718</v>
      </c>
      <c r="AQ44" s="8">
        <f t="shared" si="9"/>
        <v>6.8564513744152431E-3</v>
      </c>
      <c r="AR44" s="8">
        <f t="shared" si="13"/>
        <v>0.41844547319850933</v>
      </c>
      <c r="AS44" t="str">
        <f t="shared" si="10"/>
        <v>A</v>
      </c>
      <c r="AT44" s="8">
        <f t="shared" si="11"/>
        <v>1.7812773848596388</v>
      </c>
      <c r="AU44" t="str">
        <f t="shared" si="12"/>
        <v>Z</v>
      </c>
      <c r="AZ44" t="s">
        <v>65</v>
      </c>
      <c r="BA44" t="s">
        <v>471</v>
      </c>
      <c r="BB44" t="s">
        <v>472</v>
      </c>
      <c r="BC44">
        <v>18681</v>
      </c>
      <c r="BD44">
        <v>0</v>
      </c>
      <c r="BE44">
        <v>0</v>
      </c>
      <c r="BF44">
        <v>0</v>
      </c>
      <c r="BG44">
        <v>32417</v>
      </c>
      <c r="BH44">
        <v>0</v>
      </c>
      <c r="BI44">
        <v>0</v>
      </c>
      <c r="BJ44">
        <v>90883</v>
      </c>
      <c r="BK44">
        <v>0</v>
      </c>
      <c r="BL44">
        <v>0</v>
      </c>
      <c r="BM44">
        <v>86954</v>
      </c>
      <c r="BN44">
        <v>24178</v>
      </c>
      <c r="BO44">
        <v>0</v>
      </c>
    </row>
    <row r="45" spans="1:67" x14ac:dyDescent="0.25">
      <c r="A45" t="s">
        <v>23</v>
      </c>
      <c r="B45" t="s">
        <v>61</v>
      </c>
      <c r="C45" t="s">
        <v>59</v>
      </c>
      <c r="D45" s="7">
        <v>21518</v>
      </c>
      <c r="E45">
        <v>2</v>
      </c>
      <c r="W45" t="s">
        <v>61</v>
      </c>
      <c r="X45" s="11" t="s">
        <v>59</v>
      </c>
      <c r="Y45" s="7">
        <v>21518</v>
      </c>
      <c r="Z45" s="11" t="str">
        <f t="shared" si="5"/>
        <v>2023-9</v>
      </c>
      <c r="AA45" t="s">
        <v>85</v>
      </c>
      <c r="AB45">
        <f>SUMIFS($Y:$Y,$W:$W,$AA45,$Z:$Z,AB$1)</f>
        <v>30900</v>
      </c>
      <c r="AC45">
        <f>SUMIFS($Y:$Y,$W:$W,$AA45,$Z:$Z,AC$1)</f>
        <v>78721</v>
      </c>
      <c r="AD45">
        <f>SUMIFS($Y:$Y,$W:$W,$AA45,$Z:$Z,AD$1)</f>
        <v>0</v>
      </c>
      <c r="AE45">
        <f>SUMIFS($Y:$Y,$W:$W,$AA45,$Z:$Z,AE$1)</f>
        <v>0</v>
      </c>
      <c r="AF45">
        <f>SUMIFS($Y:$Y,$W:$W,$AA45,$Z:$Z,AF$1)</f>
        <v>0</v>
      </c>
      <c r="AG45">
        <f>SUMIFS($Y:$Y,$W:$W,$AA45,$Z:$Z,AG$1)</f>
        <v>87934</v>
      </c>
      <c r="AH45">
        <f>SUMIFS($Y:$Y,$W:$W,$AA45,$Z:$Z,AH$1)</f>
        <v>0</v>
      </c>
      <c r="AI45">
        <f>SUMIFS($Y:$Y,$W:$W,$AA45,$Z:$Z,AI$1)</f>
        <v>27512</v>
      </c>
      <c r="AJ45">
        <f>SUMIFS($Y:$Y,$W:$W,$AA45,$Z:$Z,AJ$1)</f>
        <v>0</v>
      </c>
      <c r="AK45">
        <f>SUMIFS($Y:$Y,$W:$W,$AA45,$Z:$Z,AK$1)</f>
        <v>0</v>
      </c>
      <c r="AL45">
        <f>SUMIFS($Y:$Y,$W:$W,$AA45,$Z:$Z,AL$1)</f>
        <v>75819</v>
      </c>
      <c r="AM45">
        <f>SUMIFS($Y:$Y,$W:$W,$AA45,$Z:$Z,AM$1)</f>
        <v>67217</v>
      </c>
      <c r="AN45">
        <f>SUMIFS($Y:$Y,$W:$W,$AA45,$Z:$Z,AN$1)</f>
        <v>0</v>
      </c>
      <c r="AO45">
        <f>SUM(AB45:AN45)</f>
        <v>368103</v>
      </c>
      <c r="AP45" s="8">
        <f t="shared" si="8"/>
        <v>0.22222222222222221</v>
      </c>
      <c r="AQ45" s="8">
        <f t="shared" si="9"/>
        <v>6.754610080144878E-3</v>
      </c>
      <c r="AR45" s="8">
        <f t="shared" si="13"/>
        <v>0.42520008327865422</v>
      </c>
      <c r="AS45" t="str">
        <f t="shared" si="10"/>
        <v>A</v>
      </c>
      <c r="AT45" s="8">
        <f t="shared" si="11"/>
        <v>1.2188591948674052</v>
      </c>
      <c r="AU45" t="str">
        <f t="shared" si="12"/>
        <v>Z</v>
      </c>
      <c r="AZ45" t="s">
        <v>199</v>
      </c>
      <c r="BA45" t="s">
        <v>471</v>
      </c>
      <c r="BB45" t="s">
        <v>472</v>
      </c>
      <c r="BC45">
        <v>0</v>
      </c>
      <c r="BD45">
        <v>0</v>
      </c>
      <c r="BE45">
        <v>42065</v>
      </c>
      <c r="BF45">
        <v>44093</v>
      </c>
      <c r="BG45">
        <v>0</v>
      </c>
      <c r="BH45">
        <v>17785</v>
      </c>
      <c r="BI45">
        <v>86814</v>
      </c>
      <c r="BJ45">
        <v>0</v>
      </c>
      <c r="BK45">
        <v>81355</v>
      </c>
      <c r="BL45">
        <v>0</v>
      </c>
      <c r="BM45">
        <v>0</v>
      </c>
      <c r="BN45">
        <v>10879</v>
      </c>
      <c r="BO45">
        <v>0</v>
      </c>
    </row>
    <row r="46" spans="1:67" x14ac:dyDescent="0.25">
      <c r="A46" t="s">
        <v>10</v>
      </c>
      <c r="B46" t="s">
        <v>62</v>
      </c>
      <c r="C46" t="s">
        <v>59</v>
      </c>
      <c r="D46" s="7">
        <v>94451</v>
      </c>
      <c r="E46">
        <v>7</v>
      </c>
      <c r="W46" t="s">
        <v>62</v>
      </c>
      <c r="X46" s="11" t="s">
        <v>59</v>
      </c>
      <c r="Y46" s="7">
        <v>94451</v>
      </c>
      <c r="Z46" s="11" t="str">
        <f t="shared" si="5"/>
        <v>2023-9</v>
      </c>
      <c r="AA46" t="s">
        <v>195</v>
      </c>
      <c r="AB46">
        <f>SUMIFS($Y:$Y,$W:$W,$AA46,$Z:$Z,AB$1)</f>
        <v>0</v>
      </c>
      <c r="AC46">
        <f>SUMIFS($Y:$Y,$W:$W,$AA46,$Z:$Z,AC$1)</f>
        <v>0</v>
      </c>
      <c r="AD46">
        <f>SUMIFS($Y:$Y,$W:$W,$AA46,$Z:$Z,AD$1)</f>
        <v>69567</v>
      </c>
      <c r="AE46">
        <f>SUMIFS($Y:$Y,$W:$W,$AA46,$Z:$Z,AE$1)</f>
        <v>0</v>
      </c>
      <c r="AF46">
        <f>SUMIFS($Y:$Y,$W:$W,$AA46,$Z:$Z,AF$1)</f>
        <v>0</v>
      </c>
      <c r="AG46">
        <f>SUMIFS($Y:$Y,$W:$W,$AA46,$Z:$Z,AG$1)</f>
        <v>53843</v>
      </c>
      <c r="AH46">
        <f>SUMIFS($Y:$Y,$W:$W,$AA46,$Z:$Z,AH$1)</f>
        <v>0</v>
      </c>
      <c r="AI46">
        <f>SUMIFS($Y:$Y,$W:$W,$AA46,$Z:$Z,AI$1)</f>
        <v>121807</v>
      </c>
      <c r="AJ46">
        <f>SUMIFS($Y:$Y,$W:$W,$AA46,$Z:$Z,AJ$1)</f>
        <v>0</v>
      </c>
      <c r="AK46">
        <f>SUMIFS($Y:$Y,$W:$W,$AA46,$Z:$Z,AK$1)</f>
        <v>87749</v>
      </c>
      <c r="AL46">
        <f>SUMIFS($Y:$Y,$W:$W,$AA46,$Z:$Z,AL$1)</f>
        <v>0</v>
      </c>
      <c r="AM46">
        <f>SUMIFS($Y:$Y,$W:$W,$AA46,$Z:$Z,AM$1)</f>
        <v>31868</v>
      </c>
      <c r="AN46">
        <f>SUMIFS($Y:$Y,$W:$W,$AA46,$Z:$Z,AN$1)</f>
        <v>0</v>
      </c>
      <c r="AO46">
        <f>SUM(AB46:AN46)</f>
        <v>364834</v>
      </c>
      <c r="AP46" s="8">
        <f t="shared" si="8"/>
        <v>0.22727272727272727</v>
      </c>
      <c r="AQ46" s="8">
        <f t="shared" si="9"/>
        <v>6.6946246403304958E-3</v>
      </c>
      <c r="AR46" s="8">
        <f t="shared" si="13"/>
        <v>0.43189470791898471</v>
      </c>
      <c r="AS46" t="str">
        <f t="shared" si="10"/>
        <v>A</v>
      </c>
      <c r="AT46" s="8">
        <f t="shared" si="11"/>
        <v>1.433923371441699</v>
      </c>
      <c r="AU46" t="str">
        <f t="shared" si="12"/>
        <v>Z</v>
      </c>
      <c r="AZ46" t="s">
        <v>233</v>
      </c>
      <c r="BA46" t="s">
        <v>474</v>
      </c>
      <c r="BB46" t="s">
        <v>472</v>
      </c>
      <c r="BC46">
        <v>0</v>
      </c>
      <c r="BD46">
        <v>0</v>
      </c>
      <c r="BE46">
        <v>0</v>
      </c>
      <c r="BF46">
        <v>40349</v>
      </c>
      <c r="BG46">
        <v>0</v>
      </c>
      <c r="BH46">
        <v>0</v>
      </c>
      <c r="BI46">
        <v>0</v>
      </c>
      <c r="BJ46">
        <v>94875</v>
      </c>
      <c r="BK46">
        <v>0</v>
      </c>
      <c r="BL46">
        <v>0</v>
      </c>
      <c r="BM46">
        <v>30306</v>
      </c>
      <c r="BN46">
        <v>0</v>
      </c>
      <c r="BO46">
        <v>0</v>
      </c>
    </row>
    <row r="47" spans="1:67" x14ac:dyDescent="0.25">
      <c r="A47" t="s">
        <v>10</v>
      </c>
      <c r="B47" t="s">
        <v>63</v>
      </c>
      <c r="C47" t="s">
        <v>64</v>
      </c>
      <c r="D47" s="7">
        <v>86606</v>
      </c>
      <c r="E47">
        <v>5</v>
      </c>
      <c r="W47" t="s">
        <v>63</v>
      </c>
      <c r="X47" s="11" t="s">
        <v>64</v>
      </c>
      <c r="Y47" s="7">
        <v>86606</v>
      </c>
      <c r="Z47" s="11" t="str">
        <f t="shared" si="5"/>
        <v>2023-9</v>
      </c>
      <c r="AA47" t="s">
        <v>79</v>
      </c>
      <c r="AB47">
        <f>SUMIFS($Y:$Y,$W:$W,$AA47,$Z:$Z,AB$1)</f>
        <v>95434</v>
      </c>
      <c r="AC47">
        <f>SUMIFS($Y:$Y,$W:$W,$AA47,$Z:$Z,AC$1)</f>
        <v>88933</v>
      </c>
      <c r="AD47">
        <f>SUMIFS($Y:$Y,$W:$W,$AA47,$Z:$Z,AD$1)</f>
        <v>0</v>
      </c>
      <c r="AE47">
        <f>SUMIFS($Y:$Y,$W:$W,$AA47,$Z:$Z,AE$1)</f>
        <v>0</v>
      </c>
      <c r="AF47">
        <f>SUMIFS($Y:$Y,$W:$W,$AA47,$Z:$Z,AF$1)</f>
        <v>0</v>
      </c>
      <c r="AG47">
        <f>SUMIFS($Y:$Y,$W:$W,$AA47,$Z:$Z,AG$1)</f>
        <v>46369</v>
      </c>
      <c r="AH47">
        <f>SUMIFS($Y:$Y,$W:$W,$AA47,$Z:$Z,AH$1)</f>
        <v>0</v>
      </c>
      <c r="AI47">
        <f>SUMIFS($Y:$Y,$W:$W,$AA47,$Z:$Z,AI$1)</f>
        <v>74890</v>
      </c>
      <c r="AJ47">
        <f>SUMIFS($Y:$Y,$W:$W,$AA47,$Z:$Z,AJ$1)</f>
        <v>0</v>
      </c>
      <c r="AK47">
        <f>SUMIFS($Y:$Y,$W:$W,$AA47,$Z:$Z,AK$1)</f>
        <v>0</v>
      </c>
      <c r="AL47">
        <f>SUMIFS($Y:$Y,$W:$W,$AA47,$Z:$Z,AL$1)</f>
        <v>46862</v>
      </c>
      <c r="AM47">
        <f>SUMIFS($Y:$Y,$W:$W,$AA47,$Z:$Z,AM$1)</f>
        <v>0</v>
      </c>
      <c r="AN47">
        <f>SUMIFS($Y:$Y,$W:$W,$AA47,$Z:$Z,AN$1)</f>
        <v>0</v>
      </c>
      <c r="AO47">
        <f>SUM(AB47:AN47)</f>
        <v>352488</v>
      </c>
      <c r="AP47" s="8">
        <f t="shared" si="8"/>
        <v>0.23232323232323232</v>
      </c>
      <c r="AQ47" s="8">
        <f t="shared" si="9"/>
        <v>6.4680782224815006E-3</v>
      </c>
      <c r="AR47" s="8">
        <f t="shared" si="13"/>
        <v>0.43836278614146623</v>
      </c>
      <c r="AS47" t="str">
        <f t="shared" si="10"/>
        <v>A</v>
      </c>
      <c r="AT47" s="8">
        <f t="shared" si="11"/>
        <v>1.349816436356515</v>
      </c>
      <c r="AU47" t="str">
        <f t="shared" si="12"/>
        <v>Z</v>
      </c>
      <c r="AZ47" t="s">
        <v>54</v>
      </c>
      <c r="BA47" t="s">
        <v>474</v>
      </c>
      <c r="BB47" t="s">
        <v>472</v>
      </c>
      <c r="BC47">
        <v>82090</v>
      </c>
      <c r="BD47">
        <v>0</v>
      </c>
      <c r="BE47">
        <v>0</v>
      </c>
      <c r="BF47">
        <v>0</v>
      </c>
      <c r="BG47">
        <v>52592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49148</v>
      </c>
      <c r="BO47">
        <v>0</v>
      </c>
    </row>
    <row r="48" spans="1:67" x14ac:dyDescent="0.25">
      <c r="A48" t="s">
        <v>8</v>
      </c>
      <c r="B48" t="s">
        <v>56</v>
      </c>
      <c r="C48" t="s">
        <v>64</v>
      </c>
      <c r="D48" s="7">
        <v>47082</v>
      </c>
      <c r="E48">
        <v>9</v>
      </c>
      <c r="W48" t="s">
        <v>56</v>
      </c>
      <c r="X48" s="11" t="s">
        <v>64</v>
      </c>
      <c r="Y48" s="7">
        <v>47082</v>
      </c>
      <c r="Z48" s="11" t="str">
        <f t="shared" si="5"/>
        <v>2023-9</v>
      </c>
      <c r="AA48" t="s">
        <v>231</v>
      </c>
      <c r="AB48">
        <f>SUMIFS($Y:$Y,$W:$W,$AA48,$Z:$Z,AB$1)</f>
        <v>0</v>
      </c>
      <c r="AC48">
        <f>SUMIFS($Y:$Y,$W:$W,$AA48,$Z:$Z,AC$1)</f>
        <v>0</v>
      </c>
      <c r="AD48">
        <f>SUMIFS($Y:$Y,$W:$W,$AA48,$Z:$Z,AD$1)</f>
        <v>0</v>
      </c>
      <c r="AE48">
        <f>SUMIFS($Y:$Y,$W:$W,$AA48,$Z:$Z,AE$1)</f>
        <v>49551</v>
      </c>
      <c r="AF48">
        <f>SUMIFS($Y:$Y,$W:$W,$AA48,$Z:$Z,AF$1)</f>
        <v>35173</v>
      </c>
      <c r="AG48">
        <f>SUMIFS($Y:$Y,$W:$W,$AA48,$Z:$Z,AG$1)</f>
        <v>81175</v>
      </c>
      <c r="AH48">
        <f>SUMIFS($Y:$Y,$W:$W,$AA48,$Z:$Z,AH$1)</f>
        <v>0</v>
      </c>
      <c r="AI48">
        <f>SUMIFS($Y:$Y,$W:$W,$AA48,$Z:$Z,AI$1)</f>
        <v>82553</v>
      </c>
      <c r="AJ48">
        <f>SUMIFS($Y:$Y,$W:$W,$AA48,$Z:$Z,AJ$1)</f>
        <v>42282</v>
      </c>
      <c r="AK48">
        <f>SUMIFS($Y:$Y,$W:$W,$AA48,$Z:$Z,AK$1)</f>
        <v>0</v>
      </c>
      <c r="AL48">
        <f>SUMIFS($Y:$Y,$W:$W,$AA48,$Z:$Z,AL$1)</f>
        <v>60177</v>
      </c>
      <c r="AM48">
        <f>SUMIFS($Y:$Y,$W:$W,$AA48,$Z:$Z,AM$1)</f>
        <v>0</v>
      </c>
      <c r="AN48">
        <f>SUMIFS($Y:$Y,$W:$W,$AA48,$Z:$Z,AN$1)</f>
        <v>0</v>
      </c>
      <c r="AO48">
        <f>SUM(AB48:AN48)</f>
        <v>350911</v>
      </c>
      <c r="AP48" s="8">
        <f t="shared" si="8"/>
        <v>0.23737373737373738</v>
      </c>
      <c r="AQ48" s="8">
        <f t="shared" si="9"/>
        <v>6.4391406150825156E-3</v>
      </c>
      <c r="AR48" s="8">
        <f t="shared" si="13"/>
        <v>0.44480192675654873</v>
      </c>
      <c r="AS48" t="str">
        <f t="shared" si="10"/>
        <v>A</v>
      </c>
      <c r="AT48" s="8">
        <f t="shared" si="11"/>
        <v>1.1730268630404188</v>
      </c>
      <c r="AU48" t="str">
        <f t="shared" si="12"/>
        <v>Z</v>
      </c>
      <c r="AZ48" t="s">
        <v>82</v>
      </c>
      <c r="BA48" t="s">
        <v>471</v>
      </c>
      <c r="BB48" t="s">
        <v>472</v>
      </c>
      <c r="BC48">
        <v>74053</v>
      </c>
      <c r="BD48">
        <v>12540</v>
      </c>
      <c r="BE48">
        <v>28128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90121</v>
      </c>
      <c r="BN48">
        <v>74075</v>
      </c>
      <c r="BO48">
        <v>0</v>
      </c>
    </row>
    <row r="49" spans="1:67" x14ac:dyDescent="0.25">
      <c r="A49" t="s">
        <v>23</v>
      </c>
      <c r="B49" t="s">
        <v>41</v>
      </c>
      <c r="C49" t="s">
        <v>64</v>
      </c>
      <c r="D49" s="7">
        <v>80674</v>
      </c>
      <c r="E49">
        <v>7</v>
      </c>
      <c r="W49" t="s">
        <v>41</v>
      </c>
      <c r="X49" s="11" t="s">
        <v>64</v>
      </c>
      <c r="Y49" s="7">
        <v>80674</v>
      </c>
      <c r="Z49" s="11" t="str">
        <f t="shared" si="5"/>
        <v>2023-9</v>
      </c>
      <c r="AA49" t="s">
        <v>15</v>
      </c>
      <c r="AB49">
        <f>SUMIFS($Y:$Y,$W:$W,$AA49,$Z:$Z,AB$1)</f>
        <v>67588</v>
      </c>
      <c r="AC49">
        <f>SUMIFS($Y:$Y,$W:$W,$AA49,$Z:$Z,AC$1)</f>
        <v>0</v>
      </c>
      <c r="AD49">
        <f>SUMIFS($Y:$Y,$W:$W,$AA49,$Z:$Z,AD$1)</f>
        <v>0</v>
      </c>
      <c r="AE49">
        <f>SUMIFS($Y:$Y,$W:$W,$AA49,$Z:$Z,AE$1)</f>
        <v>43448</v>
      </c>
      <c r="AF49">
        <f>SUMIFS($Y:$Y,$W:$W,$AA49,$Z:$Z,AF$1)</f>
        <v>0</v>
      </c>
      <c r="AG49">
        <f>SUMIFS($Y:$Y,$W:$W,$AA49,$Z:$Z,AG$1)</f>
        <v>0</v>
      </c>
      <c r="AH49">
        <f>SUMIFS($Y:$Y,$W:$W,$AA49,$Z:$Z,AH$1)</f>
        <v>0</v>
      </c>
      <c r="AI49">
        <f>SUMIFS($Y:$Y,$W:$W,$AA49,$Z:$Z,AI$1)</f>
        <v>74519</v>
      </c>
      <c r="AJ49">
        <f>SUMIFS($Y:$Y,$W:$W,$AA49,$Z:$Z,AJ$1)</f>
        <v>0</v>
      </c>
      <c r="AK49">
        <f>SUMIFS($Y:$Y,$W:$W,$AA49,$Z:$Z,AK$1)</f>
        <v>0</v>
      </c>
      <c r="AL49">
        <f>SUMIFS($Y:$Y,$W:$W,$AA49,$Z:$Z,AL$1)</f>
        <v>162740</v>
      </c>
      <c r="AM49">
        <f>SUMIFS($Y:$Y,$W:$W,$AA49,$Z:$Z,AM$1)</f>
        <v>0</v>
      </c>
      <c r="AN49">
        <f>SUMIFS($Y:$Y,$W:$W,$AA49,$Z:$Z,AN$1)</f>
        <v>0</v>
      </c>
      <c r="AO49">
        <f>SUM(AB49:AN49)</f>
        <v>348295</v>
      </c>
      <c r="AP49" s="8">
        <f t="shared" si="8"/>
        <v>0.24242424242424243</v>
      </c>
      <c r="AQ49" s="8">
        <f t="shared" si="9"/>
        <v>6.3911375834048087E-3</v>
      </c>
      <c r="AR49" s="8">
        <f t="shared" si="13"/>
        <v>0.45119306433995354</v>
      </c>
      <c r="AS49" t="str">
        <f t="shared" si="10"/>
        <v>A</v>
      </c>
      <c r="AT49" s="8">
        <f t="shared" si="11"/>
        <v>1.7677926382665354</v>
      </c>
      <c r="AU49" t="str">
        <f t="shared" si="12"/>
        <v>Z</v>
      </c>
      <c r="AZ49" t="s">
        <v>249</v>
      </c>
      <c r="BA49" t="s">
        <v>474</v>
      </c>
      <c r="BB49" t="s">
        <v>472</v>
      </c>
      <c r="BC49">
        <v>0</v>
      </c>
      <c r="BD49">
        <v>0</v>
      </c>
      <c r="BE49">
        <v>0</v>
      </c>
      <c r="BF49">
        <v>22947</v>
      </c>
      <c r="BG49">
        <v>0</v>
      </c>
      <c r="BH49">
        <v>26909</v>
      </c>
      <c r="BI49">
        <v>0</v>
      </c>
      <c r="BJ49">
        <v>0</v>
      </c>
      <c r="BK49">
        <v>57900</v>
      </c>
      <c r="BL49">
        <v>13859</v>
      </c>
      <c r="BM49">
        <v>0</v>
      </c>
      <c r="BN49">
        <v>0</v>
      </c>
      <c r="BO49">
        <v>0</v>
      </c>
    </row>
    <row r="50" spans="1:67" x14ac:dyDescent="0.25">
      <c r="A50" t="s">
        <v>23</v>
      </c>
      <c r="B50" t="s">
        <v>65</v>
      </c>
      <c r="C50" t="s">
        <v>66</v>
      </c>
      <c r="D50" s="7">
        <v>18681</v>
      </c>
      <c r="E50">
        <v>6</v>
      </c>
      <c r="W50" t="s">
        <v>65</v>
      </c>
      <c r="X50" s="11" t="s">
        <v>66</v>
      </c>
      <c r="Y50" s="7">
        <v>18681</v>
      </c>
      <c r="Z50" s="11" t="str">
        <f t="shared" si="5"/>
        <v>2023-9</v>
      </c>
      <c r="AA50" t="s">
        <v>263</v>
      </c>
      <c r="AB50">
        <f>SUMIFS($Y:$Y,$W:$W,$AA50,$Z:$Z,AB$1)</f>
        <v>0</v>
      </c>
      <c r="AC50">
        <f>SUMIFS($Y:$Y,$W:$W,$AA50,$Z:$Z,AC$1)</f>
        <v>0</v>
      </c>
      <c r="AD50">
        <f>SUMIFS($Y:$Y,$W:$W,$AA50,$Z:$Z,AD$1)</f>
        <v>0</v>
      </c>
      <c r="AE50">
        <f>SUMIFS($Y:$Y,$W:$W,$AA50,$Z:$Z,AE$1)</f>
        <v>0</v>
      </c>
      <c r="AF50">
        <f>SUMIFS($Y:$Y,$W:$W,$AA50,$Z:$Z,AF$1)</f>
        <v>94376</v>
      </c>
      <c r="AG50">
        <f>SUMIFS($Y:$Y,$W:$W,$AA50,$Z:$Z,AG$1)</f>
        <v>83003</v>
      </c>
      <c r="AH50">
        <f>SUMIFS($Y:$Y,$W:$W,$AA50,$Z:$Z,AH$1)</f>
        <v>45223</v>
      </c>
      <c r="AI50">
        <f>SUMIFS($Y:$Y,$W:$W,$AA50,$Z:$Z,AI$1)</f>
        <v>0</v>
      </c>
      <c r="AJ50">
        <f>SUMIFS($Y:$Y,$W:$W,$AA50,$Z:$Z,AJ$1)</f>
        <v>117499</v>
      </c>
      <c r="AK50">
        <f>SUMIFS($Y:$Y,$W:$W,$AA50,$Z:$Z,AK$1)</f>
        <v>0</v>
      </c>
      <c r="AL50">
        <f>SUMIFS($Y:$Y,$W:$W,$AA50,$Z:$Z,AL$1)</f>
        <v>0</v>
      </c>
      <c r="AM50">
        <f>SUMIFS($Y:$Y,$W:$W,$AA50,$Z:$Z,AM$1)</f>
        <v>0</v>
      </c>
      <c r="AN50">
        <f>SUMIFS($Y:$Y,$W:$W,$AA50,$Z:$Z,AN$1)</f>
        <v>0</v>
      </c>
      <c r="AO50">
        <f>SUM(AB50:AN50)</f>
        <v>340101</v>
      </c>
      <c r="AP50" s="8">
        <f t="shared" si="8"/>
        <v>0.24747474747474749</v>
      </c>
      <c r="AQ50" s="8">
        <f t="shared" si="9"/>
        <v>6.2407794635396972E-3</v>
      </c>
      <c r="AR50" s="8">
        <f t="shared" si="13"/>
        <v>0.45743384380349322</v>
      </c>
      <c r="AS50" t="str">
        <f t="shared" si="10"/>
        <v>A</v>
      </c>
      <c r="AT50" s="8">
        <f t="shared" si="11"/>
        <v>1.5990175570019149</v>
      </c>
      <c r="AU50" t="str">
        <f t="shared" si="12"/>
        <v>Z</v>
      </c>
      <c r="AZ50" t="s">
        <v>156</v>
      </c>
      <c r="BA50" t="s">
        <v>474</v>
      </c>
      <c r="BB50" t="s">
        <v>472</v>
      </c>
      <c r="BC50">
        <v>0</v>
      </c>
      <c r="BD50">
        <v>34160</v>
      </c>
      <c r="BE50">
        <v>0</v>
      </c>
      <c r="BF50">
        <v>47042</v>
      </c>
      <c r="BG50">
        <v>10391</v>
      </c>
      <c r="BH50">
        <v>61773</v>
      </c>
      <c r="BI50">
        <v>19692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</row>
    <row r="51" spans="1:67" x14ac:dyDescent="0.25">
      <c r="A51" t="s">
        <v>32</v>
      </c>
      <c r="B51" t="s">
        <v>57</v>
      </c>
      <c r="C51" t="s">
        <v>66</v>
      </c>
      <c r="D51" s="7">
        <v>85570</v>
      </c>
      <c r="E51">
        <v>8</v>
      </c>
      <c r="W51" t="s">
        <v>57</v>
      </c>
      <c r="X51" s="11" t="s">
        <v>66</v>
      </c>
      <c r="Y51" s="7">
        <v>85570</v>
      </c>
      <c r="Z51" s="11" t="str">
        <f t="shared" si="5"/>
        <v>2023-9</v>
      </c>
      <c r="AA51" t="s">
        <v>188</v>
      </c>
      <c r="AB51">
        <f>SUMIFS($Y:$Y,$W:$W,$AA51,$Z:$Z,AB$1)</f>
        <v>0</v>
      </c>
      <c r="AC51">
        <f>SUMIFS($Y:$Y,$W:$W,$AA51,$Z:$Z,AC$1)</f>
        <v>0</v>
      </c>
      <c r="AD51">
        <f>SUMIFS($Y:$Y,$W:$W,$AA51,$Z:$Z,AD$1)</f>
        <v>82828</v>
      </c>
      <c r="AE51">
        <f>SUMIFS($Y:$Y,$W:$W,$AA51,$Z:$Z,AE$1)</f>
        <v>0</v>
      </c>
      <c r="AF51">
        <f>SUMIFS($Y:$Y,$W:$W,$AA51,$Z:$Z,AF$1)</f>
        <v>0</v>
      </c>
      <c r="AG51">
        <f>SUMIFS($Y:$Y,$W:$W,$AA51,$Z:$Z,AG$1)</f>
        <v>0</v>
      </c>
      <c r="AH51">
        <f>SUMIFS($Y:$Y,$W:$W,$AA51,$Z:$Z,AH$1)</f>
        <v>43681</v>
      </c>
      <c r="AI51">
        <f>SUMIFS($Y:$Y,$W:$W,$AA51,$Z:$Z,AI$1)</f>
        <v>86335</v>
      </c>
      <c r="AJ51">
        <f>SUMIFS($Y:$Y,$W:$W,$AA51,$Z:$Z,AJ$1)</f>
        <v>0</v>
      </c>
      <c r="AK51">
        <f>SUMIFS($Y:$Y,$W:$W,$AA51,$Z:$Z,AK$1)</f>
        <v>57544</v>
      </c>
      <c r="AL51">
        <f>SUMIFS($Y:$Y,$W:$W,$AA51,$Z:$Z,AL$1)</f>
        <v>68619</v>
      </c>
      <c r="AM51">
        <f>SUMIFS($Y:$Y,$W:$W,$AA51,$Z:$Z,AM$1)</f>
        <v>0</v>
      </c>
      <c r="AN51">
        <f>SUMIFS($Y:$Y,$W:$W,$AA51,$Z:$Z,AN$1)</f>
        <v>0</v>
      </c>
      <c r="AO51">
        <f>SUM(AB51:AN51)</f>
        <v>339007</v>
      </c>
      <c r="AP51" s="8">
        <f t="shared" si="8"/>
        <v>0.25252525252525254</v>
      </c>
      <c r="AQ51" s="8">
        <f t="shared" si="9"/>
        <v>6.2207048012096469E-3</v>
      </c>
      <c r="AR51" s="8">
        <f t="shared" si="13"/>
        <v>0.46365454860470284</v>
      </c>
      <c r="AS51" t="str">
        <f t="shared" si="10"/>
        <v>A</v>
      </c>
      <c r="AT51" s="8">
        <f t="shared" si="11"/>
        <v>1.3199181814820788</v>
      </c>
      <c r="AU51" t="str">
        <f t="shared" si="12"/>
        <v>Z</v>
      </c>
      <c r="AZ51" t="s">
        <v>121</v>
      </c>
      <c r="BA51" t="s">
        <v>471</v>
      </c>
      <c r="BB51" t="s">
        <v>472</v>
      </c>
      <c r="BC51">
        <v>0</v>
      </c>
      <c r="BD51">
        <v>16119</v>
      </c>
      <c r="BE51">
        <v>0</v>
      </c>
      <c r="BF51">
        <v>0</v>
      </c>
      <c r="BG51">
        <v>120152</v>
      </c>
      <c r="BH51">
        <v>0</v>
      </c>
      <c r="BI51">
        <v>0</v>
      </c>
      <c r="BJ51">
        <v>0</v>
      </c>
      <c r="BK51">
        <v>162592</v>
      </c>
      <c r="BL51">
        <v>0</v>
      </c>
      <c r="BM51">
        <v>0</v>
      </c>
      <c r="BN51">
        <v>0</v>
      </c>
      <c r="BO51">
        <v>0</v>
      </c>
    </row>
    <row r="52" spans="1:67" x14ac:dyDescent="0.25">
      <c r="A52" t="s">
        <v>12</v>
      </c>
      <c r="B52" t="s">
        <v>67</v>
      </c>
      <c r="C52" t="s">
        <v>66</v>
      </c>
      <c r="D52" s="7">
        <v>51077</v>
      </c>
      <c r="E52">
        <v>8</v>
      </c>
      <c r="W52" t="s">
        <v>67</v>
      </c>
      <c r="X52" s="11" t="s">
        <v>66</v>
      </c>
      <c r="Y52" s="7">
        <v>51077</v>
      </c>
      <c r="Z52" s="11" t="str">
        <f t="shared" si="5"/>
        <v>2023-9</v>
      </c>
      <c r="AA52" t="s">
        <v>112</v>
      </c>
      <c r="AB52">
        <f>SUMIFS($Y:$Y,$W:$W,$AA52,$Z:$Z,AB$1)</f>
        <v>0</v>
      </c>
      <c r="AC52">
        <f>SUMIFS($Y:$Y,$W:$W,$AA52,$Z:$Z,AC$1)</f>
        <v>93197</v>
      </c>
      <c r="AD52">
        <f>SUMIFS($Y:$Y,$W:$W,$AA52,$Z:$Z,AD$1)</f>
        <v>0</v>
      </c>
      <c r="AE52">
        <f>SUMIFS($Y:$Y,$W:$W,$AA52,$Z:$Z,AE$1)</f>
        <v>43107</v>
      </c>
      <c r="AF52">
        <f>SUMIFS($Y:$Y,$W:$W,$AA52,$Z:$Z,AF$1)</f>
        <v>0</v>
      </c>
      <c r="AG52">
        <f>SUMIFS($Y:$Y,$W:$W,$AA52,$Z:$Z,AG$1)</f>
        <v>0</v>
      </c>
      <c r="AH52">
        <f>SUMIFS($Y:$Y,$W:$W,$AA52,$Z:$Z,AH$1)</f>
        <v>43277</v>
      </c>
      <c r="AI52">
        <f>SUMIFS($Y:$Y,$W:$W,$AA52,$Z:$Z,AI$1)</f>
        <v>23608</v>
      </c>
      <c r="AJ52">
        <f>SUMIFS($Y:$Y,$W:$W,$AA52,$Z:$Z,AJ$1)</f>
        <v>84845</v>
      </c>
      <c r="AK52">
        <f>SUMIFS($Y:$Y,$W:$W,$AA52,$Z:$Z,AK$1)</f>
        <v>0</v>
      </c>
      <c r="AL52">
        <f>SUMIFS($Y:$Y,$W:$W,$AA52,$Z:$Z,AL$1)</f>
        <v>0</v>
      </c>
      <c r="AM52">
        <f>SUMIFS($Y:$Y,$W:$W,$AA52,$Z:$Z,AM$1)</f>
        <v>50305</v>
      </c>
      <c r="AN52">
        <f>SUMIFS($Y:$Y,$W:$W,$AA52,$Z:$Z,AN$1)</f>
        <v>0</v>
      </c>
      <c r="AO52">
        <f>SUM(AB52:AN52)</f>
        <v>338339</v>
      </c>
      <c r="AP52" s="8">
        <f t="shared" si="8"/>
        <v>0.25757575757575757</v>
      </c>
      <c r="AQ52" s="8">
        <f t="shared" si="9"/>
        <v>6.2084471463317008E-3</v>
      </c>
      <c r="AR52" s="8">
        <f t="shared" si="13"/>
        <v>0.46986299575103452</v>
      </c>
      <c r="AS52" t="str">
        <f t="shared" si="10"/>
        <v>A</v>
      </c>
      <c r="AT52" s="8">
        <f t="shared" si="11"/>
        <v>1.2562961592036712</v>
      </c>
      <c r="AU52" t="str">
        <f t="shared" si="12"/>
        <v>Z</v>
      </c>
      <c r="AZ52" t="s">
        <v>63</v>
      </c>
      <c r="BA52" t="s">
        <v>478</v>
      </c>
      <c r="BB52" t="s">
        <v>472</v>
      </c>
      <c r="BC52">
        <v>86606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</row>
    <row r="53" spans="1:67" x14ac:dyDescent="0.25">
      <c r="A53" t="s">
        <v>33</v>
      </c>
      <c r="B53" t="s">
        <v>53</v>
      </c>
      <c r="C53" t="s">
        <v>66</v>
      </c>
      <c r="D53" s="7">
        <v>53934</v>
      </c>
      <c r="E53">
        <v>4</v>
      </c>
      <c r="W53" t="s">
        <v>53</v>
      </c>
      <c r="X53" s="11" t="s">
        <v>66</v>
      </c>
      <c r="Y53" s="7">
        <v>53934</v>
      </c>
      <c r="Z53" s="11" t="str">
        <f t="shared" si="5"/>
        <v>2023-9</v>
      </c>
      <c r="AA53" t="s">
        <v>197</v>
      </c>
      <c r="AB53">
        <f>SUMIFS($Y:$Y,$W:$W,$AA53,$Z:$Z,AB$1)</f>
        <v>0</v>
      </c>
      <c r="AC53">
        <f>SUMIFS($Y:$Y,$W:$W,$AA53,$Z:$Z,AC$1)</f>
        <v>0</v>
      </c>
      <c r="AD53">
        <f>SUMIFS($Y:$Y,$W:$W,$AA53,$Z:$Z,AD$1)</f>
        <v>116081</v>
      </c>
      <c r="AE53">
        <f>SUMIFS($Y:$Y,$W:$W,$AA53,$Z:$Z,AE$1)</f>
        <v>0</v>
      </c>
      <c r="AF53">
        <f>SUMIFS($Y:$Y,$W:$W,$AA53,$Z:$Z,AF$1)</f>
        <v>0</v>
      </c>
      <c r="AG53">
        <f>SUMIFS($Y:$Y,$W:$W,$AA53,$Z:$Z,AG$1)</f>
        <v>0</v>
      </c>
      <c r="AH53">
        <f>SUMIFS($Y:$Y,$W:$W,$AA53,$Z:$Z,AH$1)</f>
        <v>63014</v>
      </c>
      <c r="AI53">
        <f>SUMIFS($Y:$Y,$W:$W,$AA53,$Z:$Z,AI$1)</f>
        <v>0</v>
      </c>
      <c r="AJ53">
        <f>SUMIFS($Y:$Y,$W:$W,$AA53,$Z:$Z,AJ$1)</f>
        <v>0</v>
      </c>
      <c r="AK53">
        <f>SUMIFS($Y:$Y,$W:$W,$AA53,$Z:$Z,AK$1)</f>
        <v>0</v>
      </c>
      <c r="AL53">
        <f>SUMIFS($Y:$Y,$W:$W,$AA53,$Z:$Z,AL$1)</f>
        <v>84511</v>
      </c>
      <c r="AM53">
        <f>SUMIFS($Y:$Y,$W:$W,$AA53,$Z:$Z,AM$1)</f>
        <v>72632</v>
      </c>
      <c r="AN53">
        <f>SUMIFS($Y:$Y,$W:$W,$AA53,$Z:$Z,AN$1)</f>
        <v>0</v>
      </c>
      <c r="AO53">
        <f>SUM(AB53:AN53)</f>
        <v>336238</v>
      </c>
      <c r="AP53" s="8">
        <f t="shared" si="8"/>
        <v>0.26262626262626265</v>
      </c>
      <c r="AQ53" s="8">
        <f t="shared" si="9"/>
        <v>6.169894252770973E-3</v>
      </c>
      <c r="AR53" s="8">
        <f t="shared" si="13"/>
        <v>0.4760328900038055</v>
      </c>
      <c r="AS53" t="str">
        <f t="shared" si="10"/>
        <v>A</v>
      </c>
      <c r="AT53" s="8">
        <f t="shared" si="11"/>
        <v>1.5600878102213569</v>
      </c>
      <c r="AU53" t="str">
        <f t="shared" si="12"/>
        <v>Z</v>
      </c>
      <c r="AZ53" t="s">
        <v>259</v>
      </c>
      <c r="BA53" t="s">
        <v>474</v>
      </c>
      <c r="BB53" t="s">
        <v>472</v>
      </c>
      <c r="BC53">
        <v>0</v>
      </c>
      <c r="BD53">
        <v>0</v>
      </c>
      <c r="BE53">
        <v>0</v>
      </c>
      <c r="BF53">
        <v>0</v>
      </c>
      <c r="BG53">
        <v>43010</v>
      </c>
      <c r="BH53">
        <v>0</v>
      </c>
      <c r="BI53">
        <v>0</v>
      </c>
      <c r="BJ53">
        <v>12384</v>
      </c>
      <c r="BK53">
        <v>0</v>
      </c>
      <c r="BL53">
        <v>0</v>
      </c>
      <c r="BM53">
        <v>114023</v>
      </c>
      <c r="BN53">
        <v>11038</v>
      </c>
      <c r="BO53">
        <v>0</v>
      </c>
    </row>
    <row r="54" spans="1:67" x14ac:dyDescent="0.25">
      <c r="A54" t="s">
        <v>27</v>
      </c>
      <c r="B54" t="s">
        <v>68</v>
      </c>
      <c r="C54" t="s">
        <v>66</v>
      </c>
      <c r="D54" s="7">
        <v>12642</v>
      </c>
      <c r="E54">
        <v>3</v>
      </c>
      <c r="W54" t="s">
        <v>68</v>
      </c>
      <c r="X54" s="11" t="s">
        <v>66</v>
      </c>
      <c r="Y54" s="7">
        <v>12642</v>
      </c>
      <c r="Z54" s="11" t="str">
        <f t="shared" si="5"/>
        <v>2023-9</v>
      </c>
      <c r="AA54" t="s">
        <v>88</v>
      </c>
      <c r="AB54">
        <f>SUMIFS($Y:$Y,$W:$W,$AA54,$Z:$Z,AB$1)</f>
        <v>51776</v>
      </c>
      <c r="AC54">
        <f>SUMIFS($Y:$Y,$W:$W,$AA54,$Z:$Z,AC$1)</f>
        <v>129525</v>
      </c>
      <c r="AD54">
        <f>SUMIFS($Y:$Y,$W:$W,$AA54,$Z:$Z,AD$1)</f>
        <v>111724</v>
      </c>
      <c r="AE54">
        <f>SUMIFS($Y:$Y,$W:$W,$AA54,$Z:$Z,AE$1)</f>
        <v>0</v>
      </c>
      <c r="AF54">
        <f>SUMIFS($Y:$Y,$W:$W,$AA54,$Z:$Z,AF$1)</f>
        <v>0</v>
      </c>
      <c r="AG54">
        <f>SUMIFS($Y:$Y,$W:$W,$AA54,$Z:$Z,AG$1)</f>
        <v>0</v>
      </c>
      <c r="AH54">
        <f>SUMIFS($Y:$Y,$W:$W,$AA54,$Z:$Z,AH$1)</f>
        <v>37901</v>
      </c>
      <c r="AI54">
        <f>SUMIFS($Y:$Y,$W:$W,$AA54,$Z:$Z,AI$1)</f>
        <v>0</v>
      </c>
      <c r="AJ54">
        <f>SUMIFS($Y:$Y,$W:$W,$AA54,$Z:$Z,AJ$1)</f>
        <v>0</v>
      </c>
      <c r="AK54">
        <f>SUMIFS($Y:$Y,$W:$W,$AA54,$Z:$Z,AK$1)</f>
        <v>0</v>
      </c>
      <c r="AL54">
        <f>SUMIFS($Y:$Y,$W:$W,$AA54,$Z:$Z,AL$1)</f>
        <v>0</v>
      </c>
      <c r="AM54">
        <f>SUMIFS($Y:$Y,$W:$W,$AA54,$Z:$Z,AM$1)</f>
        <v>0</v>
      </c>
      <c r="AN54">
        <f>SUMIFS($Y:$Y,$W:$W,$AA54,$Z:$Z,AN$1)</f>
        <v>0</v>
      </c>
      <c r="AO54">
        <f>SUM(AB54:AN54)</f>
        <v>330926</v>
      </c>
      <c r="AP54" s="8">
        <f t="shared" si="8"/>
        <v>0.26767676767676768</v>
      </c>
      <c r="AQ54" s="8">
        <f t="shared" si="9"/>
        <v>6.0724202067954456E-3</v>
      </c>
      <c r="AR54" s="8">
        <f t="shared" si="13"/>
        <v>0.48210531021060093</v>
      </c>
      <c r="AS54" t="str">
        <f t="shared" si="10"/>
        <v>A</v>
      </c>
      <c r="AT54" s="8">
        <f t="shared" si="11"/>
        <v>1.7210573828815459</v>
      </c>
      <c r="AU54" t="str">
        <f t="shared" si="12"/>
        <v>Z</v>
      </c>
      <c r="AZ54" t="s">
        <v>87</v>
      </c>
      <c r="BA54" t="s">
        <v>471</v>
      </c>
      <c r="BB54" t="s">
        <v>472</v>
      </c>
      <c r="BC54">
        <v>13036</v>
      </c>
      <c r="BD54">
        <v>139592</v>
      </c>
      <c r="BE54">
        <v>0</v>
      </c>
      <c r="BF54">
        <v>30355</v>
      </c>
      <c r="BG54">
        <v>31317</v>
      </c>
      <c r="BH54">
        <v>0</v>
      </c>
      <c r="BI54">
        <v>31571</v>
      </c>
      <c r="BJ54">
        <v>0</v>
      </c>
      <c r="BK54">
        <v>20372</v>
      </c>
      <c r="BL54">
        <v>0</v>
      </c>
      <c r="BM54">
        <v>82606</v>
      </c>
      <c r="BN54">
        <v>62713</v>
      </c>
      <c r="BO54">
        <v>0</v>
      </c>
    </row>
    <row r="55" spans="1:67" x14ac:dyDescent="0.25">
      <c r="A55" t="s">
        <v>36</v>
      </c>
      <c r="B55" t="s">
        <v>69</v>
      </c>
      <c r="C55" t="s">
        <v>66</v>
      </c>
      <c r="D55" s="7">
        <v>27921</v>
      </c>
      <c r="E55">
        <v>6</v>
      </c>
      <c r="W55" t="s">
        <v>69</v>
      </c>
      <c r="X55" s="11" t="s">
        <v>66</v>
      </c>
      <c r="Y55" s="7">
        <v>27921</v>
      </c>
      <c r="Z55" s="11" t="str">
        <f t="shared" si="5"/>
        <v>2023-9</v>
      </c>
      <c r="AA55" t="s">
        <v>42</v>
      </c>
      <c r="AB55">
        <f>SUMIFS($Y:$Y,$W:$W,$AA55,$Z:$Z,AB$1)</f>
        <v>14427</v>
      </c>
      <c r="AC55">
        <f>SUMIFS($Y:$Y,$W:$W,$AA55,$Z:$Z,AC$1)</f>
        <v>0</v>
      </c>
      <c r="AD55">
        <f>SUMIFS($Y:$Y,$W:$W,$AA55,$Z:$Z,AD$1)</f>
        <v>46700</v>
      </c>
      <c r="AE55">
        <f>SUMIFS($Y:$Y,$W:$W,$AA55,$Z:$Z,AE$1)</f>
        <v>0</v>
      </c>
      <c r="AF55">
        <f>SUMIFS($Y:$Y,$W:$W,$AA55,$Z:$Z,AF$1)</f>
        <v>96261</v>
      </c>
      <c r="AG55">
        <f>SUMIFS($Y:$Y,$W:$W,$AA55,$Z:$Z,AG$1)</f>
        <v>34584</v>
      </c>
      <c r="AH55">
        <f>SUMIFS($Y:$Y,$W:$W,$AA55,$Z:$Z,AH$1)</f>
        <v>0</v>
      </c>
      <c r="AI55">
        <f>SUMIFS($Y:$Y,$W:$W,$AA55,$Z:$Z,AI$1)</f>
        <v>0</v>
      </c>
      <c r="AJ55">
        <f>SUMIFS($Y:$Y,$W:$W,$AA55,$Z:$Z,AJ$1)</f>
        <v>84838</v>
      </c>
      <c r="AK55">
        <f>SUMIFS($Y:$Y,$W:$W,$AA55,$Z:$Z,AK$1)</f>
        <v>26537</v>
      </c>
      <c r="AL55">
        <f>SUMIFS($Y:$Y,$W:$W,$AA55,$Z:$Z,AL$1)</f>
        <v>0</v>
      </c>
      <c r="AM55">
        <f>SUMIFS($Y:$Y,$W:$W,$AA55,$Z:$Z,AM$1)</f>
        <v>27053</v>
      </c>
      <c r="AN55">
        <f>SUMIFS($Y:$Y,$W:$W,$AA55,$Z:$Z,AN$1)</f>
        <v>0</v>
      </c>
      <c r="AO55">
        <f>SUM(AB55:AN55)</f>
        <v>330400</v>
      </c>
      <c r="AP55" s="8">
        <f t="shared" si="8"/>
        <v>0.27272727272727271</v>
      </c>
      <c r="AQ55" s="8">
        <f t="shared" si="9"/>
        <v>6.0627682210682007E-3</v>
      </c>
      <c r="AR55" s="8">
        <f t="shared" si="13"/>
        <v>0.48816807843166915</v>
      </c>
      <c r="AS55" t="str">
        <f t="shared" si="10"/>
        <v>A</v>
      </c>
      <c r="AT55" s="8">
        <f t="shared" si="11"/>
        <v>1.2484217976535688</v>
      </c>
      <c r="AU55" t="str">
        <f t="shared" si="12"/>
        <v>Z</v>
      </c>
      <c r="AZ55" t="s">
        <v>67</v>
      </c>
      <c r="BA55" t="s">
        <v>471</v>
      </c>
      <c r="BB55" t="s">
        <v>472</v>
      </c>
      <c r="BC55">
        <v>51077</v>
      </c>
      <c r="BD55">
        <v>50047</v>
      </c>
      <c r="BE55">
        <v>0</v>
      </c>
      <c r="BF55">
        <v>0</v>
      </c>
      <c r="BG55">
        <v>0</v>
      </c>
      <c r="BH55">
        <v>40591</v>
      </c>
      <c r="BI55">
        <v>83404</v>
      </c>
      <c r="BJ55">
        <v>0</v>
      </c>
      <c r="BK55">
        <v>13635</v>
      </c>
      <c r="BL55">
        <v>0</v>
      </c>
      <c r="BM55">
        <v>0</v>
      </c>
      <c r="BN55">
        <v>62653</v>
      </c>
      <c r="BO55">
        <v>0</v>
      </c>
    </row>
    <row r="56" spans="1:67" x14ac:dyDescent="0.25">
      <c r="A56" t="s">
        <v>32</v>
      </c>
      <c r="B56" t="s">
        <v>70</v>
      </c>
      <c r="C56" t="s">
        <v>71</v>
      </c>
      <c r="D56" s="7">
        <v>57831</v>
      </c>
      <c r="E56">
        <v>3</v>
      </c>
      <c r="W56" t="s">
        <v>70</v>
      </c>
      <c r="X56" s="11" t="s">
        <v>71</v>
      </c>
      <c r="Y56" s="7">
        <v>57831</v>
      </c>
      <c r="Z56" s="11" t="str">
        <f t="shared" si="5"/>
        <v>2023-9</v>
      </c>
      <c r="AA56" t="s">
        <v>55</v>
      </c>
      <c r="AB56">
        <f>SUMIFS($Y:$Y,$W:$W,$AA56,$Z:$Z,AB$1)</f>
        <v>41519</v>
      </c>
      <c r="AC56">
        <f>SUMIFS($Y:$Y,$W:$W,$AA56,$Z:$Z,AC$1)</f>
        <v>0</v>
      </c>
      <c r="AD56">
        <f>SUMIFS($Y:$Y,$W:$W,$AA56,$Z:$Z,AD$1)</f>
        <v>0</v>
      </c>
      <c r="AE56">
        <f>SUMIFS($Y:$Y,$W:$W,$AA56,$Z:$Z,AE$1)</f>
        <v>0</v>
      </c>
      <c r="AF56">
        <f>SUMIFS($Y:$Y,$W:$W,$AA56,$Z:$Z,AF$1)</f>
        <v>0</v>
      </c>
      <c r="AG56">
        <f>SUMIFS($Y:$Y,$W:$W,$AA56,$Z:$Z,AG$1)</f>
        <v>21382</v>
      </c>
      <c r="AH56">
        <f>SUMIFS($Y:$Y,$W:$W,$AA56,$Z:$Z,AH$1)</f>
        <v>0</v>
      </c>
      <c r="AI56">
        <f>SUMIFS($Y:$Y,$W:$W,$AA56,$Z:$Z,AI$1)</f>
        <v>89713</v>
      </c>
      <c r="AJ56">
        <f>SUMIFS($Y:$Y,$W:$W,$AA56,$Z:$Z,AJ$1)</f>
        <v>110608</v>
      </c>
      <c r="AK56">
        <f>SUMIFS($Y:$Y,$W:$W,$AA56,$Z:$Z,AK$1)</f>
        <v>0</v>
      </c>
      <c r="AL56">
        <f>SUMIFS($Y:$Y,$W:$W,$AA56,$Z:$Z,AL$1)</f>
        <v>0</v>
      </c>
      <c r="AM56">
        <f>SUMIFS($Y:$Y,$W:$W,$AA56,$Z:$Z,AM$1)</f>
        <v>66668</v>
      </c>
      <c r="AN56">
        <f>SUMIFS($Y:$Y,$W:$W,$AA56,$Z:$Z,AN$1)</f>
        <v>0</v>
      </c>
      <c r="AO56">
        <f>SUM(AB56:AN56)</f>
        <v>329890</v>
      </c>
      <c r="AP56" s="8">
        <f t="shared" si="8"/>
        <v>0.27777777777777779</v>
      </c>
      <c r="AQ56" s="8">
        <f t="shared" si="9"/>
        <v>6.053409831864978E-3</v>
      </c>
      <c r="AR56" s="8">
        <f t="shared" si="13"/>
        <v>0.49422148826353413</v>
      </c>
      <c r="AS56" t="str">
        <f t="shared" si="10"/>
        <v>A</v>
      </c>
      <c r="AT56" s="8">
        <f t="shared" si="11"/>
        <v>1.4880602587189009</v>
      </c>
      <c r="AU56" t="str">
        <f t="shared" si="12"/>
        <v>Z</v>
      </c>
      <c r="AZ56" t="s">
        <v>139</v>
      </c>
      <c r="BA56" t="s">
        <v>478</v>
      </c>
      <c r="BB56" t="s">
        <v>472</v>
      </c>
      <c r="BC56">
        <v>0</v>
      </c>
      <c r="BD56">
        <v>50952</v>
      </c>
      <c r="BE56">
        <v>0</v>
      </c>
      <c r="BF56">
        <v>0</v>
      </c>
      <c r="BG56">
        <v>29481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</row>
    <row r="57" spans="1:67" x14ac:dyDescent="0.25">
      <c r="A57" t="s">
        <v>32</v>
      </c>
      <c r="B57" t="s">
        <v>47</v>
      </c>
      <c r="C57" t="s">
        <v>71</v>
      </c>
      <c r="D57" s="7">
        <v>77304</v>
      </c>
      <c r="E57">
        <v>9</v>
      </c>
      <c r="W57" t="s">
        <v>47</v>
      </c>
      <c r="X57" s="11" t="s">
        <v>71</v>
      </c>
      <c r="Y57" s="7">
        <v>77304</v>
      </c>
      <c r="Z57" s="11" t="str">
        <f t="shared" si="5"/>
        <v>2023-9</v>
      </c>
      <c r="AA57" t="s">
        <v>25</v>
      </c>
      <c r="AB57">
        <f>SUMIFS($Y:$Y,$W:$W,$AA57,$Z:$Z,AB$1)</f>
        <v>87463</v>
      </c>
      <c r="AC57">
        <f>SUMIFS($Y:$Y,$W:$W,$AA57,$Z:$Z,AC$1)</f>
        <v>0</v>
      </c>
      <c r="AD57">
        <f>SUMIFS($Y:$Y,$W:$W,$AA57,$Z:$Z,AD$1)</f>
        <v>13269</v>
      </c>
      <c r="AE57">
        <f>SUMIFS($Y:$Y,$W:$W,$AA57,$Z:$Z,AE$1)</f>
        <v>76331</v>
      </c>
      <c r="AF57">
        <f>SUMIFS($Y:$Y,$W:$W,$AA57,$Z:$Z,AF$1)</f>
        <v>0</v>
      </c>
      <c r="AG57">
        <f>SUMIFS($Y:$Y,$W:$W,$AA57,$Z:$Z,AG$1)</f>
        <v>0</v>
      </c>
      <c r="AH57">
        <f>SUMIFS($Y:$Y,$W:$W,$AA57,$Z:$Z,AH$1)</f>
        <v>13313</v>
      </c>
      <c r="AI57">
        <f>SUMIFS($Y:$Y,$W:$W,$AA57,$Z:$Z,AI$1)</f>
        <v>0</v>
      </c>
      <c r="AJ57">
        <f>SUMIFS($Y:$Y,$W:$W,$AA57,$Z:$Z,AJ$1)</f>
        <v>0</v>
      </c>
      <c r="AK57">
        <f>SUMIFS($Y:$Y,$W:$W,$AA57,$Z:$Z,AK$1)</f>
        <v>84883</v>
      </c>
      <c r="AL57">
        <f>SUMIFS($Y:$Y,$W:$W,$AA57,$Z:$Z,AL$1)</f>
        <v>52335</v>
      </c>
      <c r="AM57">
        <f>SUMIFS($Y:$Y,$W:$W,$AA57,$Z:$Z,AM$1)</f>
        <v>0</v>
      </c>
      <c r="AN57">
        <f>SUMIFS($Y:$Y,$W:$W,$AA57,$Z:$Z,AN$1)</f>
        <v>0</v>
      </c>
      <c r="AO57">
        <f>SUM(AB57:AN57)</f>
        <v>327594</v>
      </c>
      <c r="AP57" s="8">
        <f t="shared" si="8"/>
        <v>0.28282828282828282</v>
      </c>
      <c r="AQ57" s="8">
        <f t="shared" si="9"/>
        <v>6.0112787306677243E-3</v>
      </c>
      <c r="AR57" s="8">
        <f t="shared" si="13"/>
        <v>0.50023276699420183</v>
      </c>
      <c r="AS57" t="str">
        <f t="shared" si="10"/>
        <v>A</v>
      </c>
      <c r="AT57" s="8">
        <f t="shared" si="11"/>
        <v>1.3710668438408735</v>
      </c>
      <c r="AU57" t="str">
        <f t="shared" si="12"/>
        <v>Z</v>
      </c>
      <c r="AZ57" t="s">
        <v>231</v>
      </c>
      <c r="BA57" t="s">
        <v>471</v>
      </c>
      <c r="BB57" t="s">
        <v>472</v>
      </c>
      <c r="BC57">
        <v>0</v>
      </c>
      <c r="BD57">
        <v>0</v>
      </c>
      <c r="BE57">
        <v>0</v>
      </c>
      <c r="BF57">
        <v>49551</v>
      </c>
      <c r="BG57">
        <v>35173</v>
      </c>
      <c r="BH57">
        <v>81175</v>
      </c>
      <c r="BI57">
        <v>0</v>
      </c>
      <c r="BJ57">
        <v>82553</v>
      </c>
      <c r="BK57">
        <v>42282</v>
      </c>
      <c r="BL57">
        <v>0</v>
      </c>
      <c r="BM57">
        <v>60177</v>
      </c>
      <c r="BN57">
        <v>0</v>
      </c>
      <c r="BO57">
        <v>0</v>
      </c>
    </row>
    <row r="58" spans="1:67" x14ac:dyDescent="0.25">
      <c r="A58" t="s">
        <v>14</v>
      </c>
      <c r="B58" t="s">
        <v>72</v>
      </c>
      <c r="C58" t="s">
        <v>73</v>
      </c>
      <c r="D58" s="7">
        <v>91703</v>
      </c>
      <c r="E58">
        <v>2</v>
      </c>
      <c r="W58" t="s">
        <v>72</v>
      </c>
      <c r="X58" s="11" t="s">
        <v>73</v>
      </c>
      <c r="Y58" s="7">
        <v>91703</v>
      </c>
      <c r="Z58" s="11" t="str">
        <f t="shared" si="5"/>
        <v>2023-9</v>
      </c>
      <c r="AA58" t="s">
        <v>9</v>
      </c>
      <c r="AB58">
        <f>SUMIFS($Y:$Y,$W:$W,$AA58,$Z:$Z,AB$1)</f>
        <v>67379</v>
      </c>
      <c r="AC58">
        <f>SUMIFS($Y:$Y,$W:$W,$AA58,$Z:$Z,AC$1)</f>
        <v>0</v>
      </c>
      <c r="AD58">
        <f>SUMIFS($Y:$Y,$W:$W,$AA58,$Z:$Z,AD$1)</f>
        <v>0</v>
      </c>
      <c r="AE58">
        <f>SUMIFS($Y:$Y,$W:$W,$AA58,$Z:$Z,AE$1)</f>
        <v>0</v>
      </c>
      <c r="AF58">
        <f>SUMIFS($Y:$Y,$W:$W,$AA58,$Z:$Z,AF$1)</f>
        <v>0</v>
      </c>
      <c r="AG58">
        <f>SUMIFS($Y:$Y,$W:$W,$AA58,$Z:$Z,AG$1)</f>
        <v>11950</v>
      </c>
      <c r="AH58">
        <f>SUMIFS($Y:$Y,$W:$W,$AA58,$Z:$Z,AH$1)</f>
        <v>0</v>
      </c>
      <c r="AI58">
        <f>SUMIFS($Y:$Y,$W:$W,$AA58,$Z:$Z,AI$1)</f>
        <v>16824</v>
      </c>
      <c r="AJ58">
        <f>SUMIFS($Y:$Y,$W:$W,$AA58,$Z:$Z,AJ$1)</f>
        <v>158421</v>
      </c>
      <c r="AK58">
        <f>SUMIFS($Y:$Y,$W:$W,$AA58,$Z:$Z,AK$1)</f>
        <v>0</v>
      </c>
      <c r="AL58">
        <f>SUMIFS($Y:$Y,$W:$W,$AA58,$Z:$Z,AL$1)</f>
        <v>72799</v>
      </c>
      <c r="AM58">
        <f>SUMIFS($Y:$Y,$W:$W,$AA58,$Z:$Z,AM$1)</f>
        <v>0</v>
      </c>
      <c r="AN58">
        <f>SUMIFS($Y:$Y,$W:$W,$AA58,$Z:$Z,AN$1)</f>
        <v>0</v>
      </c>
      <c r="AO58">
        <f>SUM(AB58:AN58)</f>
        <v>327373</v>
      </c>
      <c r="AP58" s="8">
        <f t="shared" si="8"/>
        <v>0.2878787878787879</v>
      </c>
      <c r="AQ58" s="8">
        <f t="shared" si="9"/>
        <v>6.0072234286796611E-3</v>
      </c>
      <c r="AR58" s="8">
        <f t="shared" si="13"/>
        <v>0.50623999042288148</v>
      </c>
      <c r="AS58" t="str">
        <f t="shared" si="10"/>
        <v>A</v>
      </c>
      <c r="AT58" s="8">
        <f t="shared" si="11"/>
        <v>1.8136875814952498</v>
      </c>
      <c r="AU58" t="str">
        <f t="shared" si="12"/>
        <v>Z</v>
      </c>
      <c r="AZ58" t="s">
        <v>334</v>
      </c>
      <c r="BA58" t="s">
        <v>474</v>
      </c>
      <c r="BB58" t="s">
        <v>472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26311</v>
      </c>
      <c r="BJ58">
        <v>62961</v>
      </c>
      <c r="BK58">
        <v>0</v>
      </c>
      <c r="BL58">
        <v>0</v>
      </c>
      <c r="BM58">
        <v>0</v>
      </c>
      <c r="BN58">
        <v>98093</v>
      </c>
      <c r="BO58">
        <v>0</v>
      </c>
    </row>
    <row r="59" spans="1:67" x14ac:dyDescent="0.25">
      <c r="A59" t="s">
        <v>33</v>
      </c>
      <c r="B59" t="s">
        <v>74</v>
      </c>
      <c r="C59" t="s">
        <v>73</v>
      </c>
      <c r="D59" s="7">
        <v>71018</v>
      </c>
      <c r="E59">
        <v>2</v>
      </c>
      <c r="W59" t="s">
        <v>74</v>
      </c>
      <c r="X59" s="11" t="s">
        <v>73</v>
      </c>
      <c r="Y59" s="7">
        <v>71018</v>
      </c>
      <c r="Z59" s="11" t="str">
        <f t="shared" si="5"/>
        <v>2023-9</v>
      </c>
      <c r="AA59" t="s">
        <v>22</v>
      </c>
      <c r="AB59">
        <f>SUMIFS($Y:$Y,$W:$W,$AA59,$Z:$Z,AB$1)</f>
        <v>10817</v>
      </c>
      <c r="AC59">
        <f>SUMIFS($Y:$Y,$W:$W,$AA59,$Z:$Z,AC$1)</f>
        <v>0</v>
      </c>
      <c r="AD59">
        <f>SUMIFS($Y:$Y,$W:$W,$AA59,$Z:$Z,AD$1)</f>
        <v>0</v>
      </c>
      <c r="AE59">
        <f>SUMIFS($Y:$Y,$W:$W,$AA59,$Z:$Z,AE$1)</f>
        <v>0</v>
      </c>
      <c r="AF59">
        <f>SUMIFS($Y:$Y,$W:$W,$AA59,$Z:$Z,AF$1)</f>
        <v>0</v>
      </c>
      <c r="AG59">
        <f>SUMIFS($Y:$Y,$W:$W,$AA59,$Z:$Z,AG$1)</f>
        <v>51116</v>
      </c>
      <c r="AH59">
        <f>SUMIFS($Y:$Y,$W:$W,$AA59,$Z:$Z,AH$1)</f>
        <v>28732</v>
      </c>
      <c r="AI59">
        <f>SUMIFS($Y:$Y,$W:$W,$AA59,$Z:$Z,AI$1)</f>
        <v>71609</v>
      </c>
      <c r="AJ59">
        <f>SUMIFS($Y:$Y,$W:$W,$AA59,$Z:$Z,AJ$1)</f>
        <v>0</v>
      </c>
      <c r="AK59">
        <f>SUMIFS($Y:$Y,$W:$W,$AA59,$Z:$Z,AK$1)</f>
        <v>0</v>
      </c>
      <c r="AL59">
        <f>SUMIFS($Y:$Y,$W:$W,$AA59,$Z:$Z,AL$1)</f>
        <v>60911</v>
      </c>
      <c r="AM59">
        <f>SUMIFS($Y:$Y,$W:$W,$AA59,$Z:$Z,AM$1)</f>
        <v>103805</v>
      </c>
      <c r="AN59">
        <f>SUMIFS($Y:$Y,$W:$W,$AA59,$Z:$Z,AN$1)</f>
        <v>0</v>
      </c>
      <c r="AO59">
        <f>SUM(AB59:AN59)</f>
        <v>326990</v>
      </c>
      <c r="AP59" s="8">
        <f t="shared" si="8"/>
        <v>0.29292929292929293</v>
      </c>
      <c r="AQ59" s="8">
        <f t="shared" si="9"/>
        <v>6.0001954618858679E-3</v>
      </c>
      <c r="AR59" s="8">
        <f t="shared" si="13"/>
        <v>0.51224018588476739</v>
      </c>
      <c r="AS59" t="str">
        <f t="shared" si="10"/>
        <v>A</v>
      </c>
      <c r="AT59" s="8">
        <f t="shared" si="11"/>
        <v>1.347942616137465</v>
      </c>
      <c r="AU59" t="str">
        <f t="shared" si="12"/>
        <v>Z</v>
      </c>
      <c r="AZ59" t="s">
        <v>114</v>
      </c>
      <c r="BA59" t="s">
        <v>471</v>
      </c>
      <c r="BB59" t="s">
        <v>472</v>
      </c>
      <c r="BC59">
        <v>0</v>
      </c>
      <c r="BD59">
        <v>19652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87842</v>
      </c>
      <c r="BL59">
        <v>66405</v>
      </c>
      <c r="BM59">
        <v>0</v>
      </c>
      <c r="BN59">
        <v>51606</v>
      </c>
      <c r="BO59">
        <v>0</v>
      </c>
    </row>
    <row r="60" spans="1:67" x14ac:dyDescent="0.25">
      <c r="A60" t="s">
        <v>8</v>
      </c>
      <c r="B60" t="s">
        <v>28</v>
      </c>
      <c r="C60" t="s">
        <v>73</v>
      </c>
      <c r="D60" s="7">
        <v>57949</v>
      </c>
      <c r="E60">
        <v>7</v>
      </c>
      <c r="W60" t="s">
        <v>28</v>
      </c>
      <c r="X60" s="11" t="s">
        <v>73</v>
      </c>
      <c r="Y60" s="7">
        <v>57949</v>
      </c>
      <c r="Z60" s="11" t="str">
        <f t="shared" si="5"/>
        <v>2023-9</v>
      </c>
      <c r="AA60" t="s">
        <v>39</v>
      </c>
      <c r="AB60">
        <f>SUMIFS($Y:$Y,$W:$W,$AA60,$Z:$Z,AB$1)</f>
        <v>82207</v>
      </c>
      <c r="AC60">
        <f>SUMIFS($Y:$Y,$W:$W,$AA60,$Z:$Z,AC$1)</f>
        <v>0</v>
      </c>
      <c r="AD60">
        <f>SUMIFS($Y:$Y,$W:$W,$AA60,$Z:$Z,AD$1)</f>
        <v>0</v>
      </c>
      <c r="AE60">
        <f>SUMIFS($Y:$Y,$W:$W,$AA60,$Z:$Z,AE$1)</f>
        <v>47290</v>
      </c>
      <c r="AF60">
        <f>SUMIFS($Y:$Y,$W:$W,$AA60,$Z:$Z,AF$1)</f>
        <v>0</v>
      </c>
      <c r="AG60">
        <f>SUMIFS($Y:$Y,$W:$W,$AA60,$Z:$Z,AG$1)</f>
        <v>80690</v>
      </c>
      <c r="AH60">
        <f>SUMIFS($Y:$Y,$W:$W,$AA60,$Z:$Z,AH$1)</f>
        <v>0</v>
      </c>
      <c r="AI60">
        <f>SUMIFS($Y:$Y,$W:$W,$AA60,$Z:$Z,AI$1)</f>
        <v>0</v>
      </c>
      <c r="AJ60">
        <f>SUMIFS($Y:$Y,$W:$W,$AA60,$Z:$Z,AJ$1)</f>
        <v>0</v>
      </c>
      <c r="AK60">
        <f>SUMIFS($Y:$Y,$W:$W,$AA60,$Z:$Z,AK$1)</f>
        <v>62725</v>
      </c>
      <c r="AL60">
        <f>SUMIFS($Y:$Y,$W:$W,$AA60,$Z:$Z,AL$1)</f>
        <v>0</v>
      </c>
      <c r="AM60">
        <f>SUMIFS($Y:$Y,$W:$W,$AA60,$Z:$Z,AM$1)</f>
        <v>51330</v>
      </c>
      <c r="AN60">
        <f>SUMIFS($Y:$Y,$W:$W,$AA60,$Z:$Z,AN$1)</f>
        <v>0</v>
      </c>
      <c r="AO60">
        <f>SUM(AB60:AN60)</f>
        <v>324242</v>
      </c>
      <c r="AP60" s="8">
        <f t="shared" si="8"/>
        <v>0.29797979797979796</v>
      </c>
      <c r="AQ60" s="8">
        <f t="shared" si="9"/>
        <v>5.9497702588849743E-3</v>
      </c>
      <c r="AR60" s="8">
        <f t="shared" si="13"/>
        <v>0.51818995614365237</v>
      </c>
      <c r="AS60" t="str">
        <f t="shared" si="10"/>
        <v>A</v>
      </c>
      <c r="AT60" s="8">
        <f t="shared" si="11"/>
        <v>1.3151302031394598</v>
      </c>
      <c r="AU60" t="str">
        <f t="shared" si="12"/>
        <v>Z</v>
      </c>
      <c r="AZ60" t="s">
        <v>215</v>
      </c>
      <c r="BA60" t="s">
        <v>471</v>
      </c>
      <c r="BB60" t="s">
        <v>472</v>
      </c>
      <c r="BC60">
        <v>0</v>
      </c>
      <c r="BD60">
        <v>0</v>
      </c>
      <c r="BE60">
        <v>0</v>
      </c>
      <c r="BF60">
        <v>38637</v>
      </c>
      <c r="BG60">
        <v>0</v>
      </c>
      <c r="BH60">
        <v>51068</v>
      </c>
      <c r="BI60">
        <v>0</v>
      </c>
      <c r="BJ60">
        <v>91977</v>
      </c>
      <c r="BK60">
        <v>0</v>
      </c>
      <c r="BL60">
        <v>59903</v>
      </c>
      <c r="BM60">
        <v>67363</v>
      </c>
      <c r="BN60">
        <v>0</v>
      </c>
      <c r="BO60">
        <v>0</v>
      </c>
    </row>
    <row r="61" spans="1:67" x14ac:dyDescent="0.25">
      <c r="A61" t="s">
        <v>33</v>
      </c>
      <c r="B61" t="s">
        <v>75</v>
      </c>
      <c r="C61" t="s">
        <v>73</v>
      </c>
      <c r="D61" s="7">
        <v>29443</v>
      </c>
      <c r="E61">
        <v>7</v>
      </c>
      <c r="W61" t="s">
        <v>75</v>
      </c>
      <c r="X61" s="11" t="s">
        <v>73</v>
      </c>
      <c r="Y61" s="7">
        <v>29443</v>
      </c>
      <c r="Z61" s="11" t="str">
        <f t="shared" si="5"/>
        <v>2023-9</v>
      </c>
      <c r="AA61" t="s">
        <v>34</v>
      </c>
      <c r="AB61">
        <f>SUMIFS($Y:$Y,$W:$W,$AA61,$Z:$Z,AB$1)</f>
        <v>113274</v>
      </c>
      <c r="AC61">
        <f>SUMIFS($Y:$Y,$W:$W,$AA61,$Z:$Z,AC$1)</f>
        <v>0</v>
      </c>
      <c r="AD61">
        <f>SUMIFS($Y:$Y,$W:$W,$AA61,$Z:$Z,AD$1)</f>
        <v>91657</v>
      </c>
      <c r="AE61">
        <f>SUMIFS($Y:$Y,$W:$W,$AA61,$Z:$Z,AE$1)</f>
        <v>0</v>
      </c>
      <c r="AF61">
        <f>SUMIFS($Y:$Y,$W:$W,$AA61,$Z:$Z,AF$1)</f>
        <v>0</v>
      </c>
      <c r="AG61">
        <f>SUMIFS($Y:$Y,$W:$W,$AA61,$Z:$Z,AG$1)</f>
        <v>38983</v>
      </c>
      <c r="AH61">
        <f>SUMIFS($Y:$Y,$W:$W,$AA61,$Z:$Z,AH$1)</f>
        <v>0</v>
      </c>
      <c r="AI61">
        <f>SUMIFS($Y:$Y,$W:$W,$AA61,$Z:$Z,AI$1)</f>
        <v>0</v>
      </c>
      <c r="AJ61">
        <f>SUMIFS($Y:$Y,$W:$W,$AA61,$Z:$Z,AJ$1)</f>
        <v>0</v>
      </c>
      <c r="AK61">
        <f>SUMIFS($Y:$Y,$W:$W,$AA61,$Z:$Z,AK$1)</f>
        <v>0</v>
      </c>
      <c r="AL61">
        <f>SUMIFS($Y:$Y,$W:$W,$AA61,$Z:$Z,AL$1)</f>
        <v>0</v>
      </c>
      <c r="AM61">
        <f>SUMIFS($Y:$Y,$W:$W,$AA61,$Z:$Z,AM$1)</f>
        <v>77976</v>
      </c>
      <c r="AN61">
        <f>SUMIFS($Y:$Y,$W:$W,$AA61,$Z:$Z,AN$1)</f>
        <v>0</v>
      </c>
      <c r="AO61">
        <f>SUM(AB61:AN61)</f>
        <v>321890</v>
      </c>
      <c r="AP61" s="8">
        <f t="shared" si="8"/>
        <v>0.30303030303030304</v>
      </c>
      <c r="AQ61" s="8">
        <f t="shared" si="9"/>
        <v>5.9066115698536408E-3</v>
      </c>
      <c r="AR61" s="8">
        <f t="shared" si="13"/>
        <v>0.52409656771350599</v>
      </c>
      <c r="AS61" t="str">
        <f t="shared" si="10"/>
        <v>A</v>
      </c>
      <c r="AT61" s="8">
        <f t="shared" si="11"/>
        <v>1.6178526013006369</v>
      </c>
      <c r="AU61" t="str">
        <f t="shared" si="12"/>
        <v>Z</v>
      </c>
      <c r="AZ61" t="s">
        <v>37</v>
      </c>
      <c r="BA61" t="s">
        <v>471</v>
      </c>
      <c r="BB61" t="s">
        <v>472</v>
      </c>
      <c r="BC61">
        <v>13331</v>
      </c>
      <c r="BD61">
        <v>98753</v>
      </c>
      <c r="BE61">
        <v>36866</v>
      </c>
      <c r="BF61">
        <v>0</v>
      </c>
      <c r="BG61">
        <v>0</v>
      </c>
      <c r="BH61">
        <v>0</v>
      </c>
      <c r="BI61">
        <v>0</v>
      </c>
      <c r="BJ61">
        <v>61769</v>
      </c>
      <c r="BK61">
        <v>0</v>
      </c>
      <c r="BL61">
        <v>0</v>
      </c>
      <c r="BM61">
        <v>26732</v>
      </c>
      <c r="BN61">
        <v>0</v>
      </c>
      <c r="BO61">
        <v>0</v>
      </c>
    </row>
    <row r="62" spans="1:67" x14ac:dyDescent="0.25">
      <c r="A62" t="s">
        <v>27</v>
      </c>
      <c r="B62" t="s">
        <v>76</v>
      </c>
      <c r="C62" t="s">
        <v>73</v>
      </c>
      <c r="D62" s="7">
        <v>48963</v>
      </c>
      <c r="E62">
        <v>8</v>
      </c>
      <c r="W62" t="s">
        <v>76</v>
      </c>
      <c r="X62" s="11" t="s">
        <v>73</v>
      </c>
      <c r="Y62" s="7">
        <v>48963</v>
      </c>
      <c r="Z62" s="11" t="str">
        <f t="shared" si="5"/>
        <v>2023-9</v>
      </c>
      <c r="AA62" t="s">
        <v>396</v>
      </c>
      <c r="AB62">
        <f>SUMIFS($Y:$Y,$W:$W,$AA62,$Z:$Z,AB$1)</f>
        <v>0</v>
      </c>
      <c r="AC62">
        <f>SUMIFS($Y:$Y,$W:$W,$AA62,$Z:$Z,AC$1)</f>
        <v>0</v>
      </c>
      <c r="AD62">
        <f>SUMIFS($Y:$Y,$W:$W,$AA62,$Z:$Z,AD$1)</f>
        <v>0</v>
      </c>
      <c r="AE62">
        <f>SUMIFS($Y:$Y,$W:$W,$AA62,$Z:$Z,AE$1)</f>
        <v>0</v>
      </c>
      <c r="AF62">
        <f>SUMIFS($Y:$Y,$W:$W,$AA62,$Z:$Z,AF$1)</f>
        <v>0</v>
      </c>
      <c r="AG62">
        <f>SUMIFS($Y:$Y,$W:$W,$AA62,$Z:$Z,AG$1)</f>
        <v>0</v>
      </c>
      <c r="AH62">
        <f>SUMIFS($Y:$Y,$W:$W,$AA62,$Z:$Z,AH$1)</f>
        <v>0</v>
      </c>
      <c r="AI62">
        <f>SUMIFS($Y:$Y,$W:$W,$AA62,$Z:$Z,AI$1)</f>
        <v>0</v>
      </c>
      <c r="AJ62">
        <f>SUMIFS($Y:$Y,$W:$W,$AA62,$Z:$Z,AJ$1)</f>
        <v>0</v>
      </c>
      <c r="AK62">
        <f>SUMIFS($Y:$Y,$W:$W,$AA62,$Z:$Z,AK$1)</f>
        <v>10858</v>
      </c>
      <c r="AL62">
        <f>SUMIFS($Y:$Y,$W:$W,$AA62,$Z:$Z,AL$1)</f>
        <v>94828</v>
      </c>
      <c r="AM62">
        <f>SUMIFS($Y:$Y,$W:$W,$AA62,$Z:$Z,AM$1)</f>
        <v>214632</v>
      </c>
      <c r="AN62">
        <f>SUMIFS($Y:$Y,$W:$W,$AA62,$Z:$Z,AN$1)</f>
        <v>0</v>
      </c>
      <c r="AO62">
        <f>SUM(AB62:AN62)</f>
        <v>320318</v>
      </c>
      <c r="AP62" s="8">
        <f t="shared" si="8"/>
        <v>0.30808080808080807</v>
      </c>
      <c r="AQ62" s="8">
        <f t="shared" si="9"/>
        <v>5.877765711368413E-3</v>
      </c>
      <c r="AR62" s="8">
        <f t="shared" si="13"/>
        <v>0.52997433342487443</v>
      </c>
      <c r="AS62" t="str">
        <f t="shared" si="10"/>
        <v>A</v>
      </c>
      <c r="AT62" s="8">
        <f t="shared" si="11"/>
        <v>2.4476537676184771</v>
      </c>
      <c r="AU62" t="str">
        <f t="shared" si="12"/>
        <v>Z</v>
      </c>
      <c r="AZ62" t="s">
        <v>57</v>
      </c>
      <c r="BA62" t="s">
        <v>471</v>
      </c>
      <c r="BB62" t="s">
        <v>472</v>
      </c>
      <c r="BC62">
        <v>129153</v>
      </c>
      <c r="BD62">
        <v>0</v>
      </c>
      <c r="BE62">
        <v>79022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41328</v>
      </c>
      <c r="BL62">
        <v>0</v>
      </c>
      <c r="BM62">
        <v>0</v>
      </c>
      <c r="BN62">
        <v>0</v>
      </c>
      <c r="BO62">
        <v>0</v>
      </c>
    </row>
    <row r="63" spans="1:67" x14ac:dyDescent="0.25">
      <c r="A63" t="s">
        <v>32</v>
      </c>
      <c r="B63" t="s">
        <v>77</v>
      </c>
      <c r="C63" t="s">
        <v>73</v>
      </c>
      <c r="D63" s="7">
        <v>53543</v>
      </c>
      <c r="E63">
        <v>8</v>
      </c>
      <c r="W63" t="s">
        <v>77</v>
      </c>
      <c r="X63" s="11" t="s">
        <v>73</v>
      </c>
      <c r="Y63" s="7">
        <v>53543</v>
      </c>
      <c r="Z63" s="11" t="str">
        <f t="shared" si="5"/>
        <v>2023-9</v>
      </c>
      <c r="AA63" t="s">
        <v>274</v>
      </c>
      <c r="AB63">
        <f>SUMIFS($Y:$Y,$W:$W,$AA63,$Z:$Z,AB$1)</f>
        <v>0</v>
      </c>
      <c r="AC63">
        <f>SUMIFS($Y:$Y,$W:$W,$AA63,$Z:$Z,AC$1)</f>
        <v>0</v>
      </c>
      <c r="AD63">
        <f>SUMIFS($Y:$Y,$W:$W,$AA63,$Z:$Z,AD$1)</f>
        <v>0</v>
      </c>
      <c r="AE63">
        <f>SUMIFS($Y:$Y,$W:$W,$AA63,$Z:$Z,AE$1)</f>
        <v>0</v>
      </c>
      <c r="AF63">
        <f>SUMIFS($Y:$Y,$W:$W,$AA63,$Z:$Z,AF$1)</f>
        <v>108423</v>
      </c>
      <c r="AG63">
        <f>SUMIFS($Y:$Y,$W:$W,$AA63,$Z:$Z,AG$1)</f>
        <v>0</v>
      </c>
      <c r="AH63">
        <f>SUMIFS($Y:$Y,$W:$W,$AA63,$Z:$Z,AH$1)</f>
        <v>43288</v>
      </c>
      <c r="AI63">
        <f>SUMIFS($Y:$Y,$W:$W,$AA63,$Z:$Z,AI$1)</f>
        <v>56449</v>
      </c>
      <c r="AJ63">
        <f>SUMIFS($Y:$Y,$W:$W,$AA63,$Z:$Z,AJ$1)</f>
        <v>74686</v>
      </c>
      <c r="AK63">
        <f>SUMIFS($Y:$Y,$W:$W,$AA63,$Z:$Z,AK$1)</f>
        <v>37128</v>
      </c>
      <c r="AL63">
        <f>SUMIFS($Y:$Y,$W:$W,$AA63,$Z:$Z,AL$1)</f>
        <v>0</v>
      </c>
      <c r="AM63">
        <f>SUMIFS($Y:$Y,$W:$W,$AA63,$Z:$Z,AM$1)</f>
        <v>0</v>
      </c>
      <c r="AN63">
        <f>SUMIFS($Y:$Y,$W:$W,$AA63,$Z:$Z,AN$1)</f>
        <v>0</v>
      </c>
      <c r="AO63">
        <f>SUM(AB63:AN63)</f>
        <v>319974</v>
      </c>
      <c r="AP63" s="8">
        <f t="shared" si="8"/>
        <v>0.31313131313131315</v>
      </c>
      <c r="AQ63" s="8">
        <f t="shared" si="9"/>
        <v>5.871453386101926E-3</v>
      </c>
      <c r="AR63" s="8">
        <f t="shared" si="13"/>
        <v>0.53584578681097639</v>
      </c>
      <c r="AS63" t="str">
        <f t="shared" si="10"/>
        <v>A</v>
      </c>
      <c r="AT63" s="8">
        <f t="shared" si="11"/>
        <v>1.4207278791806688</v>
      </c>
      <c r="AU63" t="str">
        <f t="shared" si="12"/>
        <v>Z</v>
      </c>
      <c r="AZ63" t="s">
        <v>109</v>
      </c>
      <c r="BA63" t="s">
        <v>478</v>
      </c>
      <c r="BB63" t="s">
        <v>472</v>
      </c>
      <c r="BC63">
        <v>0</v>
      </c>
      <c r="BD63">
        <v>15831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90950</v>
      </c>
      <c r="BO63">
        <v>0</v>
      </c>
    </row>
    <row r="64" spans="1:67" x14ac:dyDescent="0.25">
      <c r="A64" t="s">
        <v>33</v>
      </c>
      <c r="B64" t="s">
        <v>6</v>
      </c>
      <c r="C64" t="s">
        <v>78</v>
      </c>
      <c r="D64" s="7">
        <v>81222</v>
      </c>
      <c r="E64">
        <v>6</v>
      </c>
      <c r="W64" t="s">
        <v>6</v>
      </c>
      <c r="X64" s="11" t="s">
        <v>78</v>
      </c>
      <c r="Y64" s="7">
        <v>81222</v>
      </c>
      <c r="Z64" s="11" t="str">
        <f t="shared" si="5"/>
        <v>2023-9</v>
      </c>
      <c r="AA64" t="s">
        <v>238</v>
      </c>
      <c r="AB64">
        <f>SUMIFS($Y:$Y,$W:$W,$AA64,$Z:$Z,AB$1)</f>
        <v>0</v>
      </c>
      <c r="AC64">
        <f>SUMIFS($Y:$Y,$W:$W,$AA64,$Z:$Z,AC$1)</f>
        <v>0</v>
      </c>
      <c r="AD64">
        <f>SUMIFS($Y:$Y,$W:$W,$AA64,$Z:$Z,AD$1)</f>
        <v>0</v>
      </c>
      <c r="AE64">
        <f>SUMIFS($Y:$Y,$W:$W,$AA64,$Z:$Z,AE$1)</f>
        <v>43139</v>
      </c>
      <c r="AF64">
        <f>SUMIFS($Y:$Y,$W:$W,$AA64,$Z:$Z,AF$1)</f>
        <v>0</v>
      </c>
      <c r="AG64">
        <f>SUMIFS($Y:$Y,$W:$W,$AA64,$Z:$Z,AG$1)</f>
        <v>0</v>
      </c>
      <c r="AH64">
        <f>SUMIFS($Y:$Y,$W:$W,$AA64,$Z:$Z,AH$1)</f>
        <v>32047</v>
      </c>
      <c r="AI64">
        <f>SUMIFS($Y:$Y,$W:$W,$AA64,$Z:$Z,AI$1)</f>
        <v>91332</v>
      </c>
      <c r="AJ64">
        <f>SUMIFS($Y:$Y,$W:$W,$AA64,$Z:$Z,AJ$1)</f>
        <v>80993</v>
      </c>
      <c r="AK64">
        <f>SUMIFS($Y:$Y,$W:$W,$AA64,$Z:$Z,AK$1)</f>
        <v>0</v>
      </c>
      <c r="AL64">
        <f>SUMIFS($Y:$Y,$W:$W,$AA64,$Z:$Z,AL$1)</f>
        <v>0</v>
      </c>
      <c r="AM64">
        <f>SUMIFS($Y:$Y,$W:$W,$AA64,$Z:$Z,AM$1)</f>
        <v>68513</v>
      </c>
      <c r="AN64">
        <f>SUMIFS($Y:$Y,$W:$W,$AA64,$Z:$Z,AN$1)</f>
        <v>0</v>
      </c>
      <c r="AO64">
        <f>SUM(AB64:AN64)</f>
        <v>316024</v>
      </c>
      <c r="AP64" s="8">
        <f t="shared" si="8"/>
        <v>0.31818181818181818</v>
      </c>
      <c r="AQ64" s="8">
        <f t="shared" si="9"/>
        <v>5.7989717442338282E-3</v>
      </c>
      <c r="AR64" s="8">
        <f t="shared" si="13"/>
        <v>0.54164475855521022</v>
      </c>
      <c r="AS64" t="str">
        <f t="shared" si="10"/>
        <v>A</v>
      </c>
      <c r="AT64" s="8">
        <f t="shared" si="11"/>
        <v>1.3880253402931926</v>
      </c>
      <c r="AU64" t="str">
        <f t="shared" si="12"/>
        <v>Z</v>
      </c>
      <c r="AZ64" t="s">
        <v>316</v>
      </c>
      <c r="BA64" t="s">
        <v>478</v>
      </c>
      <c r="BB64" t="s">
        <v>472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47710</v>
      </c>
      <c r="BJ64">
        <v>11097</v>
      </c>
      <c r="BK64">
        <v>0</v>
      </c>
      <c r="BL64">
        <v>0</v>
      </c>
      <c r="BM64">
        <v>0</v>
      </c>
      <c r="BN64">
        <v>0</v>
      </c>
      <c r="BO64">
        <v>0</v>
      </c>
    </row>
    <row r="65" spans="1:67" x14ac:dyDescent="0.25">
      <c r="A65" t="s">
        <v>14</v>
      </c>
      <c r="B65" t="s">
        <v>79</v>
      </c>
      <c r="C65" t="s">
        <v>80</v>
      </c>
      <c r="D65" s="7">
        <v>95434</v>
      </c>
      <c r="E65">
        <v>2</v>
      </c>
      <c r="W65" t="s">
        <v>79</v>
      </c>
      <c r="X65" s="11" t="s">
        <v>80</v>
      </c>
      <c r="Y65" s="7">
        <v>95434</v>
      </c>
      <c r="Z65" s="11" t="str">
        <f t="shared" si="5"/>
        <v>2023-9</v>
      </c>
      <c r="AA65" t="s">
        <v>6</v>
      </c>
      <c r="AB65">
        <f>SUMIFS($Y:$Y,$W:$W,$AA65,$Z:$Z,AB$1)</f>
        <v>221998</v>
      </c>
      <c r="AC65">
        <f>SUMIFS($Y:$Y,$W:$W,$AA65,$Z:$Z,AC$1)</f>
        <v>0</v>
      </c>
      <c r="AD65">
        <f>SUMIFS($Y:$Y,$W:$W,$AA65,$Z:$Z,AD$1)</f>
        <v>0</v>
      </c>
      <c r="AE65">
        <f>SUMIFS($Y:$Y,$W:$W,$AA65,$Z:$Z,AE$1)</f>
        <v>0</v>
      </c>
      <c r="AF65">
        <f>SUMIFS($Y:$Y,$W:$W,$AA65,$Z:$Z,AF$1)</f>
        <v>0</v>
      </c>
      <c r="AG65">
        <f>SUMIFS($Y:$Y,$W:$W,$AA65,$Z:$Z,AG$1)</f>
        <v>93788</v>
      </c>
      <c r="AH65">
        <f>SUMIFS($Y:$Y,$W:$W,$AA65,$Z:$Z,AH$1)</f>
        <v>0</v>
      </c>
      <c r="AI65">
        <f>SUMIFS($Y:$Y,$W:$W,$AA65,$Z:$Z,AI$1)</f>
        <v>0</v>
      </c>
      <c r="AJ65">
        <f>SUMIFS($Y:$Y,$W:$W,$AA65,$Z:$Z,AJ$1)</f>
        <v>0</v>
      </c>
      <c r="AK65">
        <f>SUMIFS($Y:$Y,$W:$W,$AA65,$Z:$Z,AK$1)</f>
        <v>0</v>
      </c>
      <c r="AL65">
        <f>SUMIFS($Y:$Y,$W:$W,$AA65,$Z:$Z,AL$1)</f>
        <v>0</v>
      </c>
      <c r="AM65">
        <f>SUMIFS($Y:$Y,$W:$W,$AA65,$Z:$Z,AM$1)</f>
        <v>0</v>
      </c>
      <c r="AN65">
        <f>SUMIFS($Y:$Y,$W:$W,$AA65,$Z:$Z,AN$1)</f>
        <v>0</v>
      </c>
      <c r="AO65">
        <f>SUM(AB65:AN65)</f>
        <v>315786</v>
      </c>
      <c r="AP65" s="8">
        <f t="shared" si="8"/>
        <v>0.32323232323232326</v>
      </c>
      <c r="AQ65" s="8">
        <f t="shared" si="9"/>
        <v>5.7946044959389913E-3</v>
      </c>
      <c r="AR65" s="8">
        <f t="shared" si="13"/>
        <v>0.54743936305114915</v>
      </c>
      <c r="AS65" t="str">
        <f t="shared" si="10"/>
        <v>A</v>
      </c>
      <c r="AT65" s="8">
        <f t="shared" si="11"/>
        <v>2.5634837185156445</v>
      </c>
      <c r="AU65" t="str">
        <f t="shared" si="12"/>
        <v>Z</v>
      </c>
      <c r="AZ65" t="s">
        <v>103</v>
      </c>
      <c r="BA65" t="s">
        <v>474</v>
      </c>
      <c r="BB65" t="s">
        <v>472</v>
      </c>
      <c r="BC65">
        <v>0</v>
      </c>
      <c r="BD65">
        <v>130974</v>
      </c>
      <c r="BE65">
        <v>0</v>
      </c>
      <c r="BF65">
        <v>31649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</row>
    <row r="66" spans="1:67" x14ac:dyDescent="0.25">
      <c r="A66" t="s">
        <v>17</v>
      </c>
      <c r="B66" t="s">
        <v>81</v>
      </c>
      <c r="C66" t="s">
        <v>80</v>
      </c>
      <c r="D66" s="7">
        <v>13954</v>
      </c>
      <c r="E66">
        <v>7</v>
      </c>
      <c r="W66" t="s">
        <v>81</v>
      </c>
      <c r="X66" s="11" t="s">
        <v>80</v>
      </c>
      <c r="Y66" s="7">
        <v>13954</v>
      </c>
      <c r="Z66" s="11" t="str">
        <f t="shared" si="5"/>
        <v>2023-9</v>
      </c>
      <c r="AA66" t="s">
        <v>177</v>
      </c>
      <c r="AB66">
        <f>SUMIFS($Y:$Y,$W:$W,$AA66,$Z:$Z,AB$1)</f>
        <v>0</v>
      </c>
      <c r="AC66">
        <f>SUMIFS($Y:$Y,$W:$W,$AA66,$Z:$Z,AC$1)</f>
        <v>0</v>
      </c>
      <c r="AD66">
        <f>SUMIFS($Y:$Y,$W:$W,$AA66,$Z:$Z,AD$1)</f>
        <v>42281</v>
      </c>
      <c r="AE66">
        <f>SUMIFS($Y:$Y,$W:$W,$AA66,$Z:$Z,AE$1)</f>
        <v>93020</v>
      </c>
      <c r="AF66">
        <f>SUMIFS($Y:$Y,$W:$W,$AA66,$Z:$Z,AF$1)</f>
        <v>54430</v>
      </c>
      <c r="AG66">
        <f>SUMIFS($Y:$Y,$W:$W,$AA66,$Z:$Z,AG$1)</f>
        <v>0</v>
      </c>
      <c r="AH66">
        <f>SUMIFS($Y:$Y,$W:$W,$AA66,$Z:$Z,AH$1)</f>
        <v>31080</v>
      </c>
      <c r="AI66">
        <f>SUMIFS($Y:$Y,$W:$W,$AA66,$Z:$Z,AI$1)</f>
        <v>94037</v>
      </c>
      <c r="AJ66">
        <f>SUMIFS($Y:$Y,$W:$W,$AA66,$Z:$Z,AJ$1)</f>
        <v>0</v>
      </c>
      <c r="AK66">
        <f>SUMIFS($Y:$Y,$W:$W,$AA66,$Z:$Z,AK$1)</f>
        <v>0</v>
      </c>
      <c r="AL66">
        <f>SUMIFS($Y:$Y,$W:$W,$AA66,$Z:$Z,AL$1)</f>
        <v>0</v>
      </c>
      <c r="AM66">
        <f>SUMIFS($Y:$Y,$W:$W,$AA66,$Z:$Z,AM$1)</f>
        <v>0</v>
      </c>
      <c r="AN66">
        <f>SUMIFS($Y:$Y,$W:$W,$AA66,$Z:$Z,AN$1)</f>
        <v>0</v>
      </c>
      <c r="AO66">
        <f>SUM(AB66:AN66)</f>
        <v>314848</v>
      </c>
      <c r="AP66" s="8">
        <f t="shared" ref="AP66:AP97" si="14">(ROW()-1) / 198</f>
        <v>0.32828282828282829</v>
      </c>
      <c r="AQ66" s="8">
        <f t="shared" ref="AQ66:AQ97" si="15">AO66/$AO$1</f>
        <v>5.7773923997181623E-3</v>
      </c>
      <c r="AR66" s="8">
        <f t="shared" si="13"/>
        <v>0.55321675545086735</v>
      </c>
      <c r="AS66" t="str">
        <f t="shared" ref="AS66:AS97" si="16">IF(AR66&lt;80%,"A",IF(AR66&lt;95.0000001%,"B","C"))</f>
        <v>A</v>
      </c>
      <c r="AT66" s="8">
        <f t="shared" ref="AT66:AT97" si="17">_xlfn.STDEV.P(AB66:AN66)/AVERAGE(AB66:AN66)</f>
        <v>1.4297060932995234</v>
      </c>
      <c r="AU66" t="str">
        <f t="shared" ref="AU66:AU97" si="18">IF(AT66&lt;10%,"X",IF(AT66&lt;25%,"Y","Z"))</f>
        <v>Z</v>
      </c>
      <c r="AZ66" t="s">
        <v>214</v>
      </c>
      <c r="BA66" t="s">
        <v>471</v>
      </c>
      <c r="BB66" t="s">
        <v>472</v>
      </c>
      <c r="BC66">
        <v>0</v>
      </c>
      <c r="BD66">
        <v>0</v>
      </c>
      <c r="BE66">
        <v>0</v>
      </c>
      <c r="BF66">
        <v>144508</v>
      </c>
      <c r="BG66">
        <v>0</v>
      </c>
      <c r="BH66">
        <v>0</v>
      </c>
      <c r="BI66">
        <v>65397</v>
      </c>
      <c r="BJ66">
        <v>77779</v>
      </c>
      <c r="BK66">
        <v>0</v>
      </c>
      <c r="BL66">
        <v>80794</v>
      </c>
      <c r="BM66">
        <v>0</v>
      </c>
      <c r="BN66">
        <v>183085</v>
      </c>
      <c r="BO66">
        <v>0</v>
      </c>
    </row>
    <row r="67" spans="1:67" x14ac:dyDescent="0.25">
      <c r="A67" t="s">
        <v>12</v>
      </c>
      <c r="B67" t="s">
        <v>82</v>
      </c>
      <c r="C67" t="s">
        <v>83</v>
      </c>
      <c r="D67" s="7">
        <v>74053</v>
      </c>
      <c r="E67">
        <v>9</v>
      </c>
      <c r="W67" t="s">
        <v>82</v>
      </c>
      <c r="X67" s="11" t="s">
        <v>83</v>
      </c>
      <c r="Y67" s="7">
        <v>74053</v>
      </c>
      <c r="Z67" s="11" t="str">
        <f t="shared" ref="Z67:Z130" si="19">MID(X67,1,4)&amp;"-"&amp;IF(MID(X67,6,1)*1=0,MID(X67,7,1),MID(X67,6,2))</f>
        <v>2023-9</v>
      </c>
      <c r="AA67" t="s">
        <v>352</v>
      </c>
      <c r="AB67">
        <f>SUMIFS($Y:$Y,$W:$W,$AA67,$Z:$Z,AB$1)</f>
        <v>0</v>
      </c>
      <c r="AC67">
        <f>SUMIFS($Y:$Y,$W:$W,$AA67,$Z:$Z,AC$1)</f>
        <v>0</v>
      </c>
      <c r="AD67">
        <f>SUMIFS($Y:$Y,$W:$W,$AA67,$Z:$Z,AD$1)</f>
        <v>0</v>
      </c>
      <c r="AE67">
        <f>SUMIFS($Y:$Y,$W:$W,$AA67,$Z:$Z,AE$1)</f>
        <v>0</v>
      </c>
      <c r="AF67">
        <f>SUMIFS($Y:$Y,$W:$W,$AA67,$Z:$Z,AF$1)</f>
        <v>0</v>
      </c>
      <c r="AG67">
        <f>SUMIFS($Y:$Y,$W:$W,$AA67,$Z:$Z,AG$1)</f>
        <v>0</v>
      </c>
      <c r="AH67">
        <f>SUMIFS($Y:$Y,$W:$W,$AA67,$Z:$Z,AH$1)</f>
        <v>0</v>
      </c>
      <c r="AI67">
        <f>SUMIFS($Y:$Y,$W:$W,$AA67,$Z:$Z,AI$1)</f>
        <v>62932</v>
      </c>
      <c r="AJ67">
        <f>SUMIFS($Y:$Y,$W:$W,$AA67,$Z:$Z,AJ$1)</f>
        <v>24655</v>
      </c>
      <c r="AK67">
        <f>SUMIFS($Y:$Y,$W:$W,$AA67,$Z:$Z,AK$1)</f>
        <v>93379</v>
      </c>
      <c r="AL67">
        <f>SUMIFS($Y:$Y,$W:$W,$AA67,$Z:$Z,AL$1)</f>
        <v>50576</v>
      </c>
      <c r="AM67">
        <f>SUMIFS($Y:$Y,$W:$W,$AA67,$Z:$Z,AM$1)</f>
        <v>82617</v>
      </c>
      <c r="AN67">
        <f>SUMIFS($Y:$Y,$W:$W,$AA67,$Z:$Z,AN$1)</f>
        <v>0</v>
      </c>
      <c r="AO67">
        <f>SUM(AB67:AN67)</f>
        <v>314159</v>
      </c>
      <c r="AP67" s="8">
        <f t="shared" si="14"/>
        <v>0.33333333333333331</v>
      </c>
      <c r="AQ67" s="8">
        <f t="shared" si="15"/>
        <v>5.764749399402436E-3</v>
      </c>
      <c r="AR67" s="8">
        <f t="shared" ref="AR67:AR98" si="20">AR66+AQ67</f>
        <v>0.55898150485026976</v>
      </c>
      <c r="AS67" t="str">
        <f t="shared" si="16"/>
        <v>A</v>
      </c>
      <c r="AT67" s="8">
        <f t="shared" si="17"/>
        <v>1.409337367595338</v>
      </c>
      <c r="AU67" t="str">
        <f t="shared" si="18"/>
        <v>Z</v>
      </c>
      <c r="AZ67" t="s">
        <v>325</v>
      </c>
      <c r="BA67" t="s">
        <v>474</v>
      </c>
      <c r="BB67" t="s">
        <v>472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52312</v>
      </c>
      <c r="BJ67">
        <v>0</v>
      </c>
      <c r="BK67">
        <v>0</v>
      </c>
      <c r="BL67">
        <v>88880</v>
      </c>
      <c r="BM67">
        <v>0</v>
      </c>
      <c r="BN67">
        <v>16815</v>
      </c>
      <c r="BO67">
        <v>0</v>
      </c>
    </row>
    <row r="68" spans="1:67" x14ac:dyDescent="0.25">
      <c r="A68" t="s">
        <v>36</v>
      </c>
      <c r="B68" t="s">
        <v>84</v>
      </c>
      <c r="C68" t="s">
        <v>83</v>
      </c>
      <c r="D68" s="7">
        <v>31254</v>
      </c>
      <c r="E68">
        <v>2</v>
      </c>
      <c r="W68" t="s">
        <v>84</v>
      </c>
      <c r="X68" s="11" t="s">
        <v>83</v>
      </c>
      <c r="Y68" s="7">
        <v>31254</v>
      </c>
      <c r="Z68" s="11" t="str">
        <f t="shared" si="19"/>
        <v>2023-9</v>
      </c>
      <c r="AA68" t="s">
        <v>147</v>
      </c>
      <c r="AB68">
        <f>SUMIFS($Y:$Y,$W:$W,$AA68,$Z:$Z,AB$1)</f>
        <v>0</v>
      </c>
      <c r="AC68">
        <f>SUMIFS($Y:$Y,$W:$W,$AA68,$Z:$Z,AC$1)</f>
        <v>63853</v>
      </c>
      <c r="AD68">
        <f>SUMIFS($Y:$Y,$W:$W,$AA68,$Z:$Z,AD$1)</f>
        <v>58737</v>
      </c>
      <c r="AE68">
        <f>SUMIFS($Y:$Y,$W:$W,$AA68,$Z:$Z,AE$1)</f>
        <v>0</v>
      </c>
      <c r="AF68">
        <f>SUMIFS($Y:$Y,$W:$W,$AA68,$Z:$Z,AF$1)</f>
        <v>0</v>
      </c>
      <c r="AG68">
        <f>SUMIFS($Y:$Y,$W:$W,$AA68,$Z:$Z,AG$1)</f>
        <v>0</v>
      </c>
      <c r="AH68">
        <f>SUMIFS($Y:$Y,$W:$W,$AA68,$Z:$Z,AH$1)</f>
        <v>73749</v>
      </c>
      <c r="AI68">
        <f>SUMIFS($Y:$Y,$W:$W,$AA68,$Z:$Z,AI$1)</f>
        <v>0</v>
      </c>
      <c r="AJ68">
        <f>SUMIFS($Y:$Y,$W:$W,$AA68,$Z:$Z,AJ$1)</f>
        <v>22922</v>
      </c>
      <c r="AK68">
        <f>SUMIFS($Y:$Y,$W:$W,$AA68,$Z:$Z,AK$1)</f>
        <v>94737</v>
      </c>
      <c r="AL68">
        <f>SUMIFS($Y:$Y,$W:$W,$AA68,$Z:$Z,AL$1)</f>
        <v>0</v>
      </c>
      <c r="AM68">
        <f>SUMIFS($Y:$Y,$W:$W,$AA68,$Z:$Z,AM$1)</f>
        <v>0</v>
      </c>
      <c r="AN68">
        <f>SUMIFS($Y:$Y,$W:$W,$AA68,$Z:$Z,AN$1)</f>
        <v>0</v>
      </c>
      <c r="AO68">
        <f>SUM(AB68:AN68)</f>
        <v>313998</v>
      </c>
      <c r="AP68" s="8">
        <f t="shared" si="14"/>
        <v>0.3383838383838384</v>
      </c>
      <c r="AQ68" s="8">
        <f t="shared" si="15"/>
        <v>5.7617950843794575E-3</v>
      </c>
      <c r="AR68" s="8">
        <f t="shared" si="20"/>
        <v>0.56474329993464922</v>
      </c>
      <c r="AS68" t="str">
        <f t="shared" si="16"/>
        <v>A</v>
      </c>
      <c r="AT68" s="8">
        <f t="shared" si="17"/>
        <v>1.4008195197311919</v>
      </c>
      <c r="AU68" t="str">
        <f t="shared" si="18"/>
        <v>Z</v>
      </c>
      <c r="AZ68" t="s">
        <v>138</v>
      </c>
      <c r="BA68" t="s">
        <v>474</v>
      </c>
      <c r="BB68" t="s">
        <v>472</v>
      </c>
      <c r="BC68">
        <v>0</v>
      </c>
      <c r="BD68">
        <v>71980</v>
      </c>
      <c r="BE68">
        <v>0</v>
      </c>
      <c r="BF68">
        <v>0</v>
      </c>
      <c r="BG68">
        <v>98145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</row>
    <row r="69" spans="1:67" x14ac:dyDescent="0.25">
      <c r="A69" t="s">
        <v>12</v>
      </c>
      <c r="B69" t="s">
        <v>85</v>
      </c>
      <c r="C69" t="s">
        <v>86</v>
      </c>
      <c r="D69" s="7">
        <v>30900</v>
      </c>
      <c r="E69">
        <v>2</v>
      </c>
      <c r="W69" t="s">
        <v>85</v>
      </c>
      <c r="X69" s="11" t="s">
        <v>86</v>
      </c>
      <c r="Y69" s="7">
        <v>30900</v>
      </c>
      <c r="Z69" s="11" t="str">
        <f t="shared" si="19"/>
        <v>2023-9</v>
      </c>
      <c r="AA69" t="s">
        <v>110</v>
      </c>
      <c r="AB69">
        <f>SUMIFS($Y:$Y,$W:$W,$AA69,$Z:$Z,AB$1)</f>
        <v>0</v>
      </c>
      <c r="AC69">
        <f>SUMIFS($Y:$Y,$W:$W,$AA69,$Z:$Z,AC$1)</f>
        <v>67283</v>
      </c>
      <c r="AD69">
        <f>SUMIFS($Y:$Y,$W:$W,$AA69,$Z:$Z,AD$1)</f>
        <v>122733</v>
      </c>
      <c r="AE69">
        <f>SUMIFS($Y:$Y,$W:$W,$AA69,$Z:$Z,AE$1)</f>
        <v>50182</v>
      </c>
      <c r="AF69">
        <f>SUMIFS($Y:$Y,$W:$W,$AA69,$Z:$Z,AF$1)</f>
        <v>70083</v>
      </c>
      <c r="AG69">
        <f>SUMIFS($Y:$Y,$W:$W,$AA69,$Z:$Z,AG$1)</f>
        <v>0</v>
      </c>
      <c r="AH69">
        <f>SUMIFS($Y:$Y,$W:$W,$AA69,$Z:$Z,AH$1)</f>
        <v>0</v>
      </c>
      <c r="AI69">
        <f>SUMIFS($Y:$Y,$W:$W,$AA69,$Z:$Z,AI$1)</f>
        <v>0</v>
      </c>
      <c r="AJ69">
        <f>SUMIFS($Y:$Y,$W:$W,$AA69,$Z:$Z,AJ$1)</f>
        <v>0</v>
      </c>
      <c r="AK69">
        <f>SUMIFS($Y:$Y,$W:$W,$AA69,$Z:$Z,AK$1)</f>
        <v>0</v>
      </c>
      <c r="AL69">
        <f>SUMIFS($Y:$Y,$W:$W,$AA69,$Z:$Z,AL$1)</f>
        <v>0</v>
      </c>
      <c r="AM69">
        <f>SUMIFS($Y:$Y,$W:$W,$AA69,$Z:$Z,AM$1)</f>
        <v>0</v>
      </c>
      <c r="AN69">
        <f>SUMIFS($Y:$Y,$W:$W,$AA69,$Z:$Z,AN$1)</f>
        <v>0</v>
      </c>
      <c r="AO69">
        <f>SUM(AB69:AN69)</f>
        <v>310281</v>
      </c>
      <c r="AP69" s="8">
        <f t="shared" si="14"/>
        <v>0.34343434343434343</v>
      </c>
      <c r="AQ69" s="8">
        <f t="shared" si="15"/>
        <v>5.6935889418924402E-3</v>
      </c>
      <c r="AR69" s="8">
        <f t="shared" si="20"/>
        <v>0.57043688887654165</v>
      </c>
      <c r="AS69" t="str">
        <f t="shared" si="16"/>
        <v>A</v>
      </c>
      <c r="AT69" s="8">
        <f t="shared" si="17"/>
        <v>1.6274419787329346</v>
      </c>
      <c r="AU69" t="str">
        <f t="shared" si="18"/>
        <v>Z</v>
      </c>
      <c r="AZ69" t="s">
        <v>451</v>
      </c>
      <c r="BA69" t="s">
        <v>478</v>
      </c>
      <c r="BB69" t="s">
        <v>472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71474</v>
      </c>
      <c r="BO69">
        <v>0</v>
      </c>
    </row>
    <row r="70" spans="1:67" x14ac:dyDescent="0.25">
      <c r="A70" t="s">
        <v>10</v>
      </c>
      <c r="B70" t="s">
        <v>87</v>
      </c>
      <c r="C70" t="s">
        <v>86</v>
      </c>
      <c r="D70" s="7">
        <v>13036</v>
      </c>
      <c r="E70">
        <v>6</v>
      </c>
      <c r="W70" t="s">
        <v>87</v>
      </c>
      <c r="X70" s="11" t="s">
        <v>86</v>
      </c>
      <c r="Y70" s="7">
        <v>13036</v>
      </c>
      <c r="Z70" s="11" t="str">
        <f t="shared" si="19"/>
        <v>2023-9</v>
      </c>
      <c r="AA70" t="s">
        <v>51</v>
      </c>
      <c r="AB70">
        <f>SUMIFS($Y:$Y,$W:$W,$AA70,$Z:$Z,AB$1)</f>
        <v>38184</v>
      </c>
      <c r="AC70">
        <f>SUMIFS($Y:$Y,$W:$W,$AA70,$Z:$Z,AC$1)</f>
        <v>114747</v>
      </c>
      <c r="AD70">
        <f>SUMIFS($Y:$Y,$W:$W,$AA70,$Z:$Z,AD$1)</f>
        <v>80382</v>
      </c>
      <c r="AE70">
        <f>SUMIFS($Y:$Y,$W:$W,$AA70,$Z:$Z,AE$1)</f>
        <v>0</v>
      </c>
      <c r="AF70">
        <f>SUMIFS($Y:$Y,$W:$W,$AA70,$Z:$Z,AF$1)</f>
        <v>18242</v>
      </c>
      <c r="AG70">
        <f>SUMIFS($Y:$Y,$W:$W,$AA70,$Z:$Z,AG$1)</f>
        <v>0</v>
      </c>
      <c r="AH70">
        <f>SUMIFS($Y:$Y,$W:$W,$AA70,$Z:$Z,AH$1)</f>
        <v>0</v>
      </c>
      <c r="AI70">
        <f>SUMIFS($Y:$Y,$W:$W,$AA70,$Z:$Z,AI$1)</f>
        <v>0</v>
      </c>
      <c r="AJ70">
        <f>SUMIFS($Y:$Y,$W:$W,$AA70,$Z:$Z,AJ$1)</f>
        <v>0</v>
      </c>
      <c r="AK70">
        <f>SUMIFS($Y:$Y,$W:$W,$AA70,$Z:$Z,AK$1)</f>
        <v>0</v>
      </c>
      <c r="AL70">
        <f>SUMIFS($Y:$Y,$W:$W,$AA70,$Z:$Z,AL$1)</f>
        <v>0</v>
      </c>
      <c r="AM70">
        <f>SUMIFS($Y:$Y,$W:$W,$AA70,$Z:$Z,AM$1)</f>
        <v>58045</v>
      </c>
      <c r="AN70">
        <f>SUMIFS($Y:$Y,$W:$W,$AA70,$Z:$Z,AN$1)</f>
        <v>0</v>
      </c>
      <c r="AO70">
        <f>SUM(AB70:AN70)</f>
        <v>309600</v>
      </c>
      <c r="AP70" s="8">
        <f t="shared" si="14"/>
        <v>0.34848484848484851</v>
      </c>
      <c r="AQ70" s="8">
        <f t="shared" si="15"/>
        <v>5.6810927398387254E-3</v>
      </c>
      <c r="AR70" s="8">
        <f t="shared" si="20"/>
        <v>0.57611798161638039</v>
      </c>
      <c r="AS70" t="str">
        <f t="shared" si="16"/>
        <v>A</v>
      </c>
      <c r="AT70" s="8">
        <f t="shared" si="17"/>
        <v>1.5368493850441529</v>
      </c>
      <c r="AU70" t="str">
        <f t="shared" si="18"/>
        <v>Z</v>
      </c>
      <c r="AZ70" t="s">
        <v>203</v>
      </c>
      <c r="BA70" t="s">
        <v>478</v>
      </c>
      <c r="BB70" t="s">
        <v>472</v>
      </c>
      <c r="BC70">
        <v>0</v>
      </c>
      <c r="BD70">
        <v>0</v>
      </c>
      <c r="BE70">
        <v>32316</v>
      </c>
      <c r="BF70">
        <v>0</v>
      </c>
      <c r="BG70">
        <v>0</v>
      </c>
      <c r="BH70">
        <v>28193</v>
      </c>
      <c r="BI70">
        <v>0</v>
      </c>
      <c r="BJ70">
        <v>0</v>
      </c>
      <c r="BK70">
        <v>49499</v>
      </c>
      <c r="BL70">
        <v>0</v>
      </c>
      <c r="BM70">
        <v>0</v>
      </c>
      <c r="BN70">
        <v>0</v>
      </c>
      <c r="BO70">
        <v>0</v>
      </c>
    </row>
    <row r="71" spans="1:67" x14ac:dyDescent="0.25">
      <c r="A71" t="s">
        <v>14</v>
      </c>
      <c r="B71" t="s">
        <v>88</v>
      </c>
      <c r="C71" t="s">
        <v>86</v>
      </c>
      <c r="D71" s="7">
        <v>51776</v>
      </c>
      <c r="E71">
        <v>7</v>
      </c>
      <c r="W71" t="s">
        <v>88</v>
      </c>
      <c r="X71" s="11" t="s">
        <v>86</v>
      </c>
      <c r="Y71" s="7">
        <v>51776</v>
      </c>
      <c r="Z71" s="11" t="str">
        <f t="shared" si="19"/>
        <v>2023-9</v>
      </c>
      <c r="AA71" t="s">
        <v>215</v>
      </c>
      <c r="AB71">
        <f>SUMIFS($Y:$Y,$W:$W,$AA71,$Z:$Z,AB$1)</f>
        <v>0</v>
      </c>
      <c r="AC71">
        <f>SUMIFS($Y:$Y,$W:$W,$AA71,$Z:$Z,AC$1)</f>
        <v>0</v>
      </c>
      <c r="AD71">
        <f>SUMIFS($Y:$Y,$W:$W,$AA71,$Z:$Z,AD$1)</f>
        <v>0</v>
      </c>
      <c r="AE71">
        <f>SUMIFS($Y:$Y,$W:$W,$AA71,$Z:$Z,AE$1)</f>
        <v>38637</v>
      </c>
      <c r="AF71">
        <f>SUMIFS($Y:$Y,$W:$W,$AA71,$Z:$Z,AF$1)</f>
        <v>0</v>
      </c>
      <c r="AG71">
        <f>SUMIFS($Y:$Y,$W:$W,$AA71,$Z:$Z,AG$1)</f>
        <v>51068</v>
      </c>
      <c r="AH71">
        <f>SUMIFS($Y:$Y,$W:$W,$AA71,$Z:$Z,AH$1)</f>
        <v>0</v>
      </c>
      <c r="AI71">
        <f>SUMIFS($Y:$Y,$W:$W,$AA71,$Z:$Z,AI$1)</f>
        <v>91977</v>
      </c>
      <c r="AJ71">
        <f>SUMIFS($Y:$Y,$W:$W,$AA71,$Z:$Z,AJ$1)</f>
        <v>0</v>
      </c>
      <c r="AK71">
        <f>SUMIFS($Y:$Y,$W:$W,$AA71,$Z:$Z,AK$1)</f>
        <v>59903</v>
      </c>
      <c r="AL71">
        <f>SUMIFS($Y:$Y,$W:$W,$AA71,$Z:$Z,AL$1)</f>
        <v>67363</v>
      </c>
      <c r="AM71">
        <f>SUMIFS($Y:$Y,$W:$W,$AA71,$Z:$Z,AM$1)</f>
        <v>0</v>
      </c>
      <c r="AN71">
        <f>SUMIFS($Y:$Y,$W:$W,$AA71,$Z:$Z,AN$1)</f>
        <v>0</v>
      </c>
      <c r="AO71">
        <f>SUM(AB71:AN71)</f>
        <v>308948</v>
      </c>
      <c r="AP71" s="8">
        <f t="shared" si="14"/>
        <v>0.35353535353535354</v>
      </c>
      <c r="AQ71" s="8">
        <f t="shared" si="15"/>
        <v>5.6691286814848016E-3</v>
      </c>
      <c r="AR71" s="8">
        <f t="shared" si="20"/>
        <v>0.58178711029786523</v>
      </c>
      <c r="AS71" t="str">
        <f t="shared" si="16"/>
        <v>A</v>
      </c>
      <c r="AT71" s="8">
        <f t="shared" si="17"/>
        <v>1.3481450475404633</v>
      </c>
      <c r="AU71" t="str">
        <f t="shared" si="18"/>
        <v>Z</v>
      </c>
      <c r="AZ71" t="s">
        <v>254</v>
      </c>
      <c r="BA71" t="s">
        <v>474</v>
      </c>
      <c r="BB71" t="s">
        <v>472</v>
      </c>
      <c r="BC71">
        <v>0</v>
      </c>
      <c r="BD71">
        <v>0</v>
      </c>
      <c r="BE71">
        <v>0</v>
      </c>
      <c r="BF71">
        <v>0</v>
      </c>
      <c r="BG71">
        <v>70886</v>
      </c>
      <c r="BH71">
        <v>83514</v>
      </c>
      <c r="BI71">
        <v>51955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</row>
    <row r="72" spans="1:67" x14ac:dyDescent="0.25">
      <c r="A72" t="s">
        <v>14</v>
      </c>
      <c r="B72" t="s">
        <v>89</v>
      </c>
      <c r="C72" t="s">
        <v>86</v>
      </c>
      <c r="D72" s="7">
        <v>21510</v>
      </c>
      <c r="E72">
        <v>7</v>
      </c>
      <c r="W72" t="s">
        <v>89</v>
      </c>
      <c r="X72" s="11" t="s">
        <v>86</v>
      </c>
      <c r="Y72" s="7">
        <v>21510</v>
      </c>
      <c r="Z72" s="11" t="str">
        <f t="shared" si="19"/>
        <v>2023-9</v>
      </c>
      <c r="AA72" t="s">
        <v>129</v>
      </c>
      <c r="AB72">
        <f>SUMIFS($Y:$Y,$W:$W,$AA72,$Z:$Z,AB$1)</f>
        <v>0</v>
      </c>
      <c r="AC72">
        <f>SUMIFS($Y:$Y,$W:$W,$AA72,$Z:$Z,AC$1)</f>
        <v>34110</v>
      </c>
      <c r="AD72">
        <f>SUMIFS($Y:$Y,$W:$W,$AA72,$Z:$Z,AD$1)</f>
        <v>83330</v>
      </c>
      <c r="AE72">
        <f>SUMIFS($Y:$Y,$W:$W,$AA72,$Z:$Z,AE$1)</f>
        <v>98496</v>
      </c>
      <c r="AF72">
        <f>SUMIFS($Y:$Y,$W:$W,$AA72,$Z:$Z,AF$1)</f>
        <v>73813</v>
      </c>
      <c r="AG72">
        <f>SUMIFS($Y:$Y,$W:$W,$AA72,$Z:$Z,AG$1)</f>
        <v>0</v>
      </c>
      <c r="AH72">
        <f>SUMIFS($Y:$Y,$W:$W,$AA72,$Z:$Z,AH$1)</f>
        <v>0</v>
      </c>
      <c r="AI72">
        <f>SUMIFS($Y:$Y,$W:$W,$AA72,$Z:$Z,AI$1)</f>
        <v>0</v>
      </c>
      <c r="AJ72">
        <f>SUMIFS($Y:$Y,$W:$W,$AA72,$Z:$Z,AJ$1)</f>
        <v>0</v>
      </c>
      <c r="AK72">
        <f>SUMIFS($Y:$Y,$W:$W,$AA72,$Z:$Z,AK$1)</f>
        <v>0</v>
      </c>
      <c r="AL72">
        <f>SUMIFS($Y:$Y,$W:$W,$AA72,$Z:$Z,AL$1)</f>
        <v>0</v>
      </c>
      <c r="AM72">
        <f>SUMIFS($Y:$Y,$W:$W,$AA72,$Z:$Z,AM$1)</f>
        <v>18712</v>
      </c>
      <c r="AN72">
        <f>SUMIFS($Y:$Y,$W:$W,$AA72,$Z:$Z,AN$1)</f>
        <v>0</v>
      </c>
      <c r="AO72">
        <f>SUM(AB72:AN72)</f>
        <v>308461</v>
      </c>
      <c r="AP72" s="8">
        <f t="shared" si="14"/>
        <v>0.35858585858585856</v>
      </c>
      <c r="AQ72" s="8">
        <f t="shared" si="15"/>
        <v>5.6601923372848612E-3</v>
      </c>
      <c r="AR72" s="8">
        <f t="shared" si="20"/>
        <v>0.5874473026351501</v>
      </c>
      <c r="AS72" t="str">
        <f t="shared" si="16"/>
        <v>A</v>
      </c>
      <c r="AT72" s="8">
        <f t="shared" si="17"/>
        <v>1.4917931910698745</v>
      </c>
      <c r="AU72" t="str">
        <f t="shared" si="18"/>
        <v>Z</v>
      </c>
      <c r="AZ72" t="s">
        <v>62</v>
      </c>
      <c r="BA72" t="s">
        <v>474</v>
      </c>
      <c r="BB72" t="s">
        <v>472</v>
      </c>
      <c r="BC72">
        <v>94451</v>
      </c>
      <c r="BD72">
        <v>45478</v>
      </c>
      <c r="BE72">
        <v>0</v>
      </c>
      <c r="BF72">
        <v>0</v>
      </c>
      <c r="BG72">
        <v>58525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</row>
    <row r="73" spans="1:67" x14ac:dyDescent="0.25">
      <c r="A73" t="s">
        <v>5</v>
      </c>
      <c r="B73" t="s">
        <v>90</v>
      </c>
      <c r="C73" t="s">
        <v>86</v>
      </c>
      <c r="D73" s="7">
        <v>23967</v>
      </c>
      <c r="E73">
        <v>8</v>
      </c>
      <c r="W73" t="s">
        <v>90</v>
      </c>
      <c r="X73" s="11" t="s">
        <v>86</v>
      </c>
      <c r="Y73" s="7">
        <v>23967</v>
      </c>
      <c r="Z73" s="11" t="str">
        <f t="shared" si="19"/>
        <v>2023-9</v>
      </c>
      <c r="AA73" t="s">
        <v>67</v>
      </c>
      <c r="AB73">
        <f>SUMIFS($Y:$Y,$W:$W,$AA73,$Z:$Z,AB$1)</f>
        <v>51077</v>
      </c>
      <c r="AC73">
        <f>SUMIFS($Y:$Y,$W:$W,$AA73,$Z:$Z,AC$1)</f>
        <v>50047</v>
      </c>
      <c r="AD73">
        <f>SUMIFS($Y:$Y,$W:$W,$AA73,$Z:$Z,AD$1)</f>
        <v>0</v>
      </c>
      <c r="AE73">
        <f>SUMIFS($Y:$Y,$W:$W,$AA73,$Z:$Z,AE$1)</f>
        <v>0</v>
      </c>
      <c r="AF73">
        <f>SUMIFS($Y:$Y,$W:$W,$AA73,$Z:$Z,AF$1)</f>
        <v>0</v>
      </c>
      <c r="AG73">
        <f>SUMIFS($Y:$Y,$W:$W,$AA73,$Z:$Z,AG$1)</f>
        <v>40591</v>
      </c>
      <c r="AH73">
        <f>SUMIFS($Y:$Y,$W:$W,$AA73,$Z:$Z,AH$1)</f>
        <v>83404</v>
      </c>
      <c r="AI73">
        <f>SUMIFS($Y:$Y,$W:$W,$AA73,$Z:$Z,AI$1)</f>
        <v>0</v>
      </c>
      <c r="AJ73">
        <f>SUMIFS($Y:$Y,$W:$W,$AA73,$Z:$Z,AJ$1)</f>
        <v>13635</v>
      </c>
      <c r="AK73">
        <f>SUMIFS($Y:$Y,$W:$W,$AA73,$Z:$Z,AK$1)</f>
        <v>0</v>
      </c>
      <c r="AL73">
        <f>SUMIFS($Y:$Y,$W:$W,$AA73,$Z:$Z,AL$1)</f>
        <v>0</v>
      </c>
      <c r="AM73">
        <f>SUMIFS($Y:$Y,$W:$W,$AA73,$Z:$Z,AM$1)</f>
        <v>62653</v>
      </c>
      <c r="AN73">
        <f>SUMIFS($Y:$Y,$W:$W,$AA73,$Z:$Z,AN$1)</f>
        <v>0</v>
      </c>
      <c r="AO73">
        <f>SUM(AB73:AN73)</f>
        <v>301407</v>
      </c>
      <c r="AP73" s="8">
        <f t="shared" si="14"/>
        <v>0.36363636363636365</v>
      </c>
      <c r="AQ73" s="8">
        <f t="shared" si="15"/>
        <v>5.5307529697563654E-3</v>
      </c>
      <c r="AR73" s="8">
        <f t="shared" si="20"/>
        <v>0.59297805560490646</v>
      </c>
      <c r="AS73" t="str">
        <f t="shared" si="16"/>
        <v>A</v>
      </c>
      <c r="AT73" s="8">
        <f t="shared" si="17"/>
        <v>1.2455014937489366</v>
      </c>
      <c r="AU73" t="str">
        <f t="shared" si="18"/>
        <v>Z</v>
      </c>
      <c r="AZ73" t="s">
        <v>193</v>
      </c>
      <c r="BA73" t="s">
        <v>478</v>
      </c>
      <c r="BB73" t="s">
        <v>472</v>
      </c>
      <c r="BC73">
        <v>0</v>
      </c>
      <c r="BD73">
        <v>0</v>
      </c>
      <c r="BE73">
        <v>10026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</row>
    <row r="74" spans="1:67" x14ac:dyDescent="0.25">
      <c r="A74" t="s">
        <v>32</v>
      </c>
      <c r="B74" t="s">
        <v>15</v>
      </c>
      <c r="C74" t="s">
        <v>86</v>
      </c>
      <c r="D74" s="7">
        <v>54463</v>
      </c>
      <c r="E74">
        <v>7</v>
      </c>
      <c r="W74" t="s">
        <v>15</v>
      </c>
      <c r="X74" s="11" t="s">
        <v>86</v>
      </c>
      <c r="Y74" s="7">
        <v>54463</v>
      </c>
      <c r="Z74" s="11" t="str">
        <f t="shared" si="19"/>
        <v>2023-9</v>
      </c>
      <c r="AA74" t="s">
        <v>58</v>
      </c>
      <c r="AB74">
        <f>SUMIFS($Y:$Y,$W:$W,$AA74,$Z:$Z,AB$1)</f>
        <v>71216</v>
      </c>
      <c r="AC74">
        <f>SUMIFS($Y:$Y,$W:$W,$AA74,$Z:$Z,AC$1)</f>
        <v>0</v>
      </c>
      <c r="AD74">
        <f>SUMIFS($Y:$Y,$W:$W,$AA74,$Z:$Z,AD$1)</f>
        <v>0</v>
      </c>
      <c r="AE74">
        <f>SUMIFS($Y:$Y,$W:$W,$AA74,$Z:$Z,AE$1)</f>
        <v>0</v>
      </c>
      <c r="AF74">
        <f>SUMIFS($Y:$Y,$W:$W,$AA74,$Z:$Z,AF$1)</f>
        <v>85152</v>
      </c>
      <c r="AG74">
        <f>SUMIFS($Y:$Y,$W:$W,$AA74,$Z:$Z,AG$1)</f>
        <v>0</v>
      </c>
      <c r="AH74">
        <f>SUMIFS($Y:$Y,$W:$W,$AA74,$Z:$Z,AH$1)</f>
        <v>0</v>
      </c>
      <c r="AI74">
        <f>SUMIFS($Y:$Y,$W:$W,$AA74,$Z:$Z,AI$1)</f>
        <v>81789</v>
      </c>
      <c r="AJ74">
        <f>SUMIFS($Y:$Y,$W:$W,$AA74,$Z:$Z,AJ$1)</f>
        <v>0</v>
      </c>
      <c r="AK74">
        <f>SUMIFS($Y:$Y,$W:$W,$AA74,$Z:$Z,AK$1)</f>
        <v>62582</v>
      </c>
      <c r="AL74">
        <f>SUMIFS($Y:$Y,$W:$W,$AA74,$Z:$Z,AL$1)</f>
        <v>0</v>
      </c>
      <c r="AM74">
        <f>SUMIFS($Y:$Y,$W:$W,$AA74,$Z:$Z,AM$1)</f>
        <v>0</v>
      </c>
      <c r="AN74">
        <f>SUMIFS($Y:$Y,$W:$W,$AA74,$Z:$Z,AN$1)</f>
        <v>0</v>
      </c>
      <c r="AO74">
        <f>SUM(AB74:AN74)</f>
        <v>300739</v>
      </c>
      <c r="AP74" s="8">
        <f t="shared" si="14"/>
        <v>0.36868686868686867</v>
      </c>
      <c r="AQ74" s="8">
        <f t="shared" si="15"/>
        <v>5.5184953148784185E-3</v>
      </c>
      <c r="AR74" s="8">
        <f t="shared" si="20"/>
        <v>0.59849655091978493</v>
      </c>
      <c r="AS74" t="str">
        <f t="shared" si="16"/>
        <v>A</v>
      </c>
      <c r="AT74" s="8">
        <f t="shared" si="17"/>
        <v>1.5151376524771509</v>
      </c>
      <c r="AU74" t="str">
        <f t="shared" si="18"/>
        <v>Z</v>
      </c>
      <c r="AZ74" t="s">
        <v>303</v>
      </c>
      <c r="BA74" t="s">
        <v>478</v>
      </c>
      <c r="BB74" t="s">
        <v>472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81393</v>
      </c>
      <c r="BI74">
        <v>29176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</row>
    <row r="75" spans="1:67" x14ac:dyDescent="0.25">
      <c r="A75" t="s">
        <v>10</v>
      </c>
      <c r="B75" t="s">
        <v>91</v>
      </c>
      <c r="C75" t="s">
        <v>86</v>
      </c>
      <c r="D75" s="7">
        <v>16470</v>
      </c>
      <c r="E75">
        <v>1</v>
      </c>
      <c r="W75" t="s">
        <v>91</v>
      </c>
      <c r="X75" s="11" t="s">
        <v>86</v>
      </c>
      <c r="Y75" s="7">
        <v>16470</v>
      </c>
      <c r="Z75" s="11" t="str">
        <f t="shared" si="19"/>
        <v>2023-9</v>
      </c>
      <c r="AA75" t="s">
        <v>81</v>
      </c>
      <c r="AB75">
        <f>SUMIFS($Y:$Y,$W:$W,$AA75,$Z:$Z,AB$1)</f>
        <v>13954</v>
      </c>
      <c r="AC75">
        <f>SUMIFS($Y:$Y,$W:$W,$AA75,$Z:$Z,AC$1)</f>
        <v>0</v>
      </c>
      <c r="AD75">
        <f>SUMIFS($Y:$Y,$W:$W,$AA75,$Z:$Z,AD$1)</f>
        <v>0</v>
      </c>
      <c r="AE75">
        <f>SUMIFS($Y:$Y,$W:$W,$AA75,$Z:$Z,AE$1)</f>
        <v>0</v>
      </c>
      <c r="AF75">
        <f>SUMIFS($Y:$Y,$W:$W,$AA75,$Z:$Z,AF$1)</f>
        <v>0</v>
      </c>
      <c r="AG75">
        <f>SUMIFS($Y:$Y,$W:$W,$AA75,$Z:$Z,AG$1)</f>
        <v>0</v>
      </c>
      <c r="AH75">
        <f>SUMIFS($Y:$Y,$W:$W,$AA75,$Z:$Z,AH$1)</f>
        <v>61104</v>
      </c>
      <c r="AI75">
        <f>SUMIFS($Y:$Y,$W:$W,$AA75,$Z:$Z,AI$1)</f>
        <v>78380</v>
      </c>
      <c r="AJ75">
        <f>SUMIFS($Y:$Y,$W:$W,$AA75,$Z:$Z,AJ$1)</f>
        <v>10572</v>
      </c>
      <c r="AK75">
        <f>SUMIFS($Y:$Y,$W:$W,$AA75,$Z:$Z,AK$1)</f>
        <v>39671</v>
      </c>
      <c r="AL75">
        <f>SUMIFS($Y:$Y,$W:$W,$AA75,$Z:$Z,AL$1)</f>
        <v>34193</v>
      </c>
      <c r="AM75">
        <f>SUMIFS($Y:$Y,$W:$W,$AA75,$Z:$Z,AM$1)</f>
        <v>61279</v>
      </c>
      <c r="AN75">
        <f>SUMIFS($Y:$Y,$W:$W,$AA75,$Z:$Z,AN$1)</f>
        <v>0</v>
      </c>
      <c r="AO75">
        <f>SUM(AB75:AN75)</f>
        <v>299153</v>
      </c>
      <c r="AP75" s="8">
        <f t="shared" si="14"/>
        <v>0.37373737373737376</v>
      </c>
      <c r="AQ75" s="8">
        <f t="shared" si="15"/>
        <v>5.4893925594346714E-3</v>
      </c>
      <c r="AR75" s="8">
        <f t="shared" si="20"/>
        <v>0.60398594347921963</v>
      </c>
      <c r="AS75" t="str">
        <f t="shared" si="16"/>
        <v>A</v>
      </c>
      <c r="AT75" s="8">
        <f t="shared" si="17"/>
        <v>1.1929955729247688</v>
      </c>
      <c r="AU75" t="str">
        <f t="shared" si="18"/>
        <v>Z</v>
      </c>
      <c r="AZ75" t="s">
        <v>151</v>
      </c>
      <c r="BA75" t="s">
        <v>478</v>
      </c>
      <c r="BB75" t="s">
        <v>472</v>
      </c>
      <c r="BC75">
        <v>0</v>
      </c>
      <c r="BD75">
        <v>26006</v>
      </c>
      <c r="BE75">
        <v>0</v>
      </c>
      <c r="BF75">
        <v>0</v>
      </c>
      <c r="BG75">
        <v>51341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</row>
    <row r="76" spans="1:67" x14ac:dyDescent="0.25">
      <c r="A76" t="s">
        <v>33</v>
      </c>
      <c r="B76" t="s">
        <v>92</v>
      </c>
      <c r="C76" t="s">
        <v>86</v>
      </c>
      <c r="D76" s="7">
        <v>63968</v>
      </c>
      <c r="E76">
        <v>7</v>
      </c>
      <c r="W76" t="s">
        <v>92</v>
      </c>
      <c r="X76" s="11" t="s">
        <v>86</v>
      </c>
      <c r="Y76" s="7">
        <v>63968</v>
      </c>
      <c r="Z76" s="11" t="str">
        <f t="shared" si="19"/>
        <v>2023-9</v>
      </c>
      <c r="AA76" t="s">
        <v>121</v>
      </c>
      <c r="AB76">
        <f>SUMIFS($Y:$Y,$W:$W,$AA76,$Z:$Z,AB$1)</f>
        <v>0</v>
      </c>
      <c r="AC76">
        <f>SUMIFS($Y:$Y,$W:$W,$AA76,$Z:$Z,AC$1)</f>
        <v>16119</v>
      </c>
      <c r="AD76">
        <f>SUMIFS($Y:$Y,$W:$W,$AA76,$Z:$Z,AD$1)</f>
        <v>0</v>
      </c>
      <c r="AE76">
        <f>SUMIFS($Y:$Y,$W:$W,$AA76,$Z:$Z,AE$1)</f>
        <v>0</v>
      </c>
      <c r="AF76">
        <f>SUMIFS($Y:$Y,$W:$W,$AA76,$Z:$Z,AF$1)</f>
        <v>120152</v>
      </c>
      <c r="AG76">
        <f>SUMIFS($Y:$Y,$W:$W,$AA76,$Z:$Z,AG$1)</f>
        <v>0</v>
      </c>
      <c r="AH76">
        <f>SUMIFS($Y:$Y,$W:$W,$AA76,$Z:$Z,AH$1)</f>
        <v>0</v>
      </c>
      <c r="AI76">
        <f>SUMIFS($Y:$Y,$W:$W,$AA76,$Z:$Z,AI$1)</f>
        <v>0</v>
      </c>
      <c r="AJ76">
        <f>SUMIFS($Y:$Y,$W:$W,$AA76,$Z:$Z,AJ$1)</f>
        <v>162592</v>
      </c>
      <c r="AK76">
        <f>SUMIFS($Y:$Y,$W:$W,$AA76,$Z:$Z,AK$1)</f>
        <v>0</v>
      </c>
      <c r="AL76">
        <f>SUMIFS($Y:$Y,$W:$W,$AA76,$Z:$Z,AL$1)</f>
        <v>0</v>
      </c>
      <c r="AM76">
        <f>SUMIFS($Y:$Y,$W:$W,$AA76,$Z:$Z,AM$1)</f>
        <v>0</v>
      </c>
      <c r="AN76">
        <f>SUMIFS($Y:$Y,$W:$W,$AA76,$Z:$Z,AN$1)</f>
        <v>0</v>
      </c>
      <c r="AO76">
        <f>SUM(AB76:AN76)</f>
        <v>298863</v>
      </c>
      <c r="AP76" s="8">
        <f t="shared" si="14"/>
        <v>0.37878787878787878</v>
      </c>
      <c r="AQ76" s="8">
        <f t="shared" si="15"/>
        <v>5.4840711224367605E-3</v>
      </c>
      <c r="AR76" s="8">
        <f t="shared" si="20"/>
        <v>0.6094700146016564</v>
      </c>
      <c r="AS76" t="str">
        <f t="shared" si="16"/>
        <v>A</v>
      </c>
      <c r="AT76" s="8">
        <f t="shared" si="17"/>
        <v>2.2330811868409821</v>
      </c>
      <c r="AU76" t="str">
        <f t="shared" si="18"/>
        <v>Z</v>
      </c>
      <c r="AZ76" t="s">
        <v>163</v>
      </c>
      <c r="BA76" t="s">
        <v>478</v>
      </c>
      <c r="BB76" t="s">
        <v>472</v>
      </c>
      <c r="BC76">
        <v>0</v>
      </c>
      <c r="BD76">
        <v>0</v>
      </c>
      <c r="BE76">
        <v>82423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</row>
    <row r="77" spans="1:67" x14ac:dyDescent="0.25">
      <c r="A77" t="s">
        <v>10</v>
      </c>
      <c r="B77" t="s">
        <v>93</v>
      </c>
      <c r="C77" t="s">
        <v>86</v>
      </c>
      <c r="D77" s="7">
        <v>85174</v>
      </c>
      <c r="E77">
        <v>7</v>
      </c>
      <c r="W77" t="s">
        <v>93</v>
      </c>
      <c r="X77" s="11" t="s">
        <v>86</v>
      </c>
      <c r="Y77" s="7">
        <v>85174</v>
      </c>
      <c r="Z77" s="11" t="str">
        <f t="shared" si="19"/>
        <v>2023-9</v>
      </c>
      <c r="AA77" t="s">
        <v>222</v>
      </c>
      <c r="AB77">
        <f>SUMIFS($Y:$Y,$W:$W,$AA77,$Z:$Z,AB$1)</f>
        <v>0</v>
      </c>
      <c r="AC77">
        <f>SUMIFS($Y:$Y,$W:$W,$AA77,$Z:$Z,AC$1)</f>
        <v>0</v>
      </c>
      <c r="AD77">
        <f>SUMIFS($Y:$Y,$W:$W,$AA77,$Z:$Z,AD$1)</f>
        <v>0</v>
      </c>
      <c r="AE77">
        <f>SUMIFS($Y:$Y,$W:$W,$AA77,$Z:$Z,AE$1)</f>
        <v>23480</v>
      </c>
      <c r="AF77">
        <f>SUMIFS($Y:$Y,$W:$W,$AA77,$Z:$Z,AF$1)</f>
        <v>86170</v>
      </c>
      <c r="AG77">
        <f>SUMIFS($Y:$Y,$W:$W,$AA77,$Z:$Z,AG$1)</f>
        <v>0</v>
      </c>
      <c r="AH77">
        <f>SUMIFS($Y:$Y,$W:$W,$AA77,$Z:$Z,AH$1)</f>
        <v>123313</v>
      </c>
      <c r="AI77">
        <f>SUMIFS($Y:$Y,$W:$W,$AA77,$Z:$Z,AI$1)</f>
        <v>0</v>
      </c>
      <c r="AJ77">
        <f>SUMIFS($Y:$Y,$W:$W,$AA77,$Z:$Z,AJ$1)</f>
        <v>0</v>
      </c>
      <c r="AK77">
        <f>SUMIFS($Y:$Y,$W:$W,$AA77,$Z:$Z,AK$1)</f>
        <v>0</v>
      </c>
      <c r="AL77">
        <f>SUMIFS($Y:$Y,$W:$W,$AA77,$Z:$Z,AL$1)</f>
        <v>64410</v>
      </c>
      <c r="AM77">
        <f>SUMIFS($Y:$Y,$W:$W,$AA77,$Z:$Z,AM$1)</f>
        <v>0</v>
      </c>
      <c r="AN77">
        <f>SUMIFS($Y:$Y,$W:$W,$AA77,$Z:$Z,AN$1)</f>
        <v>0</v>
      </c>
      <c r="AO77">
        <f>SUM(AB77:AN77)</f>
        <v>297373</v>
      </c>
      <c r="AP77" s="8">
        <f t="shared" si="14"/>
        <v>0.38383838383838381</v>
      </c>
      <c r="AQ77" s="8">
        <f t="shared" si="15"/>
        <v>5.4567299461371491E-3</v>
      </c>
      <c r="AR77" s="8">
        <f t="shared" si="20"/>
        <v>0.6149267445477935</v>
      </c>
      <c r="AS77" t="str">
        <f t="shared" si="16"/>
        <v>A</v>
      </c>
      <c r="AT77" s="8">
        <f t="shared" si="17"/>
        <v>1.7372152561808745</v>
      </c>
      <c r="AU77" t="str">
        <f t="shared" si="18"/>
        <v>Z</v>
      </c>
      <c r="AZ77" t="s">
        <v>196</v>
      </c>
      <c r="BA77" t="s">
        <v>471</v>
      </c>
      <c r="BB77" t="s">
        <v>472</v>
      </c>
      <c r="BC77">
        <v>0</v>
      </c>
      <c r="BD77">
        <v>0</v>
      </c>
      <c r="BE77">
        <v>97118</v>
      </c>
      <c r="BF77">
        <v>32347</v>
      </c>
      <c r="BG77">
        <v>0</v>
      </c>
      <c r="BH77">
        <v>0</v>
      </c>
      <c r="BI77">
        <v>97998</v>
      </c>
      <c r="BJ77">
        <v>13809</v>
      </c>
      <c r="BK77">
        <v>58279</v>
      </c>
      <c r="BL77">
        <v>98953</v>
      </c>
      <c r="BM77">
        <v>91886</v>
      </c>
      <c r="BN77">
        <v>99913</v>
      </c>
      <c r="BO77">
        <v>0</v>
      </c>
    </row>
    <row r="78" spans="1:67" x14ac:dyDescent="0.25">
      <c r="A78" t="s">
        <v>32</v>
      </c>
      <c r="B78" t="s">
        <v>76</v>
      </c>
      <c r="C78" t="s">
        <v>94</v>
      </c>
      <c r="D78" s="7">
        <v>97273</v>
      </c>
      <c r="E78">
        <v>8</v>
      </c>
      <c r="W78" t="s">
        <v>76</v>
      </c>
      <c r="X78" s="11" t="s">
        <v>94</v>
      </c>
      <c r="Y78" s="7">
        <v>97273</v>
      </c>
      <c r="Z78" s="11" t="str">
        <f t="shared" si="19"/>
        <v>2023-9</v>
      </c>
      <c r="AA78" t="s">
        <v>50</v>
      </c>
      <c r="AB78">
        <f>SUMIFS($Y:$Y,$W:$W,$AA78,$Z:$Z,AB$1)</f>
        <v>149406</v>
      </c>
      <c r="AC78">
        <f>SUMIFS($Y:$Y,$W:$W,$AA78,$Z:$Z,AC$1)</f>
        <v>53224</v>
      </c>
      <c r="AD78">
        <f>SUMIFS($Y:$Y,$W:$W,$AA78,$Z:$Z,AD$1)</f>
        <v>0</v>
      </c>
      <c r="AE78">
        <f>SUMIFS($Y:$Y,$W:$W,$AA78,$Z:$Z,AE$1)</f>
        <v>0</v>
      </c>
      <c r="AF78">
        <f>SUMIFS($Y:$Y,$W:$W,$AA78,$Z:$Z,AF$1)</f>
        <v>0</v>
      </c>
      <c r="AG78">
        <f>SUMIFS($Y:$Y,$W:$W,$AA78,$Z:$Z,AG$1)</f>
        <v>0</v>
      </c>
      <c r="AH78">
        <f>SUMIFS($Y:$Y,$W:$W,$AA78,$Z:$Z,AH$1)</f>
        <v>46118</v>
      </c>
      <c r="AI78">
        <f>SUMIFS($Y:$Y,$W:$W,$AA78,$Z:$Z,AI$1)</f>
        <v>0</v>
      </c>
      <c r="AJ78">
        <f>SUMIFS($Y:$Y,$W:$W,$AA78,$Z:$Z,AJ$1)</f>
        <v>46438</v>
      </c>
      <c r="AK78">
        <f>SUMIFS($Y:$Y,$W:$W,$AA78,$Z:$Z,AK$1)</f>
        <v>0</v>
      </c>
      <c r="AL78">
        <f>SUMIFS($Y:$Y,$W:$W,$AA78,$Z:$Z,AL$1)</f>
        <v>0</v>
      </c>
      <c r="AM78">
        <f>SUMIFS($Y:$Y,$W:$W,$AA78,$Z:$Z,AM$1)</f>
        <v>0</v>
      </c>
      <c r="AN78">
        <f>SUMIFS($Y:$Y,$W:$W,$AA78,$Z:$Z,AN$1)</f>
        <v>0</v>
      </c>
      <c r="AO78">
        <f>SUM(AB78:AN78)</f>
        <v>295186</v>
      </c>
      <c r="AP78" s="8">
        <f t="shared" si="14"/>
        <v>0.3888888888888889</v>
      </c>
      <c r="AQ78" s="8">
        <f t="shared" si="15"/>
        <v>5.4165989712597999E-3</v>
      </c>
      <c r="AR78" s="8">
        <f t="shared" si="20"/>
        <v>0.62034334351905329</v>
      </c>
      <c r="AS78" t="str">
        <f t="shared" si="16"/>
        <v>A</v>
      </c>
      <c r="AT78" s="8">
        <f t="shared" si="17"/>
        <v>1.8417446406894442</v>
      </c>
      <c r="AU78" t="str">
        <f t="shared" si="18"/>
        <v>Z</v>
      </c>
      <c r="AZ78" t="s">
        <v>41</v>
      </c>
      <c r="BA78" t="s">
        <v>471</v>
      </c>
      <c r="BB78" t="s">
        <v>472</v>
      </c>
      <c r="BC78">
        <v>101395</v>
      </c>
      <c r="BD78">
        <v>43215</v>
      </c>
      <c r="BE78">
        <v>0</v>
      </c>
      <c r="BF78">
        <v>0</v>
      </c>
      <c r="BG78">
        <v>160275</v>
      </c>
      <c r="BH78">
        <v>149240</v>
      </c>
      <c r="BI78">
        <v>0</v>
      </c>
      <c r="BJ78">
        <v>0</v>
      </c>
      <c r="BK78">
        <v>0</v>
      </c>
      <c r="BL78">
        <v>87543</v>
      </c>
      <c r="BM78">
        <v>90959</v>
      </c>
      <c r="BN78">
        <v>31146</v>
      </c>
      <c r="BO78">
        <v>0</v>
      </c>
    </row>
    <row r="79" spans="1:67" x14ac:dyDescent="0.25">
      <c r="A79" t="s">
        <v>5</v>
      </c>
      <c r="B79" t="s">
        <v>95</v>
      </c>
      <c r="C79" t="s">
        <v>94</v>
      </c>
      <c r="D79" s="7">
        <v>40487</v>
      </c>
      <c r="E79">
        <v>5</v>
      </c>
      <c r="W79" t="s">
        <v>95</v>
      </c>
      <c r="X79" s="11" t="s">
        <v>94</v>
      </c>
      <c r="Y79" s="7">
        <v>40487</v>
      </c>
      <c r="Z79" s="11" t="str">
        <f t="shared" si="19"/>
        <v>2023-9</v>
      </c>
      <c r="AA79" t="s">
        <v>127</v>
      </c>
      <c r="AB79">
        <f>SUMIFS($Y:$Y,$W:$W,$AA79,$Z:$Z,AB$1)</f>
        <v>0</v>
      </c>
      <c r="AC79">
        <f>SUMIFS($Y:$Y,$W:$W,$AA79,$Z:$Z,AC$1)</f>
        <v>29487</v>
      </c>
      <c r="AD79">
        <f>SUMIFS($Y:$Y,$W:$W,$AA79,$Z:$Z,AD$1)</f>
        <v>0</v>
      </c>
      <c r="AE79">
        <f>SUMIFS($Y:$Y,$W:$W,$AA79,$Z:$Z,AE$1)</f>
        <v>73882</v>
      </c>
      <c r="AF79">
        <f>SUMIFS($Y:$Y,$W:$W,$AA79,$Z:$Z,AF$1)</f>
        <v>0</v>
      </c>
      <c r="AG79">
        <f>SUMIFS($Y:$Y,$W:$W,$AA79,$Z:$Z,AG$1)</f>
        <v>0</v>
      </c>
      <c r="AH79">
        <f>SUMIFS($Y:$Y,$W:$W,$AA79,$Z:$Z,AH$1)</f>
        <v>0</v>
      </c>
      <c r="AI79">
        <f>SUMIFS($Y:$Y,$W:$W,$AA79,$Z:$Z,AI$1)</f>
        <v>52188</v>
      </c>
      <c r="AJ79">
        <f>SUMIFS($Y:$Y,$W:$W,$AA79,$Z:$Z,AJ$1)</f>
        <v>0</v>
      </c>
      <c r="AK79">
        <f>SUMIFS($Y:$Y,$W:$W,$AA79,$Z:$Z,AK$1)</f>
        <v>0</v>
      </c>
      <c r="AL79">
        <f>SUMIFS($Y:$Y,$W:$W,$AA79,$Z:$Z,AL$1)</f>
        <v>43197</v>
      </c>
      <c r="AM79">
        <f>SUMIFS($Y:$Y,$W:$W,$AA79,$Z:$Z,AM$1)</f>
        <v>93523</v>
      </c>
      <c r="AN79">
        <f>SUMIFS($Y:$Y,$W:$W,$AA79,$Z:$Z,AN$1)</f>
        <v>0</v>
      </c>
      <c r="AO79">
        <f>SUM(AB79:AN79)</f>
        <v>292277</v>
      </c>
      <c r="AP79" s="8">
        <f t="shared" si="14"/>
        <v>0.39393939393939392</v>
      </c>
      <c r="AQ79" s="8">
        <f t="shared" si="15"/>
        <v>5.3632194532359269E-3</v>
      </c>
      <c r="AR79" s="8">
        <f t="shared" si="20"/>
        <v>0.62570656297228922</v>
      </c>
      <c r="AS79" t="str">
        <f t="shared" si="16"/>
        <v>A</v>
      </c>
      <c r="AT79" s="8">
        <f t="shared" si="17"/>
        <v>1.411547586045115</v>
      </c>
      <c r="AU79" t="str">
        <f t="shared" si="18"/>
        <v>Z</v>
      </c>
      <c r="AZ79" t="s">
        <v>263</v>
      </c>
      <c r="BA79" t="s">
        <v>471</v>
      </c>
      <c r="BB79" t="s">
        <v>472</v>
      </c>
      <c r="BC79">
        <v>0</v>
      </c>
      <c r="BD79">
        <v>0</v>
      </c>
      <c r="BE79">
        <v>0</v>
      </c>
      <c r="BF79">
        <v>0</v>
      </c>
      <c r="BG79">
        <v>94376</v>
      </c>
      <c r="BH79">
        <v>83003</v>
      </c>
      <c r="BI79">
        <v>45223</v>
      </c>
      <c r="BJ79">
        <v>0</v>
      </c>
      <c r="BK79">
        <v>117499</v>
      </c>
      <c r="BL79">
        <v>0</v>
      </c>
      <c r="BM79">
        <v>0</v>
      </c>
      <c r="BN79">
        <v>0</v>
      </c>
      <c r="BO79">
        <v>0</v>
      </c>
    </row>
    <row r="80" spans="1:67" x14ac:dyDescent="0.25">
      <c r="A80" t="s">
        <v>14</v>
      </c>
      <c r="B80" t="s">
        <v>60</v>
      </c>
      <c r="C80" t="s">
        <v>94</v>
      </c>
      <c r="D80" s="7">
        <v>19214</v>
      </c>
      <c r="E80">
        <v>6</v>
      </c>
      <c r="W80" t="s">
        <v>60</v>
      </c>
      <c r="X80" s="11" t="s">
        <v>94</v>
      </c>
      <c r="Y80" s="7">
        <v>19214</v>
      </c>
      <c r="Z80" s="11" t="str">
        <f t="shared" si="19"/>
        <v>2023-9</v>
      </c>
      <c r="AA80" t="s">
        <v>119</v>
      </c>
      <c r="AB80">
        <f>SUMIFS($Y:$Y,$W:$W,$AA80,$Z:$Z,AB$1)</f>
        <v>0</v>
      </c>
      <c r="AC80">
        <f>SUMIFS($Y:$Y,$W:$W,$AA80,$Z:$Z,AC$1)</f>
        <v>76055</v>
      </c>
      <c r="AD80">
        <f>SUMIFS($Y:$Y,$W:$W,$AA80,$Z:$Z,AD$1)</f>
        <v>0</v>
      </c>
      <c r="AE80">
        <f>SUMIFS($Y:$Y,$W:$W,$AA80,$Z:$Z,AE$1)</f>
        <v>76503</v>
      </c>
      <c r="AF80">
        <f>SUMIFS($Y:$Y,$W:$W,$AA80,$Z:$Z,AF$1)</f>
        <v>0</v>
      </c>
      <c r="AG80">
        <f>SUMIFS($Y:$Y,$W:$W,$AA80,$Z:$Z,AG$1)</f>
        <v>0</v>
      </c>
      <c r="AH80">
        <f>SUMIFS($Y:$Y,$W:$W,$AA80,$Z:$Z,AH$1)</f>
        <v>55981</v>
      </c>
      <c r="AI80">
        <f>SUMIFS($Y:$Y,$W:$W,$AA80,$Z:$Z,AI$1)</f>
        <v>55740</v>
      </c>
      <c r="AJ80">
        <f>SUMIFS($Y:$Y,$W:$W,$AA80,$Z:$Z,AJ$1)</f>
        <v>0</v>
      </c>
      <c r="AK80">
        <f>SUMIFS($Y:$Y,$W:$W,$AA80,$Z:$Z,AK$1)</f>
        <v>0</v>
      </c>
      <c r="AL80">
        <f>SUMIFS($Y:$Y,$W:$W,$AA80,$Z:$Z,AL$1)</f>
        <v>26803</v>
      </c>
      <c r="AM80">
        <f>SUMIFS($Y:$Y,$W:$W,$AA80,$Z:$Z,AM$1)</f>
        <v>0</v>
      </c>
      <c r="AN80">
        <f>SUMIFS($Y:$Y,$W:$W,$AA80,$Z:$Z,AN$1)</f>
        <v>0</v>
      </c>
      <c r="AO80">
        <f>SUM(AB80:AN80)</f>
        <v>291082</v>
      </c>
      <c r="AP80" s="8">
        <f t="shared" si="14"/>
        <v>0.39898989898989901</v>
      </c>
      <c r="AQ80" s="8">
        <f t="shared" si="15"/>
        <v>5.3412914628479836E-3</v>
      </c>
      <c r="AR80" s="8">
        <f t="shared" si="20"/>
        <v>0.63104785443513722</v>
      </c>
      <c r="AS80" t="str">
        <f t="shared" si="16"/>
        <v>A</v>
      </c>
      <c r="AT80" s="8">
        <f t="shared" si="17"/>
        <v>1.3613393236103513</v>
      </c>
      <c r="AU80" t="str">
        <f t="shared" si="18"/>
        <v>Z</v>
      </c>
      <c r="AZ80" t="s">
        <v>327</v>
      </c>
      <c r="BA80" t="s">
        <v>471</v>
      </c>
      <c r="BB80" t="s">
        <v>472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45847</v>
      </c>
      <c r="BJ80">
        <v>0</v>
      </c>
      <c r="BK80">
        <v>74595</v>
      </c>
      <c r="BL80">
        <v>0</v>
      </c>
      <c r="BM80">
        <v>75170</v>
      </c>
      <c r="BN80">
        <v>75772</v>
      </c>
      <c r="BO80">
        <v>0</v>
      </c>
    </row>
    <row r="81" spans="1:67" x14ac:dyDescent="0.25">
      <c r="A81" t="s">
        <v>5</v>
      </c>
      <c r="B81" t="s">
        <v>69</v>
      </c>
      <c r="C81" t="s">
        <v>96</v>
      </c>
      <c r="D81" s="7">
        <v>31410</v>
      </c>
      <c r="E81">
        <v>7</v>
      </c>
      <c r="W81" t="s">
        <v>69</v>
      </c>
      <c r="X81" s="11" t="s">
        <v>96</v>
      </c>
      <c r="Y81" s="7">
        <v>31410</v>
      </c>
      <c r="Z81" s="11" t="str">
        <f t="shared" si="19"/>
        <v>2023-9</v>
      </c>
      <c r="AA81" t="s">
        <v>253</v>
      </c>
      <c r="AB81">
        <f>SUMIFS($Y:$Y,$W:$W,$AA81,$Z:$Z,AB$1)</f>
        <v>0</v>
      </c>
      <c r="AC81">
        <f>SUMIFS($Y:$Y,$W:$W,$AA81,$Z:$Z,AC$1)</f>
        <v>0</v>
      </c>
      <c r="AD81">
        <f>SUMIFS($Y:$Y,$W:$W,$AA81,$Z:$Z,AD$1)</f>
        <v>0</v>
      </c>
      <c r="AE81">
        <f>SUMIFS($Y:$Y,$W:$W,$AA81,$Z:$Z,AE$1)</f>
        <v>0</v>
      </c>
      <c r="AF81">
        <f>SUMIFS($Y:$Y,$W:$W,$AA81,$Z:$Z,AF$1)</f>
        <v>76230</v>
      </c>
      <c r="AG81">
        <f>SUMIFS($Y:$Y,$W:$W,$AA81,$Z:$Z,AG$1)</f>
        <v>33136</v>
      </c>
      <c r="AH81">
        <f>SUMIFS($Y:$Y,$W:$W,$AA81,$Z:$Z,AH$1)</f>
        <v>64263</v>
      </c>
      <c r="AI81">
        <f>SUMIFS($Y:$Y,$W:$W,$AA81,$Z:$Z,AI$1)</f>
        <v>0</v>
      </c>
      <c r="AJ81">
        <f>SUMIFS($Y:$Y,$W:$W,$AA81,$Z:$Z,AJ$1)</f>
        <v>0</v>
      </c>
      <c r="AK81">
        <f>SUMIFS($Y:$Y,$W:$W,$AA81,$Z:$Z,AK$1)</f>
        <v>0</v>
      </c>
      <c r="AL81">
        <f>SUMIFS($Y:$Y,$W:$W,$AA81,$Z:$Z,AL$1)</f>
        <v>10118</v>
      </c>
      <c r="AM81">
        <f>SUMIFS($Y:$Y,$W:$W,$AA81,$Z:$Z,AM$1)</f>
        <v>104347</v>
      </c>
      <c r="AN81">
        <f>SUMIFS($Y:$Y,$W:$W,$AA81,$Z:$Z,AN$1)</f>
        <v>0</v>
      </c>
      <c r="AO81">
        <f>SUM(AB81:AN81)</f>
        <v>288094</v>
      </c>
      <c r="AP81" s="8">
        <f t="shared" si="14"/>
        <v>0.40404040404040403</v>
      </c>
      <c r="AQ81" s="8">
        <f t="shared" si="15"/>
        <v>5.2864623119867494E-3</v>
      </c>
      <c r="AR81" s="8">
        <f t="shared" si="20"/>
        <v>0.63633431674712393</v>
      </c>
      <c r="AS81" t="str">
        <f t="shared" si="16"/>
        <v>A</v>
      </c>
      <c r="AT81" s="8">
        <f t="shared" si="17"/>
        <v>1.5653965787659492</v>
      </c>
      <c r="AU81" t="str">
        <f t="shared" si="18"/>
        <v>Z</v>
      </c>
      <c r="AZ81" t="s">
        <v>341</v>
      </c>
      <c r="BA81" t="s">
        <v>474</v>
      </c>
      <c r="BB81" t="s">
        <v>472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54839</v>
      </c>
      <c r="BK81">
        <v>0</v>
      </c>
      <c r="BL81">
        <v>0</v>
      </c>
      <c r="BM81">
        <v>85130</v>
      </c>
      <c r="BN81">
        <v>0</v>
      </c>
      <c r="BO81">
        <v>0</v>
      </c>
    </row>
    <row r="82" spans="1:67" x14ac:dyDescent="0.25">
      <c r="A82" t="s">
        <v>12</v>
      </c>
      <c r="B82" t="s">
        <v>97</v>
      </c>
      <c r="C82" t="s">
        <v>96</v>
      </c>
      <c r="D82" s="7">
        <v>95253</v>
      </c>
      <c r="E82">
        <v>3</v>
      </c>
      <c r="W82" t="s">
        <v>97</v>
      </c>
      <c r="X82" s="11" t="s">
        <v>96</v>
      </c>
      <c r="Y82" s="7">
        <v>95253</v>
      </c>
      <c r="Z82" s="11" t="str">
        <f t="shared" si="19"/>
        <v>2023-9</v>
      </c>
      <c r="AA82" t="s">
        <v>276</v>
      </c>
      <c r="AB82">
        <f>SUMIFS($Y:$Y,$W:$W,$AA82,$Z:$Z,AB$1)</f>
        <v>0</v>
      </c>
      <c r="AC82">
        <f>SUMIFS($Y:$Y,$W:$W,$AA82,$Z:$Z,AC$1)</f>
        <v>0</v>
      </c>
      <c r="AD82">
        <f>SUMIFS($Y:$Y,$W:$W,$AA82,$Z:$Z,AD$1)</f>
        <v>0</v>
      </c>
      <c r="AE82">
        <f>SUMIFS($Y:$Y,$W:$W,$AA82,$Z:$Z,AE$1)</f>
        <v>0</v>
      </c>
      <c r="AF82">
        <f>SUMIFS($Y:$Y,$W:$W,$AA82,$Z:$Z,AF$1)</f>
        <v>38822</v>
      </c>
      <c r="AG82">
        <f>SUMIFS($Y:$Y,$W:$W,$AA82,$Z:$Z,AG$1)</f>
        <v>62267</v>
      </c>
      <c r="AH82">
        <f>SUMIFS($Y:$Y,$W:$W,$AA82,$Z:$Z,AH$1)</f>
        <v>129635</v>
      </c>
      <c r="AI82">
        <f>SUMIFS($Y:$Y,$W:$W,$AA82,$Z:$Z,AI$1)</f>
        <v>0</v>
      </c>
      <c r="AJ82">
        <f>SUMIFS($Y:$Y,$W:$W,$AA82,$Z:$Z,AJ$1)</f>
        <v>55724</v>
      </c>
      <c r="AK82">
        <f>SUMIFS($Y:$Y,$W:$W,$AA82,$Z:$Z,AK$1)</f>
        <v>0</v>
      </c>
      <c r="AL82">
        <f>SUMIFS($Y:$Y,$W:$W,$AA82,$Z:$Z,AL$1)</f>
        <v>0</v>
      </c>
      <c r="AM82">
        <f>SUMIFS($Y:$Y,$W:$W,$AA82,$Z:$Z,AM$1)</f>
        <v>0</v>
      </c>
      <c r="AN82">
        <f>SUMIFS($Y:$Y,$W:$W,$AA82,$Z:$Z,AN$1)</f>
        <v>0</v>
      </c>
      <c r="AO82">
        <f>SUM(AB82:AN82)</f>
        <v>286448</v>
      </c>
      <c r="AP82" s="8">
        <f t="shared" si="14"/>
        <v>0.40909090909090912</v>
      </c>
      <c r="AQ82" s="8">
        <f t="shared" si="15"/>
        <v>5.2562585695779176E-3</v>
      </c>
      <c r="AR82" s="8">
        <f t="shared" si="20"/>
        <v>0.64159057531670183</v>
      </c>
      <c r="AS82" t="str">
        <f t="shared" si="16"/>
        <v>A</v>
      </c>
      <c r="AT82" s="8">
        <f t="shared" si="17"/>
        <v>1.7342362930794268</v>
      </c>
      <c r="AU82" t="str">
        <f t="shared" si="18"/>
        <v>Z</v>
      </c>
      <c r="AZ82" t="s">
        <v>238</v>
      </c>
      <c r="BA82" t="s">
        <v>471</v>
      </c>
      <c r="BB82" t="s">
        <v>472</v>
      </c>
      <c r="BC82">
        <v>0</v>
      </c>
      <c r="BD82">
        <v>0</v>
      </c>
      <c r="BE82">
        <v>0</v>
      </c>
      <c r="BF82">
        <v>43139</v>
      </c>
      <c r="BG82">
        <v>0</v>
      </c>
      <c r="BH82">
        <v>0</v>
      </c>
      <c r="BI82">
        <v>32047</v>
      </c>
      <c r="BJ82">
        <v>91332</v>
      </c>
      <c r="BK82">
        <v>80993</v>
      </c>
      <c r="BL82">
        <v>0</v>
      </c>
      <c r="BM82">
        <v>0</v>
      </c>
      <c r="BN82">
        <v>68513</v>
      </c>
      <c r="BO82">
        <v>0</v>
      </c>
    </row>
    <row r="83" spans="1:67" x14ac:dyDescent="0.25">
      <c r="A83" t="s">
        <v>14</v>
      </c>
      <c r="B83" t="s">
        <v>98</v>
      </c>
      <c r="C83" t="s">
        <v>99</v>
      </c>
      <c r="D83" s="7">
        <v>70262</v>
      </c>
      <c r="E83">
        <v>8</v>
      </c>
      <c r="W83" t="s">
        <v>98</v>
      </c>
      <c r="X83" s="11" t="s">
        <v>99</v>
      </c>
      <c r="Y83" s="7">
        <v>70262</v>
      </c>
      <c r="Z83" s="11" t="str">
        <f t="shared" si="19"/>
        <v>2023-9</v>
      </c>
      <c r="AA83" t="s">
        <v>166</v>
      </c>
      <c r="AB83">
        <f>SUMIFS($Y:$Y,$W:$W,$AA83,$Z:$Z,AB$1)</f>
        <v>0</v>
      </c>
      <c r="AC83">
        <f>SUMIFS($Y:$Y,$W:$W,$AA83,$Z:$Z,AC$1)</f>
        <v>0</v>
      </c>
      <c r="AD83">
        <f>SUMIFS($Y:$Y,$W:$W,$AA83,$Z:$Z,AD$1)</f>
        <v>18544</v>
      </c>
      <c r="AE83">
        <f>SUMIFS($Y:$Y,$W:$W,$AA83,$Z:$Z,AE$1)</f>
        <v>137538</v>
      </c>
      <c r="AF83">
        <f>SUMIFS($Y:$Y,$W:$W,$AA83,$Z:$Z,AF$1)</f>
        <v>0</v>
      </c>
      <c r="AG83">
        <f>SUMIFS($Y:$Y,$W:$W,$AA83,$Z:$Z,AG$1)</f>
        <v>51789</v>
      </c>
      <c r="AH83">
        <f>SUMIFS($Y:$Y,$W:$W,$AA83,$Z:$Z,AH$1)</f>
        <v>0</v>
      </c>
      <c r="AI83">
        <f>SUMIFS($Y:$Y,$W:$W,$AA83,$Z:$Z,AI$1)</f>
        <v>0</v>
      </c>
      <c r="AJ83">
        <f>SUMIFS($Y:$Y,$W:$W,$AA83,$Z:$Z,AJ$1)</f>
        <v>0</v>
      </c>
      <c r="AK83">
        <f>SUMIFS($Y:$Y,$W:$W,$AA83,$Z:$Z,AK$1)</f>
        <v>77005</v>
      </c>
      <c r="AL83">
        <f>SUMIFS($Y:$Y,$W:$W,$AA83,$Z:$Z,AL$1)</f>
        <v>0</v>
      </c>
      <c r="AM83">
        <f>SUMIFS($Y:$Y,$W:$W,$AA83,$Z:$Z,AM$1)</f>
        <v>0</v>
      </c>
      <c r="AN83">
        <f>SUMIFS($Y:$Y,$W:$W,$AA83,$Z:$Z,AN$1)</f>
        <v>0</v>
      </c>
      <c r="AO83">
        <f>SUM(AB83:AN83)</f>
        <v>284876</v>
      </c>
      <c r="AP83" s="8">
        <f t="shared" si="14"/>
        <v>0.41414141414141414</v>
      </c>
      <c r="AQ83" s="8">
        <f t="shared" si="15"/>
        <v>5.2274127110926898E-3</v>
      </c>
      <c r="AR83" s="8">
        <f t="shared" si="20"/>
        <v>0.64681798802779455</v>
      </c>
      <c r="AS83" t="str">
        <f t="shared" si="16"/>
        <v>A</v>
      </c>
      <c r="AT83" s="8">
        <f t="shared" si="17"/>
        <v>1.8614105591508303</v>
      </c>
      <c r="AU83" t="str">
        <f t="shared" si="18"/>
        <v>Z</v>
      </c>
      <c r="AZ83" t="s">
        <v>311</v>
      </c>
      <c r="BA83" t="s">
        <v>478</v>
      </c>
      <c r="BB83" t="s">
        <v>472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68339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</row>
    <row r="84" spans="1:67" x14ac:dyDescent="0.25">
      <c r="A84" t="s">
        <v>17</v>
      </c>
      <c r="B84" t="s">
        <v>51</v>
      </c>
      <c r="C84" t="s">
        <v>99</v>
      </c>
      <c r="D84" s="7">
        <v>23876</v>
      </c>
      <c r="E84">
        <v>9</v>
      </c>
      <c r="W84" t="s">
        <v>51</v>
      </c>
      <c r="X84" s="11" t="s">
        <v>99</v>
      </c>
      <c r="Y84" s="7">
        <v>23876</v>
      </c>
      <c r="Z84" s="11" t="str">
        <f t="shared" si="19"/>
        <v>2023-9</v>
      </c>
      <c r="AA84" t="s">
        <v>199</v>
      </c>
      <c r="AB84">
        <f>SUMIFS($Y:$Y,$W:$W,$AA84,$Z:$Z,AB$1)</f>
        <v>0</v>
      </c>
      <c r="AC84">
        <f>SUMIFS($Y:$Y,$W:$W,$AA84,$Z:$Z,AC$1)</f>
        <v>0</v>
      </c>
      <c r="AD84">
        <f>SUMIFS($Y:$Y,$W:$W,$AA84,$Z:$Z,AD$1)</f>
        <v>42065</v>
      </c>
      <c r="AE84">
        <f>SUMIFS($Y:$Y,$W:$W,$AA84,$Z:$Z,AE$1)</f>
        <v>44093</v>
      </c>
      <c r="AF84">
        <f>SUMIFS($Y:$Y,$W:$W,$AA84,$Z:$Z,AF$1)</f>
        <v>0</v>
      </c>
      <c r="AG84">
        <f>SUMIFS($Y:$Y,$W:$W,$AA84,$Z:$Z,AG$1)</f>
        <v>17785</v>
      </c>
      <c r="AH84">
        <f>SUMIFS($Y:$Y,$W:$W,$AA84,$Z:$Z,AH$1)</f>
        <v>86814</v>
      </c>
      <c r="AI84">
        <f>SUMIFS($Y:$Y,$W:$W,$AA84,$Z:$Z,AI$1)</f>
        <v>0</v>
      </c>
      <c r="AJ84">
        <f>SUMIFS($Y:$Y,$W:$W,$AA84,$Z:$Z,AJ$1)</f>
        <v>81355</v>
      </c>
      <c r="AK84">
        <f>SUMIFS($Y:$Y,$W:$W,$AA84,$Z:$Z,AK$1)</f>
        <v>0</v>
      </c>
      <c r="AL84">
        <f>SUMIFS($Y:$Y,$W:$W,$AA84,$Z:$Z,AL$1)</f>
        <v>0</v>
      </c>
      <c r="AM84">
        <f>SUMIFS($Y:$Y,$W:$W,$AA84,$Z:$Z,AM$1)</f>
        <v>10879</v>
      </c>
      <c r="AN84">
        <f>SUMIFS($Y:$Y,$W:$W,$AA84,$Z:$Z,AN$1)</f>
        <v>0</v>
      </c>
      <c r="AO84">
        <f>SUM(AB84:AN84)</f>
        <v>282991</v>
      </c>
      <c r="AP84" s="8">
        <f t="shared" si="14"/>
        <v>0.41919191919191917</v>
      </c>
      <c r="AQ84" s="8">
        <f t="shared" si="15"/>
        <v>5.192823370606268E-3</v>
      </c>
      <c r="AR84" s="8">
        <f t="shared" si="20"/>
        <v>0.65201081139840078</v>
      </c>
      <c r="AS84" t="str">
        <f t="shared" si="16"/>
        <v>A</v>
      </c>
      <c r="AT84" s="8">
        <f t="shared" si="17"/>
        <v>1.4040022572578297</v>
      </c>
      <c r="AU84" t="str">
        <f t="shared" si="18"/>
        <v>Z</v>
      </c>
      <c r="AZ84" t="s">
        <v>69</v>
      </c>
      <c r="BA84" t="s">
        <v>471</v>
      </c>
      <c r="BB84" t="s">
        <v>472</v>
      </c>
      <c r="BC84">
        <v>59331</v>
      </c>
      <c r="BD84">
        <v>0</v>
      </c>
      <c r="BE84">
        <v>0</v>
      </c>
      <c r="BF84">
        <v>109721</v>
      </c>
      <c r="BG84">
        <v>166966</v>
      </c>
      <c r="BH84">
        <v>60228</v>
      </c>
      <c r="BI84">
        <v>0</v>
      </c>
      <c r="BJ84">
        <v>0</v>
      </c>
      <c r="BK84">
        <v>41287</v>
      </c>
      <c r="BL84">
        <v>0</v>
      </c>
      <c r="BM84">
        <v>0</v>
      </c>
      <c r="BN84">
        <v>0</v>
      </c>
      <c r="BO84">
        <v>0</v>
      </c>
    </row>
    <row r="85" spans="1:67" x14ac:dyDescent="0.25">
      <c r="A85" t="s">
        <v>32</v>
      </c>
      <c r="B85" t="s">
        <v>100</v>
      </c>
      <c r="C85" t="s">
        <v>99</v>
      </c>
      <c r="D85" s="7">
        <v>41208</v>
      </c>
      <c r="E85">
        <v>8</v>
      </c>
      <c r="W85" t="s">
        <v>100</v>
      </c>
      <c r="X85" s="11" t="s">
        <v>99</v>
      </c>
      <c r="Y85" s="7">
        <v>41208</v>
      </c>
      <c r="Z85" s="11" t="str">
        <f t="shared" si="19"/>
        <v>2023-9</v>
      </c>
      <c r="AA85" t="s">
        <v>118</v>
      </c>
      <c r="AB85">
        <f>SUMIFS($Y:$Y,$W:$W,$AA85,$Z:$Z,AB$1)</f>
        <v>0</v>
      </c>
      <c r="AC85">
        <f>SUMIFS($Y:$Y,$W:$W,$AA85,$Z:$Z,AC$1)</f>
        <v>69272</v>
      </c>
      <c r="AD85">
        <f>SUMIFS($Y:$Y,$W:$W,$AA85,$Z:$Z,AD$1)</f>
        <v>0</v>
      </c>
      <c r="AE85">
        <f>SUMIFS($Y:$Y,$W:$W,$AA85,$Z:$Z,AE$1)</f>
        <v>0</v>
      </c>
      <c r="AF85">
        <f>SUMIFS($Y:$Y,$W:$W,$AA85,$Z:$Z,AF$1)</f>
        <v>0</v>
      </c>
      <c r="AG85">
        <f>SUMIFS($Y:$Y,$W:$W,$AA85,$Z:$Z,AG$1)</f>
        <v>82916</v>
      </c>
      <c r="AH85">
        <f>SUMIFS($Y:$Y,$W:$W,$AA85,$Z:$Z,AH$1)</f>
        <v>0</v>
      </c>
      <c r="AI85">
        <f>SUMIFS($Y:$Y,$W:$W,$AA85,$Z:$Z,AI$1)</f>
        <v>0</v>
      </c>
      <c r="AJ85">
        <f>SUMIFS($Y:$Y,$W:$W,$AA85,$Z:$Z,AJ$1)</f>
        <v>0</v>
      </c>
      <c r="AK85">
        <f>SUMIFS($Y:$Y,$W:$W,$AA85,$Z:$Z,AK$1)</f>
        <v>0</v>
      </c>
      <c r="AL85">
        <f>SUMIFS($Y:$Y,$W:$W,$AA85,$Z:$Z,AL$1)</f>
        <v>0</v>
      </c>
      <c r="AM85">
        <f>SUMIFS($Y:$Y,$W:$W,$AA85,$Z:$Z,AM$1)</f>
        <v>128660</v>
      </c>
      <c r="AN85">
        <f>SUMIFS($Y:$Y,$W:$W,$AA85,$Z:$Z,AN$1)</f>
        <v>0</v>
      </c>
      <c r="AO85">
        <f>SUM(AB85:AN85)</f>
        <v>280848</v>
      </c>
      <c r="AP85" s="8">
        <f t="shared" si="14"/>
        <v>0.42424242424242425</v>
      </c>
      <c r="AQ85" s="8">
        <f t="shared" si="15"/>
        <v>5.1534997861699813E-3</v>
      </c>
      <c r="AR85" s="8">
        <f t="shared" si="20"/>
        <v>0.65716431118457075</v>
      </c>
      <c r="AS85" t="str">
        <f t="shared" si="16"/>
        <v>A</v>
      </c>
      <c r="AT85" s="8">
        <f t="shared" si="17"/>
        <v>1.9110956528093792</v>
      </c>
      <c r="AU85" t="str">
        <f t="shared" si="18"/>
        <v>Z</v>
      </c>
      <c r="AZ85" t="s">
        <v>245</v>
      </c>
      <c r="BA85" t="s">
        <v>474</v>
      </c>
      <c r="BB85" t="s">
        <v>472</v>
      </c>
      <c r="BC85">
        <v>0</v>
      </c>
      <c r="BD85">
        <v>0</v>
      </c>
      <c r="BE85">
        <v>0</v>
      </c>
      <c r="BF85">
        <v>66502</v>
      </c>
      <c r="BG85">
        <v>0</v>
      </c>
      <c r="BH85">
        <v>40859</v>
      </c>
      <c r="BI85">
        <v>12836</v>
      </c>
      <c r="BJ85">
        <v>31668</v>
      </c>
      <c r="BK85">
        <v>0</v>
      </c>
      <c r="BL85">
        <v>0</v>
      </c>
      <c r="BM85">
        <v>0</v>
      </c>
      <c r="BN85">
        <v>0</v>
      </c>
      <c r="BO85">
        <v>0</v>
      </c>
    </row>
    <row r="86" spans="1:67" x14ac:dyDescent="0.25">
      <c r="A86" t="s">
        <v>23</v>
      </c>
      <c r="B86" t="s">
        <v>101</v>
      </c>
      <c r="C86" t="s">
        <v>102</v>
      </c>
      <c r="D86" s="7">
        <v>54772</v>
      </c>
      <c r="E86">
        <v>5</v>
      </c>
      <c r="W86" t="s">
        <v>101</v>
      </c>
      <c r="X86" s="11" t="s">
        <v>102</v>
      </c>
      <c r="Y86" s="7">
        <v>54772</v>
      </c>
      <c r="Z86" s="11" t="str">
        <f t="shared" si="19"/>
        <v>2023-10</v>
      </c>
      <c r="AA86" t="s">
        <v>82</v>
      </c>
      <c r="AB86">
        <f>SUMIFS($Y:$Y,$W:$W,$AA86,$Z:$Z,AB$1)</f>
        <v>74053</v>
      </c>
      <c r="AC86">
        <f>SUMIFS($Y:$Y,$W:$W,$AA86,$Z:$Z,AC$1)</f>
        <v>12540</v>
      </c>
      <c r="AD86">
        <f>SUMIFS($Y:$Y,$W:$W,$AA86,$Z:$Z,AD$1)</f>
        <v>28128</v>
      </c>
      <c r="AE86">
        <f>SUMIFS($Y:$Y,$W:$W,$AA86,$Z:$Z,AE$1)</f>
        <v>0</v>
      </c>
      <c r="AF86">
        <f>SUMIFS($Y:$Y,$W:$W,$AA86,$Z:$Z,AF$1)</f>
        <v>0</v>
      </c>
      <c r="AG86">
        <f>SUMIFS($Y:$Y,$W:$W,$AA86,$Z:$Z,AG$1)</f>
        <v>0</v>
      </c>
      <c r="AH86">
        <f>SUMIFS($Y:$Y,$W:$W,$AA86,$Z:$Z,AH$1)</f>
        <v>0</v>
      </c>
      <c r="AI86">
        <f>SUMIFS($Y:$Y,$W:$W,$AA86,$Z:$Z,AI$1)</f>
        <v>0</v>
      </c>
      <c r="AJ86">
        <f>SUMIFS($Y:$Y,$W:$W,$AA86,$Z:$Z,AJ$1)</f>
        <v>0</v>
      </c>
      <c r="AK86">
        <f>SUMIFS($Y:$Y,$W:$W,$AA86,$Z:$Z,AK$1)</f>
        <v>0</v>
      </c>
      <c r="AL86">
        <f>SUMIFS($Y:$Y,$W:$W,$AA86,$Z:$Z,AL$1)</f>
        <v>90121</v>
      </c>
      <c r="AM86">
        <f>SUMIFS($Y:$Y,$W:$W,$AA86,$Z:$Z,AM$1)</f>
        <v>74075</v>
      </c>
      <c r="AN86">
        <f>SUMIFS($Y:$Y,$W:$W,$AA86,$Z:$Z,AN$1)</f>
        <v>0</v>
      </c>
      <c r="AO86">
        <f>SUM(AB86:AN86)</f>
        <v>278917</v>
      </c>
      <c r="AP86" s="8">
        <f t="shared" si="14"/>
        <v>0.42929292929292928</v>
      </c>
      <c r="AQ86" s="8">
        <f t="shared" si="15"/>
        <v>5.1180663556769949E-3</v>
      </c>
      <c r="AR86" s="8">
        <f t="shared" si="20"/>
        <v>0.66228237754024777</v>
      </c>
      <c r="AS86" t="str">
        <f t="shared" si="16"/>
        <v>A</v>
      </c>
      <c r="AT86" s="8">
        <f t="shared" si="17"/>
        <v>1.532648770532421</v>
      </c>
      <c r="AU86" t="str">
        <f t="shared" si="18"/>
        <v>Z</v>
      </c>
      <c r="AZ86" t="s">
        <v>175</v>
      </c>
      <c r="BA86" t="s">
        <v>478</v>
      </c>
      <c r="BB86" t="s">
        <v>472</v>
      </c>
      <c r="BC86">
        <v>0</v>
      </c>
      <c r="BD86">
        <v>0</v>
      </c>
      <c r="BE86">
        <v>45774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</row>
    <row r="87" spans="1:67" x14ac:dyDescent="0.25">
      <c r="A87" t="s">
        <v>12</v>
      </c>
      <c r="B87" t="s">
        <v>103</v>
      </c>
      <c r="C87" t="s">
        <v>102</v>
      </c>
      <c r="D87" s="7">
        <v>56736</v>
      </c>
      <c r="E87">
        <v>8</v>
      </c>
      <c r="W87" t="s">
        <v>103</v>
      </c>
      <c r="X87" s="11" t="s">
        <v>102</v>
      </c>
      <c r="Y87" s="7">
        <v>56736</v>
      </c>
      <c r="Z87" s="11" t="str">
        <f t="shared" si="19"/>
        <v>2023-10</v>
      </c>
      <c r="AA87" t="s">
        <v>133</v>
      </c>
      <c r="AB87">
        <f>SUMIFS($Y:$Y,$W:$W,$AA87,$Z:$Z,AB$1)</f>
        <v>0</v>
      </c>
      <c r="AC87">
        <f>SUMIFS($Y:$Y,$W:$W,$AA87,$Z:$Z,AC$1)</f>
        <v>16779</v>
      </c>
      <c r="AD87">
        <f>SUMIFS($Y:$Y,$W:$W,$AA87,$Z:$Z,AD$1)</f>
        <v>0</v>
      </c>
      <c r="AE87">
        <f>SUMIFS($Y:$Y,$W:$W,$AA87,$Z:$Z,AE$1)</f>
        <v>0</v>
      </c>
      <c r="AF87">
        <f>SUMIFS($Y:$Y,$W:$W,$AA87,$Z:$Z,AF$1)</f>
        <v>123383</v>
      </c>
      <c r="AG87">
        <f>SUMIFS($Y:$Y,$W:$W,$AA87,$Z:$Z,AG$1)</f>
        <v>0</v>
      </c>
      <c r="AH87">
        <f>SUMIFS($Y:$Y,$W:$W,$AA87,$Z:$Z,AH$1)</f>
        <v>54634</v>
      </c>
      <c r="AI87">
        <f>SUMIFS($Y:$Y,$W:$W,$AA87,$Z:$Z,AI$1)</f>
        <v>0</v>
      </c>
      <c r="AJ87">
        <f>SUMIFS($Y:$Y,$W:$W,$AA87,$Z:$Z,AJ$1)</f>
        <v>49172</v>
      </c>
      <c r="AK87">
        <f>SUMIFS($Y:$Y,$W:$W,$AA87,$Z:$Z,AK$1)</f>
        <v>0</v>
      </c>
      <c r="AL87">
        <f>SUMIFS($Y:$Y,$W:$W,$AA87,$Z:$Z,AL$1)</f>
        <v>0</v>
      </c>
      <c r="AM87">
        <f>SUMIFS($Y:$Y,$W:$W,$AA87,$Z:$Z,AM$1)</f>
        <v>33037</v>
      </c>
      <c r="AN87">
        <f>SUMIFS($Y:$Y,$W:$W,$AA87,$Z:$Z,AN$1)</f>
        <v>0</v>
      </c>
      <c r="AO87">
        <f>SUM(AB87:AN87)</f>
        <v>277005</v>
      </c>
      <c r="AP87" s="8">
        <f t="shared" si="14"/>
        <v>0.43434343434343436</v>
      </c>
      <c r="AQ87" s="8">
        <f t="shared" si="15"/>
        <v>5.0829815710562859E-3</v>
      </c>
      <c r="AR87" s="8">
        <f t="shared" si="20"/>
        <v>0.66736535911130401</v>
      </c>
      <c r="AS87" t="str">
        <f t="shared" si="16"/>
        <v>A</v>
      </c>
      <c r="AT87" s="8">
        <f t="shared" si="17"/>
        <v>1.6513986845149045</v>
      </c>
      <c r="AU87" t="str">
        <f t="shared" si="18"/>
        <v>Z</v>
      </c>
      <c r="AZ87" t="s">
        <v>152</v>
      </c>
      <c r="BA87" t="s">
        <v>478</v>
      </c>
      <c r="BB87" t="s">
        <v>472</v>
      </c>
      <c r="BC87">
        <v>0</v>
      </c>
      <c r="BD87">
        <v>40254</v>
      </c>
      <c r="BE87">
        <v>0</v>
      </c>
      <c r="BF87">
        <v>0</v>
      </c>
      <c r="BG87">
        <v>22344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</row>
    <row r="88" spans="1:67" x14ac:dyDescent="0.25">
      <c r="A88" t="s">
        <v>23</v>
      </c>
      <c r="B88" t="s">
        <v>104</v>
      </c>
      <c r="C88" t="s">
        <v>102</v>
      </c>
      <c r="D88" s="7">
        <v>12327</v>
      </c>
      <c r="E88">
        <v>8</v>
      </c>
      <c r="W88" t="s">
        <v>104</v>
      </c>
      <c r="X88" s="11" t="s">
        <v>102</v>
      </c>
      <c r="Y88" s="7">
        <v>12327</v>
      </c>
      <c r="Z88" s="11" t="str">
        <f t="shared" si="19"/>
        <v>2023-10</v>
      </c>
      <c r="AA88" t="s">
        <v>104</v>
      </c>
      <c r="AB88">
        <f>SUMIFS($Y:$Y,$W:$W,$AA88,$Z:$Z,AB$1)</f>
        <v>0</v>
      </c>
      <c r="AC88">
        <f>SUMIFS($Y:$Y,$W:$W,$AA88,$Z:$Z,AC$1)</f>
        <v>12327</v>
      </c>
      <c r="AD88">
        <f>SUMIFS($Y:$Y,$W:$W,$AA88,$Z:$Z,AD$1)</f>
        <v>0</v>
      </c>
      <c r="AE88">
        <f>SUMIFS($Y:$Y,$W:$W,$AA88,$Z:$Z,AE$1)</f>
        <v>0</v>
      </c>
      <c r="AF88">
        <f>SUMIFS($Y:$Y,$W:$W,$AA88,$Z:$Z,AF$1)</f>
        <v>0</v>
      </c>
      <c r="AG88">
        <f>SUMIFS($Y:$Y,$W:$W,$AA88,$Z:$Z,AG$1)</f>
        <v>0</v>
      </c>
      <c r="AH88">
        <f>SUMIFS($Y:$Y,$W:$W,$AA88,$Z:$Z,AH$1)</f>
        <v>0</v>
      </c>
      <c r="AI88">
        <f>SUMIFS($Y:$Y,$W:$W,$AA88,$Z:$Z,AI$1)</f>
        <v>0</v>
      </c>
      <c r="AJ88">
        <f>SUMIFS($Y:$Y,$W:$W,$AA88,$Z:$Z,AJ$1)</f>
        <v>84199</v>
      </c>
      <c r="AK88">
        <f>SUMIFS($Y:$Y,$W:$W,$AA88,$Z:$Z,AK$1)</f>
        <v>43160</v>
      </c>
      <c r="AL88">
        <f>SUMIFS($Y:$Y,$W:$W,$AA88,$Z:$Z,AL$1)</f>
        <v>84855</v>
      </c>
      <c r="AM88">
        <f>SUMIFS($Y:$Y,$W:$W,$AA88,$Z:$Z,AM$1)</f>
        <v>49357</v>
      </c>
      <c r="AN88">
        <f>SUMIFS($Y:$Y,$W:$W,$AA88,$Z:$Z,AN$1)</f>
        <v>0</v>
      </c>
      <c r="AO88">
        <f>SUM(AB88:AN88)</f>
        <v>273898</v>
      </c>
      <c r="AP88" s="8">
        <f t="shared" si="14"/>
        <v>0.43939393939393939</v>
      </c>
      <c r="AQ88" s="8">
        <f t="shared" si="15"/>
        <v>5.0259687960476328E-3</v>
      </c>
      <c r="AR88" s="8">
        <f t="shared" si="20"/>
        <v>0.67239132790735168</v>
      </c>
      <c r="AS88" t="str">
        <f t="shared" si="16"/>
        <v>A</v>
      </c>
      <c r="AT88" s="8">
        <f t="shared" si="17"/>
        <v>1.4991719225139486</v>
      </c>
      <c r="AU88" t="str">
        <f t="shared" si="18"/>
        <v>Z</v>
      </c>
      <c r="AZ88" t="s">
        <v>308</v>
      </c>
      <c r="BA88" t="s">
        <v>474</v>
      </c>
      <c r="BB88" t="s">
        <v>472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77177</v>
      </c>
      <c r="BI88">
        <v>0</v>
      </c>
      <c r="BJ88">
        <v>0</v>
      </c>
      <c r="BK88">
        <v>0</v>
      </c>
      <c r="BL88">
        <v>44493</v>
      </c>
      <c r="BM88">
        <v>0</v>
      </c>
      <c r="BN88">
        <v>0</v>
      </c>
      <c r="BO88">
        <v>0</v>
      </c>
    </row>
    <row r="89" spans="1:67" x14ac:dyDescent="0.25">
      <c r="A89" t="s">
        <v>8</v>
      </c>
      <c r="B89" t="s">
        <v>35</v>
      </c>
      <c r="C89" t="s">
        <v>102</v>
      </c>
      <c r="D89" s="7">
        <v>91649</v>
      </c>
      <c r="E89">
        <v>8</v>
      </c>
      <c r="W89" t="s">
        <v>35</v>
      </c>
      <c r="X89" s="11" t="s">
        <v>102</v>
      </c>
      <c r="Y89" s="7">
        <v>91649</v>
      </c>
      <c r="Z89" s="11" t="str">
        <f t="shared" si="19"/>
        <v>2023-10</v>
      </c>
      <c r="AA89" t="s">
        <v>229</v>
      </c>
      <c r="AB89">
        <f>SUMIFS($Y:$Y,$W:$W,$AA89,$Z:$Z,AB$1)</f>
        <v>0</v>
      </c>
      <c r="AC89">
        <f>SUMIFS($Y:$Y,$W:$W,$AA89,$Z:$Z,AC$1)</f>
        <v>0</v>
      </c>
      <c r="AD89">
        <f>SUMIFS($Y:$Y,$W:$W,$AA89,$Z:$Z,AD$1)</f>
        <v>0</v>
      </c>
      <c r="AE89">
        <f>SUMIFS($Y:$Y,$W:$W,$AA89,$Z:$Z,AE$1)</f>
        <v>76066</v>
      </c>
      <c r="AF89">
        <f>SUMIFS($Y:$Y,$W:$W,$AA89,$Z:$Z,AF$1)</f>
        <v>56932</v>
      </c>
      <c r="AG89">
        <f>SUMIFS($Y:$Y,$W:$W,$AA89,$Z:$Z,AG$1)</f>
        <v>35748</v>
      </c>
      <c r="AH89">
        <f>SUMIFS($Y:$Y,$W:$W,$AA89,$Z:$Z,AH$1)</f>
        <v>0</v>
      </c>
      <c r="AI89">
        <f>SUMIFS($Y:$Y,$W:$W,$AA89,$Z:$Z,AI$1)</f>
        <v>20929</v>
      </c>
      <c r="AJ89">
        <f>SUMIFS($Y:$Y,$W:$W,$AA89,$Z:$Z,AJ$1)</f>
        <v>0</v>
      </c>
      <c r="AK89">
        <f>SUMIFS($Y:$Y,$W:$W,$AA89,$Z:$Z,AK$1)</f>
        <v>0</v>
      </c>
      <c r="AL89">
        <f>SUMIFS($Y:$Y,$W:$W,$AA89,$Z:$Z,AL$1)</f>
        <v>82385</v>
      </c>
      <c r="AM89">
        <f>SUMIFS($Y:$Y,$W:$W,$AA89,$Z:$Z,AM$1)</f>
        <v>0</v>
      </c>
      <c r="AN89">
        <f>SUMIFS($Y:$Y,$W:$W,$AA89,$Z:$Z,AN$1)</f>
        <v>0</v>
      </c>
      <c r="AO89">
        <f>SUM(AB89:AN89)</f>
        <v>272060</v>
      </c>
      <c r="AP89" s="8">
        <f t="shared" si="14"/>
        <v>0.44444444444444442</v>
      </c>
      <c r="AQ89" s="8">
        <f t="shared" si="15"/>
        <v>4.9922418953505287E-3</v>
      </c>
      <c r="AR89" s="8">
        <f t="shared" si="20"/>
        <v>0.6773835698027022</v>
      </c>
      <c r="AS89" t="str">
        <f t="shared" si="16"/>
        <v>A</v>
      </c>
      <c r="AT89" s="8">
        <f t="shared" si="17"/>
        <v>1.4418714903917464</v>
      </c>
      <c r="AU89" t="str">
        <f t="shared" si="18"/>
        <v>Z</v>
      </c>
      <c r="AZ89" t="s">
        <v>166</v>
      </c>
      <c r="BA89" t="s">
        <v>471</v>
      </c>
      <c r="BB89" t="s">
        <v>472</v>
      </c>
      <c r="BC89">
        <v>0</v>
      </c>
      <c r="BD89">
        <v>0</v>
      </c>
      <c r="BE89">
        <v>18544</v>
      </c>
      <c r="BF89">
        <v>137538</v>
      </c>
      <c r="BG89">
        <v>0</v>
      </c>
      <c r="BH89">
        <v>51789</v>
      </c>
      <c r="BI89">
        <v>0</v>
      </c>
      <c r="BJ89">
        <v>0</v>
      </c>
      <c r="BK89">
        <v>0</v>
      </c>
      <c r="BL89">
        <v>77005</v>
      </c>
      <c r="BM89">
        <v>0</v>
      </c>
      <c r="BN89">
        <v>0</v>
      </c>
      <c r="BO89">
        <v>0</v>
      </c>
    </row>
    <row r="90" spans="1:67" x14ac:dyDescent="0.25">
      <c r="A90" t="s">
        <v>10</v>
      </c>
      <c r="B90" t="s">
        <v>82</v>
      </c>
      <c r="C90" t="s">
        <v>105</v>
      </c>
      <c r="D90" s="7">
        <v>12540</v>
      </c>
      <c r="E90">
        <v>9</v>
      </c>
      <c r="W90" t="s">
        <v>82</v>
      </c>
      <c r="X90" s="11" t="s">
        <v>105</v>
      </c>
      <c r="Y90" s="7">
        <v>12540</v>
      </c>
      <c r="Z90" s="11" t="str">
        <f t="shared" si="19"/>
        <v>2023-10</v>
      </c>
      <c r="AA90" t="s">
        <v>327</v>
      </c>
      <c r="AB90">
        <f>SUMIFS($Y:$Y,$W:$W,$AA90,$Z:$Z,AB$1)</f>
        <v>0</v>
      </c>
      <c r="AC90">
        <f>SUMIFS($Y:$Y,$W:$W,$AA90,$Z:$Z,AC$1)</f>
        <v>0</v>
      </c>
      <c r="AD90">
        <f>SUMIFS($Y:$Y,$W:$W,$AA90,$Z:$Z,AD$1)</f>
        <v>0</v>
      </c>
      <c r="AE90">
        <f>SUMIFS($Y:$Y,$W:$W,$AA90,$Z:$Z,AE$1)</f>
        <v>0</v>
      </c>
      <c r="AF90">
        <f>SUMIFS($Y:$Y,$W:$W,$AA90,$Z:$Z,AF$1)</f>
        <v>0</v>
      </c>
      <c r="AG90">
        <f>SUMIFS($Y:$Y,$W:$W,$AA90,$Z:$Z,AG$1)</f>
        <v>0</v>
      </c>
      <c r="AH90">
        <f>SUMIFS($Y:$Y,$W:$W,$AA90,$Z:$Z,AH$1)</f>
        <v>45847</v>
      </c>
      <c r="AI90">
        <f>SUMIFS($Y:$Y,$W:$W,$AA90,$Z:$Z,AI$1)</f>
        <v>0</v>
      </c>
      <c r="AJ90">
        <f>SUMIFS($Y:$Y,$W:$W,$AA90,$Z:$Z,AJ$1)</f>
        <v>74595</v>
      </c>
      <c r="AK90">
        <f>SUMIFS($Y:$Y,$W:$W,$AA90,$Z:$Z,AK$1)</f>
        <v>0</v>
      </c>
      <c r="AL90">
        <f>SUMIFS($Y:$Y,$W:$W,$AA90,$Z:$Z,AL$1)</f>
        <v>75170</v>
      </c>
      <c r="AM90">
        <f>SUMIFS($Y:$Y,$W:$W,$AA90,$Z:$Z,AM$1)</f>
        <v>75772</v>
      </c>
      <c r="AN90">
        <f>SUMIFS($Y:$Y,$W:$W,$AA90,$Z:$Z,AN$1)</f>
        <v>0</v>
      </c>
      <c r="AO90">
        <f>SUM(AB90:AN90)</f>
        <v>271384</v>
      </c>
      <c r="AP90" s="8">
        <f t="shared" si="14"/>
        <v>0.4494949494949495</v>
      </c>
      <c r="AQ90" s="8">
        <f t="shared" si="15"/>
        <v>4.9798374422105702E-3</v>
      </c>
      <c r="AR90" s="8">
        <f t="shared" si="20"/>
        <v>0.68236340724491273</v>
      </c>
      <c r="AS90" t="str">
        <f t="shared" si="16"/>
        <v>A</v>
      </c>
      <c r="AT90" s="8">
        <f t="shared" si="17"/>
        <v>1.5375373734262168</v>
      </c>
      <c r="AU90" t="str">
        <f t="shared" si="18"/>
        <v>Z</v>
      </c>
      <c r="AZ90" t="s">
        <v>118</v>
      </c>
      <c r="BA90" t="s">
        <v>471</v>
      </c>
      <c r="BB90" t="s">
        <v>472</v>
      </c>
      <c r="BC90">
        <v>0</v>
      </c>
      <c r="BD90">
        <v>69272</v>
      </c>
      <c r="BE90">
        <v>0</v>
      </c>
      <c r="BF90">
        <v>0</v>
      </c>
      <c r="BG90">
        <v>0</v>
      </c>
      <c r="BH90">
        <v>82916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128660</v>
      </c>
      <c r="BO90">
        <v>0</v>
      </c>
    </row>
    <row r="91" spans="1:67" x14ac:dyDescent="0.25">
      <c r="A91" t="s">
        <v>17</v>
      </c>
      <c r="B91" t="s">
        <v>106</v>
      </c>
      <c r="C91" t="s">
        <v>105</v>
      </c>
      <c r="D91" s="7">
        <v>20248</v>
      </c>
      <c r="E91">
        <v>7</v>
      </c>
      <c r="W91" t="s">
        <v>106</v>
      </c>
      <c r="X91" s="11" t="s">
        <v>105</v>
      </c>
      <c r="Y91" s="7">
        <v>20248</v>
      </c>
      <c r="Z91" s="11" t="str">
        <f t="shared" si="19"/>
        <v>2023-10</v>
      </c>
      <c r="AA91" t="s">
        <v>181</v>
      </c>
      <c r="AB91">
        <f>SUMIFS($Y:$Y,$W:$W,$AA91,$Z:$Z,AB$1)</f>
        <v>0</v>
      </c>
      <c r="AC91">
        <f>SUMIFS($Y:$Y,$W:$W,$AA91,$Z:$Z,AC$1)</f>
        <v>0</v>
      </c>
      <c r="AD91">
        <f>SUMIFS($Y:$Y,$W:$W,$AA91,$Z:$Z,AD$1)</f>
        <v>162077</v>
      </c>
      <c r="AE91">
        <f>SUMIFS($Y:$Y,$W:$W,$AA91,$Z:$Z,AE$1)</f>
        <v>0</v>
      </c>
      <c r="AF91">
        <f>SUMIFS($Y:$Y,$W:$W,$AA91,$Z:$Z,AF$1)</f>
        <v>24784</v>
      </c>
      <c r="AG91">
        <f>SUMIFS($Y:$Y,$W:$W,$AA91,$Z:$Z,AG$1)</f>
        <v>0</v>
      </c>
      <c r="AH91">
        <f>SUMIFS($Y:$Y,$W:$W,$AA91,$Z:$Z,AH$1)</f>
        <v>0</v>
      </c>
      <c r="AI91">
        <f>SUMIFS($Y:$Y,$W:$W,$AA91,$Z:$Z,AI$1)</f>
        <v>0</v>
      </c>
      <c r="AJ91">
        <f>SUMIFS($Y:$Y,$W:$W,$AA91,$Z:$Z,AJ$1)</f>
        <v>0</v>
      </c>
      <c r="AK91">
        <f>SUMIFS($Y:$Y,$W:$W,$AA91,$Z:$Z,AK$1)</f>
        <v>0</v>
      </c>
      <c r="AL91">
        <f>SUMIFS($Y:$Y,$W:$W,$AA91,$Z:$Z,AL$1)</f>
        <v>83451</v>
      </c>
      <c r="AM91">
        <f>SUMIFS($Y:$Y,$W:$W,$AA91,$Z:$Z,AM$1)</f>
        <v>0</v>
      </c>
      <c r="AN91">
        <f>SUMIFS($Y:$Y,$W:$W,$AA91,$Z:$Z,AN$1)</f>
        <v>0</v>
      </c>
      <c r="AO91">
        <f>SUM(AB91:AN91)</f>
        <v>270312</v>
      </c>
      <c r="AP91" s="8">
        <f t="shared" si="14"/>
        <v>0.45454545454545453</v>
      </c>
      <c r="AQ91" s="8">
        <f t="shared" si="15"/>
        <v>4.9601664751010516E-3</v>
      </c>
      <c r="AR91" s="8">
        <f t="shared" si="20"/>
        <v>0.68732357372001374</v>
      </c>
      <c r="AS91" t="str">
        <f t="shared" si="16"/>
        <v>A</v>
      </c>
      <c r="AT91" s="8">
        <f t="shared" si="17"/>
        <v>2.2409682998896732</v>
      </c>
      <c r="AU91" t="str">
        <f t="shared" si="18"/>
        <v>Z</v>
      </c>
      <c r="AZ91" t="s">
        <v>111</v>
      </c>
      <c r="BA91" t="s">
        <v>478</v>
      </c>
      <c r="BB91" t="s">
        <v>472</v>
      </c>
      <c r="BC91">
        <v>0</v>
      </c>
      <c r="BD91">
        <v>17174</v>
      </c>
      <c r="BE91">
        <v>0</v>
      </c>
      <c r="BF91">
        <v>0</v>
      </c>
      <c r="BG91">
        <v>33252</v>
      </c>
      <c r="BH91">
        <v>0</v>
      </c>
      <c r="BI91">
        <v>0</v>
      </c>
      <c r="BJ91">
        <v>0</v>
      </c>
      <c r="BK91">
        <v>0</v>
      </c>
      <c r="BL91">
        <v>19726</v>
      </c>
      <c r="BM91">
        <v>12376</v>
      </c>
      <c r="BN91">
        <v>0</v>
      </c>
      <c r="BO91">
        <v>0</v>
      </c>
    </row>
    <row r="92" spans="1:67" x14ac:dyDescent="0.25">
      <c r="A92" t="s">
        <v>32</v>
      </c>
      <c r="B92" t="s">
        <v>107</v>
      </c>
      <c r="C92" t="s">
        <v>105</v>
      </c>
      <c r="D92" s="7">
        <v>61586</v>
      </c>
      <c r="E92">
        <v>9</v>
      </c>
      <c r="W92" t="s">
        <v>107</v>
      </c>
      <c r="X92" s="11" t="s">
        <v>105</v>
      </c>
      <c r="Y92" s="7">
        <v>61586</v>
      </c>
      <c r="Z92" s="11" t="str">
        <f t="shared" si="19"/>
        <v>2023-10</v>
      </c>
      <c r="AA92" t="s">
        <v>287</v>
      </c>
      <c r="AB92">
        <f>SUMIFS($Y:$Y,$W:$W,$AA92,$Z:$Z,AB$1)</f>
        <v>0</v>
      </c>
      <c r="AC92">
        <f>SUMIFS($Y:$Y,$W:$W,$AA92,$Z:$Z,AC$1)</f>
        <v>0</v>
      </c>
      <c r="AD92">
        <f>SUMIFS($Y:$Y,$W:$W,$AA92,$Z:$Z,AD$1)</f>
        <v>0</v>
      </c>
      <c r="AE92">
        <f>SUMIFS($Y:$Y,$W:$W,$AA92,$Z:$Z,AE$1)</f>
        <v>0</v>
      </c>
      <c r="AF92">
        <f>SUMIFS($Y:$Y,$W:$W,$AA92,$Z:$Z,AF$1)</f>
        <v>0</v>
      </c>
      <c r="AG92">
        <f>SUMIFS($Y:$Y,$W:$W,$AA92,$Z:$Z,AG$1)</f>
        <v>89651</v>
      </c>
      <c r="AH92">
        <f>SUMIFS($Y:$Y,$W:$W,$AA92,$Z:$Z,AH$1)</f>
        <v>0</v>
      </c>
      <c r="AI92">
        <f>SUMIFS($Y:$Y,$W:$W,$AA92,$Z:$Z,AI$1)</f>
        <v>0</v>
      </c>
      <c r="AJ92">
        <f>SUMIFS($Y:$Y,$W:$W,$AA92,$Z:$Z,AJ$1)</f>
        <v>0</v>
      </c>
      <c r="AK92">
        <f>SUMIFS($Y:$Y,$W:$W,$AA92,$Z:$Z,AK$1)</f>
        <v>75381</v>
      </c>
      <c r="AL92">
        <f>SUMIFS($Y:$Y,$W:$W,$AA92,$Z:$Z,AL$1)</f>
        <v>75460</v>
      </c>
      <c r="AM92">
        <f>SUMIFS($Y:$Y,$W:$W,$AA92,$Z:$Z,AM$1)</f>
        <v>28606</v>
      </c>
      <c r="AN92">
        <f>SUMIFS($Y:$Y,$W:$W,$AA92,$Z:$Z,AN$1)</f>
        <v>0</v>
      </c>
      <c r="AO92">
        <f>SUM(AB92:AN92)</f>
        <v>269098</v>
      </c>
      <c r="AP92" s="8">
        <f t="shared" si="14"/>
        <v>0.45959595959595961</v>
      </c>
      <c r="AQ92" s="8">
        <f t="shared" si="15"/>
        <v>4.937889838840831E-3</v>
      </c>
      <c r="AR92" s="8">
        <f t="shared" si="20"/>
        <v>0.69226146355885454</v>
      </c>
      <c r="AS92" t="str">
        <f t="shared" si="16"/>
        <v>A</v>
      </c>
      <c r="AT92" s="8">
        <f t="shared" si="17"/>
        <v>1.6223898326470336</v>
      </c>
      <c r="AU92" t="str">
        <f t="shared" si="18"/>
        <v>Z</v>
      </c>
      <c r="AZ92" t="s">
        <v>79</v>
      </c>
      <c r="BA92" t="s">
        <v>471</v>
      </c>
      <c r="BB92" t="s">
        <v>472</v>
      </c>
      <c r="BC92">
        <v>95434</v>
      </c>
      <c r="BD92">
        <v>88933</v>
      </c>
      <c r="BE92">
        <v>0</v>
      </c>
      <c r="BF92">
        <v>0</v>
      </c>
      <c r="BG92">
        <v>0</v>
      </c>
      <c r="BH92">
        <v>46369</v>
      </c>
      <c r="BI92">
        <v>0</v>
      </c>
      <c r="BJ92">
        <v>74890</v>
      </c>
      <c r="BK92">
        <v>0</v>
      </c>
      <c r="BL92">
        <v>0</v>
      </c>
      <c r="BM92">
        <v>46862</v>
      </c>
      <c r="BN92">
        <v>0</v>
      </c>
      <c r="BO92">
        <v>0</v>
      </c>
    </row>
    <row r="93" spans="1:67" x14ac:dyDescent="0.25">
      <c r="A93" t="s">
        <v>14</v>
      </c>
      <c r="B93" t="s">
        <v>51</v>
      </c>
      <c r="C93" t="s">
        <v>108</v>
      </c>
      <c r="D93" s="7">
        <v>68111</v>
      </c>
      <c r="E93">
        <v>9</v>
      </c>
      <c r="W93" t="s">
        <v>51</v>
      </c>
      <c r="X93" s="11" t="s">
        <v>108</v>
      </c>
      <c r="Y93" s="7">
        <v>68111</v>
      </c>
      <c r="Z93" s="11" t="str">
        <f t="shared" si="19"/>
        <v>2023-10</v>
      </c>
      <c r="AA93" t="s">
        <v>202</v>
      </c>
      <c r="AB93">
        <f>SUMIFS($Y:$Y,$W:$W,$AA93,$Z:$Z,AB$1)</f>
        <v>0</v>
      </c>
      <c r="AC93">
        <f>SUMIFS($Y:$Y,$W:$W,$AA93,$Z:$Z,AC$1)</f>
        <v>0</v>
      </c>
      <c r="AD93">
        <f>SUMIFS($Y:$Y,$W:$W,$AA93,$Z:$Z,AD$1)</f>
        <v>68024</v>
      </c>
      <c r="AE93">
        <f>SUMIFS($Y:$Y,$W:$W,$AA93,$Z:$Z,AE$1)</f>
        <v>0</v>
      </c>
      <c r="AF93">
        <f>SUMIFS($Y:$Y,$W:$W,$AA93,$Z:$Z,AF$1)</f>
        <v>0</v>
      </c>
      <c r="AG93">
        <f>SUMIFS($Y:$Y,$W:$W,$AA93,$Z:$Z,AG$1)</f>
        <v>83897</v>
      </c>
      <c r="AH93">
        <f>SUMIFS($Y:$Y,$W:$W,$AA93,$Z:$Z,AH$1)</f>
        <v>0</v>
      </c>
      <c r="AI93">
        <f>SUMIFS($Y:$Y,$W:$W,$AA93,$Z:$Z,AI$1)</f>
        <v>37907</v>
      </c>
      <c r="AJ93">
        <f>SUMIFS($Y:$Y,$W:$W,$AA93,$Z:$Z,AJ$1)</f>
        <v>0</v>
      </c>
      <c r="AK93">
        <f>SUMIFS($Y:$Y,$W:$W,$AA93,$Z:$Z,AK$1)</f>
        <v>78715</v>
      </c>
      <c r="AL93">
        <f>SUMIFS($Y:$Y,$W:$W,$AA93,$Z:$Z,AL$1)</f>
        <v>0</v>
      </c>
      <c r="AM93">
        <f>SUMIFS($Y:$Y,$W:$W,$AA93,$Z:$Z,AM$1)</f>
        <v>0</v>
      </c>
      <c r="AN93">
        <f>SUMIFS($Y:$Y,$W:$W,$AA93,$Z:$Z,AN$1)</f>
        <v>0</v>
      </c>
      <c r="AO93">
        <f>SUM(AB93:AN93)</f>
        <v>268543</v>
      </c>
      <c r="AP93" s="8">
        <f t="shared" si="14"/>
        <v>0.46464646464646464</v>
      </c>
      <c r="AQ93" s="8">
        <f t="shared" si="15"/>
        <v>4.9277057094137943E-3</v>
      </c>
      <c r="AR93" s="8">
        <f t="shared" si="20"/>
        <v>0.69718916926826835</v>
      </c>
      <c r="AS93" t="str">
        <f t="shared" si="16"/>
        <v>A</v>
      </c>
      <c r="AT93" s="8">
        <f t="shared" si="17"/>
        <v>1.574471897382234</v>
      </c>
      <c r="AU93" t="str">
        <f t="shared" si="18"/>
        <v>Z</v>
      </c>
      <c r="AZ93" t="s">
        <v>191</v>
      </c>
      <c r="BA93" t="s">
        <v>471</v>
      </c>
      <c r="BB93" t="s">
        <v>472</v>
      </c>
      <c r="BC93">
        <v>0</v>
      </c>
      <c r="BD93">
        <v>0</v>
      </c>
      <c r="BE93">
        <v>81688</v>
      </c>
      <c r="BF93">
        <v>0</v>
      </c>
      <c r="BG93">
        <v>84442</v>
      </c>
      <c r="BH93">
        <v>0</v>
      </c>
      <c r="BI93">
        <v>0</v>
      </c>
      <c r="BJ93">
        <v>0</v>
      </c>
      <c r="BK93">
        <v>0</v>
      </c>
      <c r="BL93">
        <v>73805</v>
      </c>
      <c r="BM93">
        <v>0</v>
      </c>
      <c r="BN93">
        <v>0</v>
      </c>
      <c r="BO93">
        <v>0</v>
      </c>
    </row>
    <row r="94" spans="1:67" x14ac:dyDescent="0.25">
      <c r="A94" t="s">
        <v>23</v>
      </c>
      <c r="B94" t="s">
        <v>109</v>
      </c>
      <c r="C94" t="s">
        <v>108</v>
      </c>
      <c r="D94" s="7">
        <v>15831</v>
      </c>
      <c r="E94">
        <v>5</v>
      </c>
      <c r="W94" t="s">
        <v>109</v>
      </c>
      <c r="X94" s="11" t="s">
        <v>108</v>
      </c>
      <c r="Y94" s="7">
        <v>15831</v>
      </c>
      <c r="Z94" s="11" t="str">
        <f t="shared" si="19"/>
        <v>2023-10</v>
      </c>
      <c r="AA94" t="s">
        <v>21</v>
      </c>
      <c r="AB94">
        <f>SUMIFS($Y:$Y,$W:$W,$AA94,$Z:$Z,AB$1)</f>
        <v>96127</v>
      </c>
      <c r="AC94">
        <f>SUMIFS($Y:$Y,$W:$W,$AA94,$Z:$Z,AC$1)</f>
        <v>0</v>
      </c>
      <c r="AD94">
        <f>SUMIFS($Y:$Y,$W:$W,$AA94,$Z:$Z,AD$1)</f>
        <v>15568</v>
      </c>
      <c r="AE94">
        <f>SUMIFS($Y:$Y,$W:$W,$AA94,$Z:$Z,AE$1)</f>
        <v>0</v>
      </c>
      <c r="AF94">
        <f>SUMIFS($Y:$Y,$W:$W,$AA94,$Z:$Z,AF$1)</f>
        <v>0</v>
      </c>
      <c r="AG94">
        <f>SUMIFS($Y:$Y,$W:$W,$AA94,$Z:$Z,AG$1)</f>
        <v>0</v>
      </c>
      <c r="AH94">
        <f>SUMIFS($Y:$Y,$W:$W,$AA94,$Z:$Z,AH$1)</f>
        <v>0</v>
      </c>
      <c r="AI94">
        <f>SUMIFS($Y:$Y,$W:$W,$AA94,$Z:$Z,AI$1)</f>
        <v>0</v>
      </c>
      <c r="AJ94">
        <f>SUMIFS($Y:$Y,$W:$W,$AA94,$Z:$Z,AJ$1)</f>
        <v>43792</v>
      </c>
      <c r="AK94">
        <f>SUMIFS($Y:$Y,$W:$W,$AA94,$Z:$Z,AK$1)</f>
        <v>111715</v>
      </c>
      <c r="AL94">
        <f>SUMIFS($Y:$Y,$W:$W,$AA94,$Z:$Z,AL$1)</f>
        <v>0</v>
      </c>
      <c r="AM94">
        <f>SUMIFS($Y:$Y,$W:$W,$AA94,$Z:$Z,AM$1)</f>
        <v>0</v>
      </c>
      <c r="AN94">
        <f>SUMIFS($Y:$Y,$W:$W,$AA94,$Z:$Z,AN$1)</f>
        <v>0</v>
      </c>
      <c r="AO94">
        <f>SUM(AB94:AN94)</f>
        <v>267202</v>
      </c>
      <c r="AP94" s="8">
        <f t="shared" si="14"/>
        <v>0.46969696969696972</v>
      </c>
      <c r="AQ94" s="8">
        <f t="shared" si="15"/>
        <v>4.9030986507441442E-3</v>
      </c>
      <c r="AR94" s="8">
        <f t="shared" si="20"/>
        <v>0.70209226791901247</v>
      </c>
      <c r="AS94" t="str">
        <f t="shared" si="16"/>
        <v>A</v>
      </c>
      <c r="AT94" s="8">
        <f t="shared" si="17"/>
        <v>1.8298149458512538</v>
      </c>
      <c r="AU94" t="str">
        <f t="shared" si="18"/>
        <v>Z</v>
      </c>
      <c r="AZ94" t="s">
        <v>276</v>
      </c>
      <c r="BA94" t="s">
        <v>471</v>
      </c>
      <c r="BB94" t="s">
        <v>472</v>
      </c>
      <c r="BC94">
        <v>0</v>
      </c>
      <c r="BD94">
        <v>0</v>
      </c>
      <c r="BE94">
        <v>0</v>
      </c>
      <c r="BF94">
        <v>0</v>
      </c>
      <c r="BG94">
        <v>38822</v>
      </c>
      <c r="BH94">
        <v>62267</v>
      </c>
      <c r="BI94">
        <v>129635</v>
      </c>
      <c r="BJ94">
        <v>0</v>
      </c>
      <c r="BK94">
        <v>55724</v>
      </c>
      <c r="BL94">
        <v>0</v>
      </c>
      <c r="BM94">
        <v>0</v>
      </c>
      <c r="BN94">
        <v>0</v>
      </c>
      <c r="BO94">
        <v>0</v>
      </c>
    </row>
    <row r="95" spans="1:67" x14ac:dyDescent="0.25">
      <c r="A95" t="s">
        <v>5</v>
      </c>
      <c r="B95" t="s">
        <v>110</v>
      </c>
      <c r="C95" t="s">
        <v>108</v>
      </c>
      <c r="D95" s="7">
        <v>67283</v>
      </c>
      <c r="E95">
        <v>3</v>
      </c>
      <c r="W95" t="s">
        <v>110</v>
      </c>
      <c r="X95" s="11" t="s">
        <v>108</v>
      </c>
      <c r="Y95" s="7">
        <v>67283</v>
      </c>
      <c r="Z95" s="11" t="str">
        <f t="shared" si="19"/>
        <v>2023-10</v>
      </c>
      <c r="AA95" t="s">
        <v>242</v>
      </c>
      <c r="AB95">
        <f>SUMIFS($Y:$Y,$W:$W,$AA95,$Z:$Z,AB$1)</f>
        <v>0</v>
      </c>
      <c r="AC95">
        <f>SUMIFS($Y:$Y,$W:$W,$AA95,$Z:$Z,AC$1)</f>
        <v>0</v>
      </c>
      <c r="AD95">
        <f>SUMIFS($Y:$Y,$W:$W,$AA95,$Z:$Z,AD$1)</f>
        <v>0</v>
      </c>
      <c r="AE95">
        <f>SUMIFS($Y:$Y,$W:$W,$AA95,$Z:$Z,AE$1)</f>
        <v>42924</v>
      </c>
      <c r="AF95">
        <f>SUMIFS($Y:$Y,$W:$W,$AA95,$Z:$Z,AF$1)</f>
        <v>0</v>
      </c>
      <c r="AG95">
        <f>SUMIFS($Y:$Y,$W:$W,$AA95,$Z:$Z,AG$1)</f>
        <v>0</v>
      </c>
      <c r="AH95">
        <f>SUMIFS($Y:$Y,$W:$W,$AA95,$Z:$Z,AH$1)</f>
        <v>0</v>
      </c>
      <c r="AI95">
        <f>SUMIFS($Y:$Y,$W:$W,$AA95,$Z:$Z,AI$1)</f>
        <v>0</v>
      </c>
      <c r="AJ95">
        <f>SUMIFS($Y:$Y,$W:$W,$AA95,$Z:$Z,AJ$1)</f>
        <v>24417</v>
      </c>
      <c r="AK95">
        <f>SUMIFS($Y:$Y,$W:$W,$AA95,$Z:$Z,AK$1)</f>
        <v>0</v>
      </c>
      <c r="AL95">
        <f>SUMIFS($Y:$Y,$W:$W,$AA95,$Z:$Z,AL$1)</f>
        <v>113313</v>
      </c>
      <c r="AM95">
        <f>SUMIFS($Y:$Y,$W:$W,$AA95,$Z:$Z,AM$1)</f>
        <v>84158</v>
      </c>
      <c r="AN95">
        <f>SUMIFS($Y:$Y,$W:$W,$AA95,$Z:$Z,AN$1)</f>
        <v>0</v>
      </c>
      <c r="AO95">
        <f>SUM(AB95:AN95)</f>
        <v>264812</v>
      </c>
      <c r="AP95" s="8">
        <f t="shared" si="14"/>
        <v>0.47474747474747475</v>
      </c>
      <c r="AQ95" s="8">
        <f t="shared" si="15"/>
        <v>4.8592426699682577E-3</v>
      </c>
      <c r="AR95" s="8">
        <f t="shared" si="20"/>
        <v>0.70695151058898076</v>
      </c>
      <c r="AS95" t="str">
        <f t="shared" si="16"/>
        <v>A</v>
      </c>
      <c r="AT95" s="8">
        <f t="shared" si="17"/>
        <v>1.7735115812633964</v>
      </c>
      <c r="AU95" t="str">
        <f t="shared" si="18"/>
        <v>Z</v>
      </c>
      <c r="AZ95" t="s">
        <v>364</v>
      </c>
      <c r="BA95" t="s">
        <v>478</v>
      </c>
      <c r="BB95" t="s">
        <v>472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54141</v>
      </c>
      <c r="BL95">
        <v>12451</v>
      </c>
      <c r="BM95">
        <v>0</v>
      </c>
      <c r="BN95">
        <v>0</v>
      </c>
      <c r="BO95">
        <v>0</v>
      </c>
    </row>
    <row r="96" spans="1:67" x14ac:dyDescent="0.25">
      <c r="A96" t="s">
        <v>10</v>
      </c>
      <c r="B96" t="s">
        <v>111</v>
      </c>
      <c r="C96" t="s">
        <v>108</v>
      </c>
      <c r="D96" s="7">
        <v>17174</v>
      </c>
      <c r="E96">
        <v>6</v>
      </c>
      <c r="W96" t="s">
        <v>111</v>
      </c>
      <c r="X96" s="11" t="s">
        <v>108</v>
      </c>
      <c r="Y96" s="7">
        <v>17174</v>
      </c>
      <c r="Z96" s="11" t="str">
        <f t="shared" si="19"/>
        <v>2023-10</v>
      </c>
      <c r="AA96" t="s">
        <v>220</v>
      </c>
      <c r="AB96">
        <f>SUMIFS($Y:$Y,$W:$W,$AA96,$Z:$Z,AB$1)</f>
        <v>0</v>
      </c>
      <c r="AC96">
        <f>SUMIFS($Y:$Y,$W:$W,$AA96,$Z:$Z,AC$1)</f>
        <v>0</v>
      </c>
      <c r="AD96">
        <f>SUMIFS($Y:$Y,$W:$W,$AA96,$Z:$Z,AD$1)</f>
        <v>0</v>
      </c>
      <c r="AE96">
        <f>SUMIFS($Y:$Y,$W:$W,$AA96,$Z:$Z,AE$1)</f>
        <v>78223</v>
      </c>
      <c r="AF96">
        <f>SUMIFS($Y:$Y,$W:$W,$AA96,$Z:$Z,AF$1)</f>
        <v>0</v>
      </c>
      <c r="AG96">
        <f>SUMIFS($Y:$Y,$W:$W,$AA96,$Z:$Z,AG$1)</f>
        <v>51384</v>
      </c>
      <c r="AH96">
        <f>SUMIFS($Y:$Y,$W:$W,$AA96,$Z:$Z,AH$1)</f>
        <v>0</v>
      </c>
      <c r="AI96">
        <f>SUMIFS($Y:$Y,$W:$W,$AA96,$Z:$Z,AI$1)</f>
        <v>0</v>
      </c>
      <c r="AJ96">
        <f>SUMIFS($Y:$Y,$W:$W,$AA96,$Z:$Z,AJ$1)</f>
        <v>0</v>
      </c>
      <c r="AK96">
        <f>SUMIFS($Y:$Y,$W:$W,$AA96,$Z:$Z,AK$1)</f>
        <v>55672</v>
      </c>
      <c r="AL96">
        <f>SUMIFS($Y:$Y,$W:$W,$AA96,$Z:$Z,AL$1)</f>
        <v>0</v>
      </c>
      <c r="AM96">
        <f>SUMIFS($Y:$Y,$W:$W,$AA96,$Z:$Z,AM$1)</f>
        <v>79185</v>
      </c>
      <c r="AN96">
        <f>SUMIFS($Y:$Y,$W:$W,$AA96,$Z:$Z,AN$1)</f>
        <v>0</v>
      </c>
      <c r="AO96">
        <f>SUM(AB96:AN96)</f>
        <v>264464</v>
      </c>
      <c r="AP96" s="8">
        <f t="shared" si="14"/>
        <v>0.47979797979797978</v>
      </c>
      <c r="AQ96" s="8">
        <f t="shared" si="15"/>
        <v>4.8528569455707641E-3</v>
      </c>
      <c r="AR96" s="8">
        <f t="shared" si="20"/>
        <v>0.71180436753455156</v>
      </c>
      <c r="AS96" t="str">
        <f t="shared" si="16"/>
        <v>A</v>
      </c>
      <c r="AT96" s="8">
        <f t="shared" si="17"/>
        <v>1.5393522066304595</v>
      </c>
      <c r="AU96" t="str">
        <f t="shared" si="18"/>
        <v>Z</v>
      </c>
      <c r="AZ96" t="s">
        <v>162</v>
      </c>
      <c r="BA96" t="s">
        <v>474</v>
      </c>
      <c r="BB96" t="s">
        <v>472</v>
      </c>
      <c r="BC96">
        <v>0</v>
      </c>
      <c r="BD96">
        <v>0</v>
      </c>
      <c r="BE96">
        <v>46859</v>
      </c>
      <c r="BF96">
        <v>0</v>
      </c>
      <c r="BG96">
        <v>0</v>
      </c>
      <c r="BH96">
        <v>138320</v>
      </c>
      <c r="BI96">
        <v>10750</v>
      </c>
      <c r="BJ96">
        <v>0</v>
      </c>
      <c r="BK96">
        <v>22765</v>
      </c>
      <c r="BL96">
        <v>0</v>
      </c>
      <c r="BM96">
        <v>0</v>
      </c>
      <c r="BN96">
        <v>0</v>
      </c>
      <c r="BO96">
        <v>0</v>
      </c>
    </row>
    <row r="97" spans="1:67" x14ac:dyDescent="0.25">
      <c r="A97" t="s">
        <v>27</v>
      </c>
      <c r="B97" t="s">
        <v>112</v>
      </c>
      <c r="C97" t="s">
        <v>113</v>
      </c>
      <c r="D97" s="7">
        <v>93197</v>
      </c>
      <c r="E97">
        <v>3</v>
      </c>
      <c r="W97" t="s">
        <v>112</v>
      </c>
      <c r="X97" s="11" t="s">
        <v>113</v>
      </c>
      <c r="Y97" s="7">
        <v>93197</v>
      </c>
      <c r="Z97" s="11" t="str">
        <f t="shared" si="19"/>
        <v>2023-10</v>
      </c>
      <c r="AA97" t="s">
        <v>91</v>
      </c>
      <c r="AB97">
        <f>SUMIFS($Y:$Y,$W:$W,$AA97,$Z:$Z,AB$1)</f>
        <v>16470</v>
      </c>
      <c r="AC97">
        <f>SUMIFS($Y:$Y,$W:$W,$AA97,$Z:$Z,AC$1)</f>
        <v>60470</v>
      </c>
      <c r="AD97">
        <f>SUMIFS($Y:$Y,$W:$W,$AA97,$Z:$Z,AD$1)</f>
        <v>0</v>
      </c>
      <c r="AE97">
        <f>SUMIFS($Y:$Y,$W:$W,$AA97,$Z:$Z,AE$1)</f>
        <v>89831</v>
      </c>
      <c r="AF97">
        <f>SUMIFS($Y:$Y,$W:$W,$AA97,$Z:$Z,AF$1)</f>
        <v>17985</v>
      </c>
      <c r="AG97">
        <f>SUMIFS($Y:$Y,$W:$W,$AA97,$Z:$Z,AG$1)</f>
        <v>0</v>
      </c>
      <c r="AH97">
        <f>SUMIFS($Y:$Y,$W:$W,$AA97,$Z:$Z,AH$1)</f>
        <v>77642</v>
      </c>
      <c r="AI97">
        <f>SUMIFS($Y:$Y,$W:$W,$AA97,$Z:$Z,AI$1)</f>
        <v>0</v>
      </c>
      <c r="AJ97">
        <f>SUMIFS($Y:$Y,$W:$W,$AA97,$Z:$Z,AJ$1)</f>
        <v>0</v>
      </c>
      <c r="AK97">
        <f>SUMIFS($Y:$Y,$W:$W,$AA97,$Z:$Z,AK$1)</f>
        <v>0</v>
      </c>
      <c r="AL97">
        <f>SUMIFS($Y:$Y,$W:$W,$AA97,$Z:$Z,AL$1)</f>
        <v>0</v>
      </c>
      <c r="AM97">
        <f>SUMIFS($Y:$Y,$W:$W,$AA97,$Z:$Z,AM$1)</f>
        <v>0</v>
      </c>
      <c r="AN97">
        <f>SUMIFS($Y:$Y,$W:$W,$AA97,$Z:$Z,AN$1)</f>
        <v>0</v>
      </c>
      <c r="AO97">
        <f>SUM(AB97:AN97)</f>
        <v>262398</v>
      </c>
      <c r="AP97" s="8">
        <f t="shared" si="14"/>
        <v>0.48484848484848486</v>
      </c>
      <c r="AQ97" s="8">
        <f t="shared" si="15"/>
        <v>4.8149462944063366E-3</v>
      </c>
      <c r="AR97" s="8">
        <f t="shared" si="20"/>
        <v>0.71661931382895794</v>
      </c>
      <c r="AS97" t="str">
        <f t="shared" si="16"/>
        <v>A</v>
      </c>
      <c r="AT97" s="8">
        <f t="shared" si="17"/>
        <v>1.5698716096975092</v>
      </c>
      <c r="AU97" t="str">
        <f t="shared" si="18"/>
        <v>Z</v>
      </c>
      <c r="AZ97" t="s">
        <v>88</v>
      </c>
      <c r="BA97" t="s">
        <v>471</v>
      </c>
      <c r="BB97" t="s">
        <v>472</v>
      </c>
      <c r="BC97">
        <v>51776</v>
      </c>
      <c r="BD97">
        <v>129525</v>
      </c>
      <c r="BE97">
        <v>111724</v>
      </c>
      <c r="BF97">
        <v>0</v>
      </c>
      <c r="BG97">
        <v>0</v>
      </c>
      <c r="BH97">
        <v>0</v>
      </c>
      <c r="BI97">
        <v>37901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</row>
    <row r="98" spans="1:67" x14ac:dyDescent="0.25">
      <c r="A98" t="s">
        <v>17</v>
      </c>
      <c r="B98" t="s">
        <v>114</v>
      </c>
      <c r="C98" t="s">
        <v>115</v>
      </c>
      <c r="D98" s="7">
        <v>19652</v>
      </c>
      <c r="E98">
        <v>8</v>
      </c>
      <c r="W98" t="s">
        <v>114</v>
      </c>
      <c r="X98" s="11" t="s">
        <v>115</v>
      </c>
      <c r="Y98" s="7">
        <v>19652</v>
      </c>
      <c r="Z98" s="11" t="str">
        <f t="shared" si="19"/>
        <v>2023-10</v>
      </c>
      <c r="AA98" t="s">
        <v>77</v>
      </c>
      <c r="AB98">
        <f>SUMIFS($Y:$Y,$W:$W,$AA98,$Z:$Z,AB$1)</f>
        <v>53543</v>
      </c>
      <c r="AC98">
        <f>SUMIFS($Y:$Y,$W:$W,$AA98,$Z:$Z,AC$1)</f>
        <v>0</v>
      </c>
      <c r="AD98">
        <f>SUMIFS($Y:$Y,$W:$W,$AA98,$Z:$Z,AD$1)</f>
        <v>0</v>
      </c>
      <c r="AE98">
        <f>SUMIFS($Y:$Y,$W:$W,$AA98,$Z:$Z,AE$1)</f>
        <v>98688</v>
      </c>
      <c r="AF98">
        <f>SUMIFS($Y:$Y,$W:$W,$AA98,$Z:$Z,AF$1)</f>
        <v>0</v>
      </c>
      <c r="AG98">
        <f>SUMIFS($Y:$Y,$W:$W,$AA98,$Z:$Z,AG$1)</f>
        <v>0</v>
      </c>
      <c r="AH98">
        <f>SUMIFS($Y:$Y,$W:$W,$AA98,$Z:$Z,AH$1)</f>
        <v>0</v>
      </c>
      <c r="AI98">
        <f>SUMIFS($Y:$Y,$W:$W,$AA98,$Z:$Z,AI$1)</f>
        <v>41241</v>
      </c>
      <c r="AJ98">
        <f>SUMIFS($Y:$Y,$W:$W,$AA98,$Z:$Z,AJ$1)</f>
        <v>0</v>
      </c>
      <c r="AK98">
        <f>SUMIFS($Y:$Y,$W:$W,$AA98,$Z:$Z,AK$1)</f>
        <v>62698</v>
      </c>
      <c r="AL98">
        <f>SUMIFS($Y:$Y,$W:$W,$AA98,$Z:$Z,AL$1)</f>
        <v>0</v>
      </c>
      <c r="AM98">
        <f>SUMIFS($Y:$Y,$W:$W,$AA98,$Z:$Z,AM$1)</f>
        <v>0</v>
      </c>
      <c r="AN98">
        <f>SUMIFS($Y:$Y,$W:$W,$AA98,$Z:$Z,AN$1)</f>
        <v>0</v>
      </c>
      <c r="AO98">
        <f>SUM(AB98:AN98)</f>
        <v>256170</v>
      </c>
      <c r="AP98" s="8">
        <f t="shared" ref="AP98:AP129" si="21">(ROW()-1) / 198</f>
        <v>0.48989898989898989</v>
      </c>
      <c r="AQ98" s="8">
        <f t="shared" ref="AQ98:AQ129" si="22">AO98/$AO$1</f>
        <v>4.7006638474305111E-3</v>
      </c>
      <c r="AR98" s="8">
        <f t="shared" si="20"/>
        <v>0.72131997767638845</v>
      </c>
      <c r="AS98" t="str">
        <f t="shared" ref="AS98:AS129" si="23">IF(AR98&lt;80%,"A",IF(AR98&lt;95.0000001%,"B","C"))</f>
        <v>A</v>
      </c>
      <c r="AT98" s="8">
        <f t="shared" ref="AT98:AT129" si="24">_xlfn.STDEV.P(AB98:AN98)/AVERAGE(AB98:AN98)</f>
        <v>1.6164695792422481</v>
      </c>
      <c r="AU98" t="str">
        <f t="shared" ref="AU98:AU129" si="25">IF(AT98&lt;10%,"X",IF(AT98&lt;25%,"Y","Z"))</f>
        <v>Z</v>
      </c>
      <c r="AZ98" t="s">
        <v>171</v>
      </c>
      <c r="BA98" t="s">
        <v>471</v>
      </c>
      <c r="BB98" t="s">
        <v>472</v>
      </c>
      <c r="BC98">
        <v>0</v>
      </c>
      <c r="BD98">
        <v>0</v>
      </c>
      <c r="BE98">
        <v>54889</v>
      </c>
      <c r="BF98">
        <v>0</v>
      </c>
      <c r="BG98">
        <v>0</v>
      </c>
      <c r="BH98">
        <v>79426</v>
      </c>
      <c r="BI98">
        <v>0</v>
      </c>
      <c r="BJ98">
        <v>0</v>
      </c>
      <c r="BK98">
        <v>0</v>
      </c>
      <c r="BL98">
        <v>33349</v>
      </c>
      <c r="BM98">
        <v>0</v>
      </c>
      <c r="BN98">
        <v>62499</v>
      </c>
      <c r="BO98">
        <v>0</v>
      </c>
    </row>
    <row r="99" spans="1:67" x14ac:dyDescent="0.25">
      <c r="A99" t="s">
        <v>32</v>
      </c>
      <c r="B99" t="s">
        <v>116</v>
      </c>
      <c r="C99" t="s">
        <v>115</v>
      </c>
      <c r="D99" s="7">
        <v>54276</v>
      </c>
      <c r="E99">
        <v>8</v>
      </c>
      <c r="W99" t="s">
        <v>116</v>
      </c>
      <c r="X99" s="11" t="s">
        <v>115</v>
      </c>
      <c r="Y99" s="7">
        <v>54276</v>
      </c>
      <c r="Z99" s="11" t="str">
        <f t="shared" si="19"/>
        <v>2023-10</v>
      </c>
      <c r="AA99" t="s">
        <v>290</v>
      </c>
      <c r="AB99">
        <f>SUMIFS($Y:$Y,$W:$W,$AA99,$Z:$Z,AB$1)</f>
        <v>0</v>
      </c>
      <c r="AC99">
        <f>SUMIFS($Y:$Y,$W:$W,$AA99,$Z:$Z,AC$1)</f>
        <v>0</v>
      </c>
      <c r="AD99">
        <f>SUMIFS($Y:$Y,$W:$W,$AA99,$Z:$Z,AD$1)</f>
        <v>0</v>
      </c>
      <c r="AE99">
        <f>SUMIFS($Y:$Y,$W:$W,$AA99,$Z:$Z,AE$1)</f>
        <v>0</v>
      </c>
      <c r="AF99">
        <f>SUMIFS($Y:$Y,$W:$W,$AA99,$Z:$Z,AF$1)</f>
        <v>0</v>
      </c>
      <c r="AG99">
        <f>SUMIFS($Y:$Y,$W:$W,$AA99,$Z:$Z,AG$1)</f>
        <v>178057</v>
      </c>
      <c r="AH99">
        <f>SUMIFS($Y:$Y,$W:$W,$AA99,$Z:$Z,AH$1)</f>
        <v>26196</v>
      </c>
      <c r="AI99">
        <f>SUMIFS($Y:$Y,$W:$W,$AA99,$Z:$Z,AI$1)</f>
        <v>0</v>
      </c>
      <c r="AJ99">
        <f>SUMIFS($Y:$Y,$W:$W,$AA99,$Z:$Z,AJ$1)</f>
        <v>50672</v>
      </c>
      <c r="AK99">
        <f>SUMIFS($Y:$Y,$W:$W,$AA99,$Z:$Z,AK$1)</f>
        <v>0</v>
      </c>
      <c r="AL99">
        <f>SUMIFS($Y:$Y,$W:$W,$AA99,$Z:$Z,AL$1)</f>
        <v>0</v>
      </c>
      <c r="AM99">
        <f>SUMIFS($Y:$Y,$W:$W,$AA99,$Z:$Z,AM$1)</f>
        <v>0</v>
      </c>
      <c r="AN99">
        <f>SUMIFS($Y:$Y,$W:$W,$AA99,$Z:$Z,AN$1)</f>
        <v>0</v>
      </c>
      <c r="AO99">
        <f>SUM(AB99:AN99)</f>
        <v>254925</v>
      </c>
      <c r="AP99" s="8">
        <f t="shared" si="21"/>
        <v>0.49494949494949497</v>
      </c>
      <c r="AQ99" s="8">
        <f t="shared" si="22"/>
        <v>4.6778183679049967E-3</v>
      </c>
      <c r="AR99" s="8">
        <f t="shared" ref="AR99:AR130" si="26">AR98+AQ99</f>
        <v>0.72599779604429349</v>
      </c>
      <c r="AS99" t="str">
        <f t="shared" si="23"/>
        <v>A</v>
      </c>
      <c r="AT99" s="8">
        <f t="shared" si="24"/>
        <v>2.4480727834539371</v>
      </c>
      <c r="AU99" t="str">
        <f t="shared" si="25"/>
        <v>Z</v>
      </c>
      <c r="AZ99" t="s">
        <v>220</v>
      </c>
      <c r="BA99" t="s">
        <v>471</v>
      </c>
      <c r="BB99" t="s">
        <v>472</v>
      </c>
      <c r="BC99">
        <v>0</v>
      </c>
      <c r="BD99">
        <v>0</v>
      </c>
      <c r="BE99">
        <v>0</v>
      </c>
      <c r="BF99">
        <v>78223</v>
      </c>
      <c r="BG99">
        <v>0</v>
      </c>
      <c r="BH99">
        <v>51384</v>
      </c>
      <c r="BI99">
        <v>0</v>
      </c>
      <c r="BJ99">
        <v>0</v>
      </c>
      <c r="BK99">
        <v>0</v>
      </c>
      <c r="BL99">
        <v>55672</v>
      </c>
      <c r="BM99">
        <v>0</v>
      </c>
      <c r="BN99">
        <v>79185</v>
      </c>
      <c r="BO99">
        <v>0</v>
      </c>
    </row>
    <row r="100" spans="1:67" x14ac:dyDescent="0.25">
      <c r="A100" t="s">
        <v>14</v>
      </c>
      <c r="B100" t="s">
        <v>30</v>
      </c>
      <c r="C100" t="s">
        <v>117</v>
      </c>
      <c r="D100" s="7">
        <v>90127</v>
      </c>
      <c r="E100">
        <v>6</v>
      </c>
      <c r="W100" t="s">
        <v>30</v>
      </c>
      <c r="X100" s="11" t="s">
        <v>117</v>
      </c>
      <c r="Y100" s="7">
        <v>90127</v>
      </c>
      <c r="Z100" s="11" t="str">
        <f t="shared" si="19"/>
        <v>2023-10</v>
      </c>
      <c r="AA100" t="s">
        <v>65</v>
      </c>
      <c r="AB100">
        <f>SUMIFS($Y:$Y,$W:$W,$AA100,$Z:$Z,AB$1)</f>
        <v>18681</v>
      </c>
      <c r="AC100">
        <f>SUMIFS($Y:$Y,$W:$W,$AA100,$Z:$Z,AC$1)</f>
        <v>0</v>
      </c>
      <c r="AD100">
        <f>SUMIFS($Y:$Y,$W:$W,$AA100,$Z:$Z,AD$1)</f>
        <v>0</v>
      </c>
      <c r="AE100">
        <f>SUMIFS($Y:$Y,$W:$W,$AA100,$Z:$Z,AE$1)</f>
        <v>0</v>
      </c>
      <c r="AF100">
        <f>SUMIFS($Y:$Y,$W:$W,$AA100,$Z:$Z,AF$1)</f>
        <v>32417</v>
      </c>
      <c r="AG100">
        <f>SUMIFS($Y:$Y,$W:$W,$AA100,$Z:$Z,AG$1)</f>
        <v>0</v>
      </c>
      <c r="AH100">
        <f>SUMIFS($Y:$Y,$W:$W,$AA100,$Z:$Z,AH$1)</f>
        <v>0</v>
      </c>
      <c r="AI100">
        <f>SUMIFS($Y:$Y,$W:$W,$AA100,$Z:$Z,AI$1)</f>
        <v>90883</v>
      </c>
      <c r="AJ100">
        <f>SUMIFS($Y:$Y,$W:$W,$AA100,$Z:$Z,AJ$1)</f>
        <v>0</v>
      </c>
      <c r="AK100">
        <f>SUMIFS($Y:$Y,$W:$W,$AA100,$Z:$Z,AK$1)</f>
        <v>0</v>
      </c>
      <c r="AL100">
        <f>SUMIFS($Y:$Y,$W:$W,$AA100,$Z:$Z,AL$1)</f>
        <v>86954</v>
      </c>
      <c r="AM100">
        <f>SUMIFS($Y:$Y,$W:$W,$AA100,$Z:$Z,AM$1)</f>
        <v>24178</v>
      </c>
      <c r="AN100">
        <f>SUMIFS($Y:$Y,$W:$W,$AA100,$Z:$Z,AN$1)</f>
        <v>0</v>
      </c>
      <c r="AO100">
        <f>SUM(AB100:AN100)</f>
        <v>253113</v>
      </c>
      <c r="AP100" s="8">
        <f t="shared" si="21"/>
        <v>0.5</v>
      </c>
      <c r="AQ100" s="8">
        <f t="shared" si="22"/>
        <v>4.6445685615594291E-3</v>
      </c>
      <c r="AR100" s="8">
        <f t="shared" si="26"/>
        <v>0.73064236460585297</v>
      </c>
      <c r="AS100" t="str">
        <f t="shared" si="23"/>
        <v>A</v>
      </c>
      <c r="AT100" s="8">
        <f t="shared" si="24"/>
        <v>1.6164564547889217</v>
      </c>
      <c r="AU100" t="str">
        <f t="shared" si="25"/>
        <v>Z</v>
      </c>
      <c r="AZ100" t="s">
        <v>155</v>
      </c>
      <c r="BA100" t="s">
        <v>474</v>
      </c>
      <c r="BB100" t="s">
        <v>472</v>
      </c>
      <c r="BC100">
        <v>0</v>
      </c>
      <c r="BD100">
        <v>24736</v>
      </c>
      <c r="BE100">
        <v>0</v>
      </c>
      <c r="BF100">
        <v>0</v>
      </c>
      <c r="BG100">
        <v>0</v>
      </c>
      <c r="BH100">
        <v>63914</v>
      </c>
      <c r="BI100">
        <v>21362</v>
      </c>
      <c r="BJ100">
        <v>0</v>
      </c>
      <c r="BK100">
        <v>13149</v>
      </c>
      <c r="BL100">
        <v>0</v>
      </c>
      <c r="BM100">
        <v>0</v>
      </c>
      <c r="BN100">
        <v>0</v>
      </c>
      <c r="BO100">
        <v>0</v>
      </c>
    </row>
    <row r="101" spans="1:67" x14ac:dyDescent="0.25">
      <c r="A101" t="s">
        <v>32</v>
      </c>
      <c r="B101" t="s">
        <v>26</v>
      </c>
      <c r="C101" t="s">
        <v>117</v>
      </c>
      <c r="D101" s="7">
        <v>84904</v>
      </c>
      <c r="E101">
        <v>4</v>
      </c>
      <c r="W101" t="s">
        <v>26</v>
      </c>
      <c r="X101" s="11" t="s">
        <v>117</v>
      </c>
      <c r="Y101" s="7">
        <v>84904</v>
      </c>
      <c r="Z101" s="11" t="str">
        <f t="shared" si="19"/>
        <v>2023-10</v>
      </c>
      <c r="AA101" t="s">
        <v>57</v>
      </c>
      <c r="AB101">
        <f>SUMIFS($Y:$Y,$W:$W,$AA101,$Z:$Z,AB$1)</f>
        <v>129153</v>
      </c>
      <c r="AC101">
        <f>SUMIFS($Y:$Y,$W:$W,$AA101,$Z:$Z,AC$1)</f>
        <v>0</v>
      </c>
      <c r="AD101">
        <f>SUMIFS($Y:$Y,$W:$W,$AA101,$Z:$Z,AD$1)</f>
        <v>79022</v>
      </c>
      <c r="AE101">
        <f>SUMIFS($Y:$Y,$W:$W,$AA101,$Z:$Z,AE$1)</f>
        <v>0</v>
      </c>
      <c r="AF101">
        <f>SUMIFS($Y:$Y,$W:$W,$AA101,$Z:$Z,AF$1)</f>
        <v>0</v>
      </c>
      <c r="AG101">
        <f>SUMIFS($Y:$Y,$W:$W,$AA101,$Z:$Z,AG$1)</f>
        <v>0</v>
      </c>
      <c r="AH101">
        <f>SUMIFS($Y:$Y,$W:$W,$AA101,$Z:$Z,AH$1)</f>
        <v>0</v>
      </c>
      <c r="AI101">
        <f>SUMIFS($Y:$Y,$W:$W,$AA101,$Z:$Z,AI$1)</f>
        <v>0</v>
      </c>
      <c r="AJ101">
        <f>SUMIFS($Y:$Y,$W:$W,$AA101,$Z:$Z,AJ$1)</f>
        <v>41328</v>
      </c>
      <c r="AK101">
        <f>SUMIFS($Y:$Y,$W:$W,$AA101,$Z:$Z,AK$1)</f>
        <v>0</v>
      </c>
      <c r="AL101">
        <f>SUMIFS($Y:$Y,$W:$W,$AA101,$Z:$Z,AL$1)</f>
        <v>0</v>
      </c>
      <c r="AM101">
        <f>SUMIFS($Y:$Y,$W:$W,$AA101,$Z:$Z,AM$1)</f>
        <v>0</v>
      </c>
      <c r="AN101">
        <f>SUMIFS($Y:$Y,$W:$W,$AA101,$Z:$Z,AN$1)</f>
        <v>0</v>
      </c>
      <c r="AO101">
        <f>SUM(AB101:AN101)</f>
        <v>249503</v>
      </c>
      <c r="AP101" s="8">
        <f t="shared" si="21"/>
        <v>0.50505050505050508</v>
      </c>
      <c r="AQ101" s="8">
        <f t="shared" si="22"/>
        <v>4.5783258458268134E-3</v>
      </c>
      <c r="AR101" s="8">
        <f t="shared" si="26"/>
        <v>0.73522069045167981</v>
      </c>
      <c r="AS101" t="str">
        <f t="shared" si="23"/>
        <v>A</v>
      </c>
      <c r="AT101" s="8">
        <f t="shared" si="24"/>
        <v>2.0357042747894902</v>
      </c>
      <c r="AU101" t="str">
        <f t="shared" si="25"/>
        <v>Z</v>
      </c>
      <c r="AZ101" t="s">
        <v>132</v>
      </c>
      <c r="BA101" t="s">
        <v>471</v>
      </c>
      <c r="BB101" t="s">
        <v>472</v>
      </c>
      <c r="BC101">
        <v>0</v>
      </c>
      <c r="BD101">
        <v>86872</v>
      </c>
      <c r="BE101">
        <v>56274</v>
      </c>
      <c r="BF101">
        <v>0</v>
      </c>
      <c r="BG101">
        <v>0</v>
      </c>
      <c r="BH101">
        <v>0</v>
      </c>
      <c r="BI101">
        <v>172643</v>
      </c>
      <c r="BJ101">
        <v>59753</v>
      </c>
      <c r="BK101">
        <v>0</v>
      </c>
      <c r="BL101">
        <v>0</v>
      </c>
      <c r="BM101">
        <v>0</v>
      </c>
      <c r="BN101">
        <v>91906</v>
      </c>
      <c r="BO101">
        <v>0</v>
      </c>
    </row>
    <row r="102" spans="1:67" x14ac:dyDescent="0.25">
      <c r="A102" t="s">
        <v>12</v>
      </c>
      <c r="B102" t="s">
        <v>13</v>
      </c>
      <c r="C102" t="s">
        <v>117</v>
      </c>
      <c r="D102" s="7">
        <v>20745</v>
      </c>
      <c r="E102">
        <v>4</v>
      </c>
      <c r="W102" t="s">
        <v>13</v>
      </c>
      <c r="X102" s="11" t="s">
        <v>117</v>
      </c>
      <c r="Y102" s="7">
        <v>20745</v>
      </c>
      <c r="Z102" s="11" t="str">
        <f t="shared" si="19"/>
        <v>2023-10</v>
      </c>
      <c r="AA102" t="s">
        <v>143</v>
      </c>
      <c r="AB102">
        <f>SUMIFS($Y:$Y,$W:$W,$AA102,$Z:$Z,AB$1)</f>
        <v>0</v>
      </c>
      <c r="AC102">
        <f>SUMIFS($Y:$Y,$W:$W,$AA102,$Z:$Z,AC$1)</f>
        <v>13457</v>
      </c>
      <c r="AD102">
        <f>SUMIFS($Y:$Y,$W:$W,$AA102,$Z:$Z,AD$1)</f>
        <v>72266</v>
      </c>
      <c r="AE102">
        <f>SUMIFS($Y:$Y,$W:$W,$AA102,$Z:$Z,AE$1)</f>
        <v>0</v>
      </c>
      <c r="AF102">
        <f>SUMIFS($Y:$Y,$W:$W,$AA102,$Z:$Z,AF$1)</f>
        <v>0</v>
      </c>
      <c r="AG102">
        <f>SUMIFS($Y:$Y,$W:$W,$AA102,$Z:$Z,AG$1)</f>
        <v>0</v>
      </c>
      <c r="AH102">
        <f>SUMIFS($Y:$Y,$W:$W,$AA102,$Z:$Z,AH$1)</f>
        <v>0</v>
      </c>
      <c r="AI102">
        <f>SUMIFS($Y:$Y,$W:$W,$AA102,$Z:$Z,AI$1)</f>
        <v>0</v>
      </c>
      <c r="AJ102">
        <f>SUMIFS($Y:$Y,$W:$W,$AA102,$Z:$Z,AJ$1)</f>
        <v>18434</v>
      </c>
      <c r="AK102">
        <f>SUMIFS($Y:$Y,$W:$W,$AA102,$Z:$Z,AK$1)</f>
        <v>69158</v>
      </c>
      <c r="AL102">
        <f>SUMIFS($Y:$Y,$W:$W,$AA102,$Z:$Z,AL$1)</f>
        <v>75099</v>
      </c>
      <c r="AM102">
        <f>SUMIFS($Y:$Y,$W:$W,$AA102,$Z:$Z,AM$1)</f>
        <v>0</v>
      </c>
      <c r="AN102">
        <f>SUMIFS($Y:$Y,$W:$W,$AA102,$Z:$Z,AN$1)</f>
        <v>0</v>
      </c>
      <c r="AO102">
        <f>SUM(AB102:AN102)</f>
        <v>248414</v>
      </c>
      <c r="AP102" s="8">
        <f t="shared" si="21"/>
        <v>0.51010101010101006</v>
      </c>
      <c r="AQ102" s="8">
        <f t="shared" si="22"/>
        <v>4.5583429324105203E-3</v>
      </c>
      <c r="AR102" s="8">
        <f t="shared" si="26"/>
        <v>0.73977903338409035</v>
      </c>
      <c r="AS102" t="str">
        <f t="shared" si="23"/>
        <v>A</v>
      </c>
      <c r="AT102" s="8">
        <f t="shared" si="24"/>
        <v>1.5509978064045986</v>
      </c>
      <c r="AU102" t="str">
        <f t="shared" si="25"/>
        <v>Z</v>
      </c>
      <c r="AZ102" t="s">
        <v>120</v>
      </c>
      <c r="BA102" t="s">
        <v>471</v>
      </c>
      <c r="BB102" t="s">
        <v>472</v>
      </c>
      <c r="BC102">
        <v>0</v>
      </c>
      <c r="BD102">
        <v>38844</v>
      </c>
      <c r="BE102">
        <v>0</v>
      </c>
      <c r="BF102">
        <v>0</v>
      </c>
      <c r="BG102">
        <v>0</v>
      </c>
      <c r="BH102">
        <v>165674</v>
      </c>
      <c r="BI102">
        <v>174286</v>
      </c>
      <c r="BJ102">
        <v>0</v>
      </c>
      <c r="BK102">
        <v>107741</v>
      </c>
      <c r="BL102">
        <v>0</v>
      </c>
      <c r="BM102">
        <v>58559</v>
      </c>
      <c r="BN102">
        <v>0</v>
      </c>
      <c r="BO102">
        <v>0</v>
      </c>
    </row>
    <row r="103" spans="1:67" x14ac:dyDescent="0.25">
      <c r="A103" t="s">
        <v>5</v>
      </c>
      <c r="B103" t="s">
        <v>118</v>
      </c>
      <c r="C103" t="s">
        <v>117</v>
      </c>
      <c r="D103" s="7">
        <v>69272</v>
      </c>
      <c r="E103">
        <v>7</v>
      </c>
      <c r="W103" t="s">
        <v>118</v>
      </c>
      <c r="X103" s="11" t="s">
        <v>117</v>
      </c>
      <c r="Y103" s="7">
        <v>69272</v>
      </c>
      <c r="Z103" s="11" t="str">
        <f t="shared" si="19"/>
        <v>2023-10</v>
      </c>
      <c r="AA103" t="s">
        <v>279</v>
      </c>
      <c r="AB103">
        <f>SUMIFS($Y:$Y,$W:$W,$AA103,$Z:$Z,AB$1)</f>
        <v>0</v>
      </c>
      <c r="AC103">
        <f>SUMIFS($Y:$Y,$W:$W,$AA103,$Z:$Z,AC$1)</f>
        <v>0</v>
      </c>
      <c r="AD103">
        <f>SUMIFS($Y:$Y,$W:$W,$AA103,$Z:$Z,AD$1)</f>
        <v>0</v>
      </c>
      <c r="AE103">
        <f>SUMIFS($Y:$Y,$W:$W,$AA103,$Z:$Z,AE$1)</f>
        <v>0</v>
      </c>
      <c r="AF103">
        <f>SUMIFS($Y:$Y,$W:$W,$AA103,$Z:$Z,AF$1)</f>
        <v>76727</v>
      </c>
      <c r="AG103">
        <f>SUMIFS($Y:$Y,$W:$W,$AA103,$Z:$Z,AG$1)</f>
        <v>0</v>
      </c>
      <c r="AH103">
        <f>SUMIFS($Y:$Y,$W:$W,$AA103,$Z:$Z,AH$1)</f>
        <v>0</v>
      </c>
      <c r="AI103">
        <f>SUMIFS($Y:$Y,$W:$W,$AA103,$Z:$Z,AI$1)</f>
        <v>68259</v>
      </c>
      <c r="AJ103">
        <f>SUMIFS($Y:$Y,$W:$W,$AA103,$Z:$Z,AJ$1)</f>
        <v>67515</v>
      </c>
      <c r="AK103">
        <f>SUMIFS($Y:$Y,$W:$W,$AA103,$Z:$Z,AK$1)</f>
        <v>0</v>
      </c>
      <c r="AL103">
        <f>SUMIFS($Y:$Y,$W:$W,$AA103,$Z:$Z,AL$1)</f>
        <v>0</v>
      </c>
      <c r="AM103">
        <f>SUMIFS($Y:$Y,$W:$W,$AA103,$Z:$Z,AM$1)</f>
        <v>30425</v>
      </c>
      <c r="AN103">
        <f>SUMIFS($Y:$Y,$W:$W,$AA103,$Z:$Z,AN$1)</f>
        <v>0</v>
      </c>
      <c r="AO103">
        <f>SUM(AB103:AN103)</f>
        <v>242926</v>
      </c>
      <c r="AP103" s="8">
        <f t="shared" si="21"/>
        <v>0.51515151515151514</v>
      </c>
      <c r="AQ103" s="8">
        <f t="shared" si="22"/>
        <v>4.4576393246707436E-3</v>
      </c>
      <c r="AR103" s="8">
        <f t="shared" si="26"/>
        <v>0.74423667270876104</v>
      </c>
      <c r="AS103" t="str">
        <f t="shared" si="23"/>
        <v>A</v>
      </c>
      <c r="AT103" s="8">
        <f t="shared" si="24"/>
        <v>1.5910106553532772</v>
      </c>
      <c r="AU103" t="str">
        <f t="shared" si="25"/>
        <v>Z</v>
      </c>
      <c r="AZ103" t="s">
        <v>143</v>
      </c>
      <c r="BA103" t="s">
        <v>471</v>
      </c>
      <c r="BB103" t="s">
        <v>472</v>
      </c>
      <c r="BC103">
        <v>0</v>
      </c>
      <c r="BD103">
        <v>13457</v>
      </c>
      <c r="BE103">
        <v>72266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18434</v>
      </c>
      <c r="BL103">
        <v>69158</v>
      </c>
      <c r="BM103">
        <v>75099</v>
      </c>
      <c r="BN103">
        <v>0</v>
      </c>
      <c r="BO103">
        <v>0</v>
      </c>
    </row>
    <row r="104" spans="1:67" x14ac:dyDescent="0.25">
      <c r="A104" t="s">
        <v>17</v>
      </c>
      <c r="B104" t="s">
        <v>30</v>
      </c>
      <c r="C104" t="s">
        <v>117</v>
      </c>
      <c r="D104" s="7">
        <v>82341</v>
      </c>
      <c r="E104">
        <v>9</v>
      </c>
      <c r="W104" t="s">
        <v>30</v>
      </c>
      <c r="X104" s="11" t="s">
        <v>117</v>
      </c>
      <c r="Y104" s="7">
        <v>82341</v>
      </c>
      <c r="Z104" s="11" t="str">
        <f t="shared" si="19"/>
        <v>2023-10</v>
      </c>
      <c r="AA104" t="s">
        <v>191</v>
      </c>
      <c r="AB104">
        <f>SUMIFS($Y:$Y,$W:$W,$AA104,$Z:$Z,AB$1)</f>
        <v>0</v>
      </c>
      <c r="AC104">
        <f>SUMIFS($Y:$Y,$W:$W,$AA104,$Z:$Z,AC$1)</f>
        <v>0</v>
      </c>
      <c r="AD104">
        <f>SUMIFS($Y:$Y,$W:$W,$AA104,$Z:$Z,AD$1)</f>
        <v>81688</v>
      </c>
      <c r="AE104">
        <f>SUMIFS($Y:$Y,$W:$W,$AA104,$Z:$Z,AE$1)</f>
        <v>0</v>
      </c>
      <c r="AF104">
        <f>SUMIFS($Y:$Y,$W:$W,$AA104,$Z:$Z,AF$1)</f>
        <v>84442</v>
      </c>
      <c r="AG104">
        <f>SUMIFS($Y:$Y,$W:$W,$AA104,$Z:$Z,AG$1)</f>
        <v>0</v>
      </c>
      <c r="AH104">
        <f>SUMIFS($Y:$Y,$W:$W,$AA104,$Z:$Z,AH$1)</f>
        <v>0</v>
      </c>
      <c r="AI104">
        <f>SUMIFS($Y:$Y,$W:$W,$AA104,$Z:$Z,AI$1)</f>
        <v>0</v>
      </c>
      <c r="AJ104">
        <f>SUMIFS($Y:$Y,$W:$W,$AA104,$Z:$Z,AJ$1)</f>
        <v>0</v>
      </c>
      <c r="AK104">
        <f>SUMIFS($Y:$Y,$W:$W,$AA104,$Z:$Z,AK$1)</f>
        <v>73805</v>
      </c>
      <c r="AL104">
        <f>SUMIFS($Y:$Y,$W:$W,$AA104,$Z:$Z,AL$1)</f>
        <v>0</v>
      </c>
      <c r="AM104">
        <f>SUMIFS($Y:$Y,$W:$W,$AA104,$Z:$Z,AM$1)</f>
        <v>0</v>
      </c>
      <c r="AN104">
        <f>SUMIFS($Y:$Y,$W:$W,$AA104,$Z:$Z,AN$1)</f>
        <v>0</v>
      </c>
      <c r="AO104">
        <f>SUM(AB104:AN104)</f>
        <v>239935</v>
      </c>
      <c r="AP104" s="8">
        <f t="shared" si="21"/>
        <v>0.52020202020202022</v>
      </c>
      <c r="AQ104" s="8">
        <f t="shared" si="22"/>
        <v>4.4027551244612551E-3</v>
      </c>
      <c r="AR104" s="8">
        <f t="shared" si="26"/>
        <v>0.74863942783322224</v>
      </c>
      <c r="AS104" t="str">
        <f t="shared" si="23"/>
        <v>A</v>
      </c>
      <c r="AT104" s="8">
        <f t="shared" si="24"/>
        <v>1.8295077255892633</v>
      </c>
      <c r="AU104" t="str">
        <f t="shared" si="25"/>
        <v>Z</v>
      </c>
      <c r="AZ104" t="s">
        <v>127</v>
      </c>
      <c r="BA104" t="s">
        <v>471</v>
      </c>
      <c r="BB104" t="s">
        <v>472</v>
      </c>
      <c r="BC104">
        <v>0</v>
      </c>
      <c r="BD104">
        <v>29487</v>
      </c>
      <c r="BE104">
        <v>0</v>
      </c>
      <c r="BF104">
        <v>73882</v>
      </c>
      <c r="BG104">
        <v>0</v>
      </c>
      <c r="BH104">
        <v>0</v>
      </c>
      <c r="BI104">
        <v>0</v>
      </c>
      <c r="BJ104">
        <v>52188</v>
      </c>
      <c r="BK104">
        <v>0</v>
      </c>
      <c r="BL104">
        <v>0</v>
      </c>
      <c r="BM104">
        <v>43197</v>
      </c>
      <c r="BN104">
        <v>93523</v>
      </c>
      <c r="BO104">
        <v>0</v>
      </c>
    </row>
    <row r="105" spans="1:67" x14ac:dyDescent="0.25">
      <c r="A105" t="s">
        <v>27</v>
      </c>
      <c r="B105" t="s">
        <v>75</v>
      </c>
      <c r="C105" t="s">
        <v>117</v>
      </c>
      <c r="D105" s="7">
        <v>85183</v>
      </c>
      <c r="E105">
        <v>2</v>
      </c>
      <c r="W105" t="s">
        <v>75</v>
      </c>
      <c r="X105" s="11" t="s">
        <v>117</v>
      </c>
      <c r="Y105" s="7">
        <v>85183</v>
      </c>
      <c r="Z105" s="11" t="str">
        <f t="shared" si="19"/>
        <v>2023-10</v>
      </c>
      <c r="AA105" t="s">
        <v>46</v>
      </c>
      <c r="AB105">
        <f>SUMIFS($Y:$Y,$W:$W,$AA105,$Z:$Z,AB$1)</f>
        <v>66960</v>
      </c>
      <c r="AC105">
        <f>SUMIFS($Y:$Y,$W:$W,$AA105,$Z:$Z,AC$1)</f>
        <v>39421</v>
      </c>
      <c r="AD105">
        <f>SUMIFS($Y:$Y,$W:$W,$AA105,$Z:$Z,AD$1)</f>
        <v>0</v>
      </c>
      <c r="AE105">
        <f>SUMIFS($Y:$Y,$W:$W,$AA105,$Z:$Z,AE$1)</f>
        <v>0</v>
      </c>
      <c r="AF105">
        <f>SUMIFS($Y:$Y,$W:$W,$AA105,$Z:$Z,AF$1)</f>
        <v>0</v>
      </c>
      <c r="AG105">
        <f>SUMIFS($Y:$Y,$W:$W,$AA105,$Z:$Z,AG$1)</f>
        <v>0</v>
      </c>
      <c r="AH105">
        <f>SUMIFS($Y:$Y,$W:$W,$AA105,$Z:$Z,AH$1)</f>
        <v>34665</v>
      </c>
      <c r="AI105">
        <f>SUMIFS($Y:$Y,$W:$W,$AA105,$Z:$Z,AI$1)</f>
        <v>17134</v>
      </c>
      <c r="AJ105">
        <f>SUMIFS($Y:$Y,$W:$W,$AA105,$Z:$Z,AJ$1)</f>
        <v>81445</v>
      </c>
      <c r="AK105">
        <f>SUMIFS($Y:$Y,$W:$W,$AA105,$Z:$Z,AK$1)</f>
        <v>0</v>
      </c>
      <c r="AL105">
        <f>SUMIFS($Y:$Y,$W:$W,$AA105,$Z:$Z,AL$1)</f>
        <v>0</v>
      </c>
      <c r="AM105">
        <f>SUMIFS($Y:$Y,$W:$W,$AA105,$Z:$Z,AM$1)</f>
        <v>0</v>
      </c>
      <c r="AN105">
        <f>SUMIFS($Y:$Y,$W:$W,$AA105,$Z:$Z,AN$1)</f>
        <v>0</v>
      </c>
      <c r="AO105">
        <f>SUM(AB105:AN105)</f>
        <v>239625</v>
      </c>
      <c r="AP105" s="8">
        <f t="shared" si="21"/>
        <v>0.5252525252525253</v>
      </c>
      <c r="AQ105" s="8">
        <f t="shared" si="22"/>
        <v>4.3970666918083153E-3</v>
      </c>
      <c r="AR105" s="8">
        <f t="shared" si="26"/>
        <v>0.75303649452503052</v>
      </c>
      <c r="AS105" t="str">
        <f t="shared" si="23"/>
        <v>A</v>
      </c>
      <c r="AT105" s="8">
        <f t="shared" si="24"/>
        <v>1.4856793617777562</v>
      </c>
      <c r="AU105" t="str">
        <f t="shared" si="25"/>
        <v>Z</v>
      </c>
      <c r="AZ105" t="s">
        <v>76</v>
      </c>
      <c r="BA105" t="s">
        <v>471</v>
      </c>
      <c r="BB105" t="s">
        <v>472</v>
      </c>
      <c r="BC105">
        <v>146236</v>
      </c>
      <c r="BD105">
        <v>0</v>
      </c>
      <c r="BE105">
        <v>0</v>
      </c>
      <c r="BF105">
        <v>0</v>
      </c>
      <c r="BG105">
        <v>0</v>
      </c>
      <c r="BH105">
        <v>54046</v>
      </c>
      <c r="BI105">
        <v>0</v>
      </c>
      <c r="BJ105">
        <v>30781</v>
      </c>
      <c r="BK105">
        <v>0</v>
      </c>
      <c r="BL105">
        <v>0</v>
      </c>
      <c r="BM105">
        <v>0</v>
      </c>
      <c r="BN105">
        <v>0</v>
      </c>
      <c r="BO105">
        <v>0</v>
      </c>
    </row>
    <row r="106" spans="1:67" x14ac:dyDescent="0.25">
      <c r="A106" t="s">
        <v>5</v>
      </c>
      <c r="B106" t="s">
        <v>11</v>
      </c>
      <c r="C106" t="s">
        <v>117</v>
      </c>
      <c r="D106" s="7">
        <v>55064</v>
      </c>
      <c r="E106">
        <v>5</v>
      </c>
      <c r="W106" t="s">
        <v>11</v>
      </c>
      <c r="X106" s="11" t="s">
        <v>117</v>
      </c>
      <c r="Y106" s="7">
        <v>55064</v>
      </c>
      <c r="Z106" s="11" t="str">
        <f t="shared" si="19"/>
        <v>2023-10</v>
      </c>
      <c r="AA106" t="s">
        <v>74</v>
      </c>
      <c r="AB106">
        <f>SUMIFS($Y:$Y,$W:$W,$AA106,$Z:$Z,AB$1)</f>
        <v>71018</v>
      </c>
      <c r="AC106">
        <f>SUMIFS($Y:$Y,$W:$W,$AA106,$Z:$Z,AC$1)</f>
        <v>0</v>
      </c>
      <c r="AD106">
        <f>SUMIFS($Y:$Y,$W:$W,$AA106,$Z:$Z,AD$1)</f>
        <v>62332</v>
      </c>
      <c r="AE106">
        <f>SUMIFS($Y:$Y,$W:$W,$AA106,$Z:$Z,AE$1)</f>
        <v>68065</v>
      </c>
      <c r="AF106">
        <f>SUMIFS($Y:$Y,$W:$W,$AA106,$Z:$Z,AF$1)</f>
        <v>36532</v>
      </c>
      <c r="AG106">
        <f>SUMIFS($Y:$Y,$W:$W,$AA106,$Z:$Z,AG$1)</f>
        <v>0</v>
      </c>
      <c r="AH106">
        <f>SUMIFS($Y:$Y,$W:$W,$AA106,$Z:$Z,AH$1)</f>
        <v>0</v>
      </c>
      <c r="AI106">
        <f>SUMIFS($Y:$Y,$W:$W,$AA106,$Z:$Z,AI$1)</f>
        <v>0</v>
      </c>
      <c r="AJ106">
        <f>SUMIFS($Y:$Y,$W:$W,$AA106,$Z:$Z,AJ$1)</f>
        <v>0</v>
      </c>
      <c r="AK106">
        <f>SUMIFS($Y:$Y,$W:$W,$AA106,$Z:$Z,AK$1)</f>
        <v>0</v>
      </c>
      <c r="AL106">
        <f>SUMIFS($Y:$Y,$W:$W,$AA106,$Z:$Z,AL$1)</f>
        <v>0</v>
      </c>
      <c r="AM106">
        <f>SUMIFS($Y:$Y,$W:$W,$AA106,$Z:$Z,AM$1)</f>
        <v>0</v>
      </c>
      <c r="AN106">
        <f>SUMIFS($Y:$Y,$W:$W,$AA106,$Z:$Z,AN$1)</f>
        <v>0</v>
      </c>
      <c r="AO106">
        <f>SUM(AB106:AN106)</f>
        <v>237947</v>
      </c>
      <c r="AP106" s="8">
        <f t="shared" si="21"/>
        <v>0.53030303030303028</v>
      </c>
      <c r="AQ106" s="8">
        <f t="shared" si="22"/>
        <v>4.3662757563514374E-3</v>
      </c>
      <c r="AR106" s="8">
        <f t="shared" si="26"/>
        <v>0.75740277028138192</v>
      </c>
      <c r="AS106" t="str">
        <f t="shared" si="23"/>
        <v>A</v>
      </c>
      <c r="AT106" s="8">
        <f t="shared" si="24"/>
        <v>1.5557214615915533</v>
      </c>
      <c r="AU106" t="str">
        <f t="shared" si="25"/>
        <v>Z</v>
      </c>
      <c r="AZ106" t="s">
        <v>124</v>
      </c>
      <c r="BA106" t="s">
        <v>474</v>
      </c>
      <c r="BB106" t="s">
        <v>472</v>
      </c>
      <c r="BC106">
        <v>0</v>
      </c>
      <c r="BD106">
        <v>43653</v>
      </c>
      <c r="BE106">
        <v>0</v>
      </c>
      <c r="BF106">
        <v>0</v>
      </c>
      <c r="BG106">
        <v>0</v>
      </c>
      <c r="BH106">
        <v>47010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40198</v>
      </c>
      <c r="BO106">
        <v>0</v>
      </c>
    </row>
    <row r="107" spans="1:67" x14ac:dyDescent="0.25">
      <c r="A107" t="s">
        <v>8</v>
      </c>
      <c r="B107" t="s">
        <v>90</v>
      </c>
      <c r="C107" t="s">
        <v>117</v>
      </c>
      <c r="D107" s="7">
        <v>70450</v>
      </c>
      <c r="E107">
        <v>7</v>
      </c>
      <c r="W107" t="s">
        <v>90</v>
      </c>
      <c r="X107" s="11" t="s">
        <v>117</v>
      </c>
      <c r="Y107" s="7">
        <v>70450</v>
      </c>
      <c r="Z107" s="11" t="str">
        <f t="shared" si="19"/>
        <v>2023-10</v>
      </c>
      <c r="AA107" t="s">
        <v>37</v>
      </c>
      <c r="AB107">
        <f>SUMIFS($Y:$Y,$W:$W,$AA107,$Z:$Z,AB$1)</f>
        <v>13331</v>
      </c>
      <c r="AC107">
        <f>SUMIFS($Y:$Y,$W:$W,$AA107,$Z:$Z,AC$1)</f>
        <v>98753</v>
      </c>
      <c r="AD107">
        <f>SUMIFS($Y:$Y,$W:$W,$AA107,$Z:$Z,AD$1)</f>
        <v>36866</v>
      </c>
      <c r="AE107">
        <f>SUMIFS($Y:$Y,$W:$W,$AA107,$Z:$Z,AE$1)</f>
        <v>0</v>
      </c>
      <c r="AF107">
        <f>SUMIFS($Y:$Y,$W:$W,$AA107,$Z:$Z,AF$1)</f>
        <v>0</v>
      </c>
      <c r="AG107">
        <f>SUMIFS($Y:$Y,$W:$W,$AA107,$Z:$Z,AG$1)</f>
        <v>0</v>
      </c>
      <c r="AH107">
        <f>SUMIFS($Y:$Y,$W:$W,$AA107,$Z:$Z,AH$1)</f>
        <v>0</v>
      </c>
      <c r="AI107">
        <f>SUMIFS($Y:$Y,$W:$W,$AA107,$Z:$Z,AI$1)</f>
        <v>61769</v>
      </c>
      <c r="AJ107">
        <f>SUMIFS($Y:$Y,$W:$W,$AA107,$Z:$Z,AJ$1)</f>
        <v>0</v>
      </c>
      <c r="AK107">
        <f>SUMIFS($Y:$Y,$W:$W,$AA107,$Z:$Z,AK$1)</f>
        <v>0</v>
      </c>
      <c r="AL107">
        <f>SUMIFS($Y:$Y,$W:$W,$AA107,$Z:$Z,AL$1)</f>
        <v>26732</v>
      </c>
      <c r="AM107">
        <f>SUMIFS($Y:$Y,$W:$W,$AA107,$Z:$Z,AM$1)</f>
        <v>0</v>
      </c>
      <c r="AN107">
        <f>SUMIFS($Y:$Y,$W:$W,$AA107,$Z:$Z,AN$1)</f>
        <v>0</v>
      </c>
      <c r="AO107">
        <f>SUM(AB107:AN107)</f>
        <v>237451</v>
      </c>
      <c r="AP107" s="8">
        <f t="shared" si="21"/>
        <v>0.53535353535353536</v>
      </c>
      <c r="AQ107" s="8">
        <f t="shared" si="22"/>
        <v>4.3571742641067349E-3</v>
      </c>
      <c r="AR107" s="8">
        <f t="shared" si="26"/>
        <v>0.76175994454548868</v>
      </c>
      <c r="AS107" t="str">
        <f t="shared" si="23"/>
        <v>A</v>
      </c>
      <c r="AT107" s="8">
        <f t="shared" si="24"/>
        <v>1.6270587019727465</v>
      </c>
      <c r="AU107" t="str">
        <f t="shared" si="25"/>
        <v>Z</v>
      </c>
      <c r="AZ107" t="s">
        <v>100</v>
      </c>
      <c r="BA107" t="s">
        <v>478</v>
      </c>
      <c r="BB107" t="s">
        <v>472</v>
      </c>
      <c r="BC107">
        <v>41208</v>
      </c>
      <c r="BD107">
        <v>0</v>
      </c>
      <c r="BE107">
        <v>24896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51783</v>
      </c>
      <c r="BO107">
        <v>0</v>
      </c>
    </row>
    <row r="108" spans="1:67" x14ac:dyDescent="0.25">
      <c r="A108" t="s">
        <v>32</v>
      </c>
      <c r="B108" t="s">
        <v>45</v>
      </c>
      <c r="C108" t="s">
        <v>117</v>
      </c>
      <c r="D108" s="7">
        <v>84544</v>
      </c>
      <c r="E108">
        <v>7</v>
      </c>
      <c r="W108" t="s">
        <v>45</v>
      </c>
      <c r="X108" s="11" t="s">
        <v>117</v>
      </c>
      <c r="Y108" s="7">
        <v>84544</v>
      </c>
      <c r="Z108" s="11" t="str">
        <f t="shared" si="19"/>
        <v>2023-10</v>
      </c>
      <c r="AA108" t="s">
        <v>182</v>
      </c>
      <c r="AB108">
        <f>SUMIFS($Y:$Y,$W:$W,$AA108,$Z:$Z,AB$1)</f>
        <v>0</v>
      </c>
      <c r="AC108">
        <f>SUMIFS($Y:$Y,$W:$W,$AA108,$Z:$Z,AC$1)</f>
        <v>0</v>
      </c>
      <c r="AD108">
        <f>SUMIFS($Y:$Y,$W:$W,$AA108,$Z:$Z,AD$1)</f>
        <v>65278</v>
      </c>
      <c r="AE108">
        <f>SUMIFS($Y:$Y,$W:$W,$AA108,$Z:$Z,AE$1)</f>
        <v>14230</v>
      </c>
      <c r="AF108">
        <f>SUMIFS($Y:$Y,$W:$W,$AA108,$Z:$Z,AF$1)</f>
        <v>0</v>
      </c>
      <c r="AG108">
        <f>SUMIFS($Y:$Y,$W:$W,$AA108,$Z:$Z,AG$1)</f>
        <v>88601</v>
      </c>
      <c r="AH108">
        <f>SUMIFS($Y:$Y,$W:$W,$AA108,$Z:$Z,AH$1)</f>
        <v>48100</v>
      </c>
      <c r="AI108">
        <f>SUMIFS($Y:$Y,$W:$W,$AA108,$Z:$Z,AI$1)</f>
        <v>20996</v>
      </c>
      <c r="AJ108">
        <f>SUMIFS($Y:$Y,$W:$W,$AA108,$Z:$Z,AJ$1)</f>
        <v>0</v>
      </c>
      <c r="AK108">
        <f>SUMIFS($Y:$Y,$W:$W,$AA108,$Z:$Z,AK$1)</f>
        <v>0</v>
      </c>
      <c r="AL108">
        <f>SUMIFS($Y:$Y,$W:$W,$AA108,$Z:$Z,AL$1)</f>
        <v>0</v>
      </c>
      <c r="AM108">
        <f>SUMIFS($Y:$Y,$W:$W,$AA108,$Z:$Z,AM$1)</f>
        <v>0</v>
      </c>
      <c r="AN108">
        <f>SUMIFS($Y:$Y,$W:$W,$AA108,$Z:$Z,AN$1)</f>
        <v>0</v>
      </c>
      <c r="AO108">
        <f>SUM(AB108:AN108)</f>
        <v>237205</v>
      </c>
      <c r="AP108" s="8">
        <f t="shared" si="21"/>
        <v>0.54040404040404044</v>
      </c>
      <c r="AQ108" s="8">
        <f t="shared" si="22"/>
        <v>4.3526602175498865E-3</v>
      </c>
      <c r="AR108" s="8">
        <f t="shared" si="26"/>
        <v>0.76611260476303855</v>
      </c>
      <c r="AS108" t="str">
        <f t="shared" si="23"/>
        <v>A</v>
      </c>
      <c r="AT108" s="8">
        <f t="shared" si="24"/>
        <v>1.5752605198474348</v>
      </c>
      <c r="AU108" t="str">
        <f t="shared" si="25"/>
        <v>Z</v>
      </c>
      <c r="AZ108" t="s">
        <v>294</v>
      </c>
      <c r="BA108" t="s">
        <v>478</v>
      </c>
      <c r="BB108" t="s">
        <v>472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11526</v>
      </c>
      <c r="BI108">
        <v>45832</v>
      </c>
      <c r="BJ108">
        <v>0</v>
      </c>
      <c r="BK108">
        <v>0</v>
      </c>
      <c r="BL108">
        <v>38535</v>
      </c>
      <c r="BM108">
        <v>0</v>
      </c>
      <c r="BN108">
        <v>0</v>
      </c>
      <c r="BO108">
        <v>0</v>
      </c>
    </row>
    <row r="109" spans="1:67" x14ac:dyDescent="0.25">
      <c r="A109" t="s">
        <v>20</v>
      </c>
      <c r="B109" t="s">
        <v>119</v>
      </c>
      <c r="C109" t="s">
        <v>117</v>
      </c>
      <c r="D109" s="7">
        <v>76055</v>
      </c>
      <c r="E109">
        <v>7</v>
      </c>
      <c r="W109" t="s">
        <v>119</v>
      </c>
      <c r="X109" s="11" t="s">
        <v>117</v>
      </c>
      <c r="Y109" s="7">
        <v>76055</v>
      </c>
      <c r="Z109" s="11" t="str">
        <f t="shared" si="19"/>
        <v>2023-10</v>
      </c>
      <c r="AA109" t="s">
        <v>92</v>
      </c>
      <c r="AB109">
        <f>SUMIFS($Y:$Y,$W:$W,$AA109,$Z:$Z,AB$1)</f>
        <v>63968</v>
      </c>
      <c r="AC109">
        <f>SUMIFS($Y:$Y,$W:$W,$AA109,$Z:$Z,AC$1)</f>
        <v>16046</v>
      </c>
      <c r="AD109">
        <f>SUMIFS($Y:$Y,$W:$W,$AA109,$Z:$Z,AD$1)</f>
        <v>0</v>
      </c>
      <c r="AE109">
        <f>SUMIFS($Y:$Y,$W:$W,$AA109,$Z:$Z,AE$1)</f>
        <v>0</v>
      </c>
      <c r="AF109">
        <f>SUMIFS($Y:$Y,$W:$W,$AA109,$Z:$Z,AF$1)</f>
        <v>0</v>
      </c>
      <c r="AG109">
        <f>SUMIFS($Y:$Y,$W:$W,$AA109,$Z:$Z,AG$1)</f>
        <v>0</v>
      </c>
      <c r="AH109">
        <f>SUMIFS($Y:$Y,$W:$W,$AA109,$Z:$Z,AH$1)</f>
        <v>0</v>
      </c>
      <c r="AI109">
        <f>SUMIFS($Y:$Y,$W:$W,$AA109,$Z:$Z,AI$1)</f>
        <v>0</v>
      </c>
      <c r="AJ109">
        <f>SUMIFS($Y:$Y,$W:$W,$AA109,$Z:$Z,AJ$1)</f>
        <v>96841</v>
      </c>
      <c r="AK109">
        <f>SUMIFS($Y:$Y,$W:$W,$AA109,$Z:$Z,AK$1)</f>
        <v>0</v>
      </c>
      <c r="AL109">
        <f>SUMIFS($Y:$Y,$W:$W,$AA109,$Z:$Z,AL$1)</f>
        <v>12354</v>
      </c>
      <c r="AM109">
        <f>SUMIFS($Y:$Y,$W:$W,$AA109,$Z:$Z,AM$1)</f>
        <v>45508</v>
      </c>
      <c r="AN109">
        <f>SUMIFS($Y:$Y,$W:$W,$AA109,$Z:$Z,AN$1)</f>
        <v>0</v>
      </c>
      <c r="AO109">
        <f>SUM(AB109:AN109)</f>
        <v>234717</v>
      </c>
      <c r="AP109" s="8">
        <f t="shared" si="21"/>
        <v>0.54545454545454541</v>
      </c>
      <c r="AQ109" s="8">
        <f t="shared" si="22"/>
        <v>4.3070059580643605E-3</v>
      </c>
      <c r="AR109" s="8">
        <f t="shared" si="26"/>
        <v>0.77041961072110288</v>
      </c>
      <c r="AS109" t="str">
        <f t="shared" si="23"/>
        <v>A</v>
      </c>
      <c r="AT109" s="8">
        <f t="shared" si="24"/>
        <v>1.6625200045576036</v>
      </c>
      <c r="AU109" t="str">
        <f t="shared" si="25"/>
        <v>Z</v>
      </c>
      <c r="AZ109" t="s">
        <v>75</v>
      </c>
      <c r="BA109" t="s">
        <v>474</v>
      </c>
      <c r="BB109" t="s">
        <v>472</v>
      </c>
      <c r="BC109">
        <v>29443</v>
      </c>
      <c r="BD109">
        <v>85183</v>
      </c>
      <c r="BE109">
        <v>0</v>
      </c>
      <c r="BF109">
        <v>0</v>
      </c>
      <c r="BG109">
        <v>0</v>
      </c>
      <c r="BH109">
        <v>0</v>
      </c>
      <c r="BI109">
        <v>43477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</row>
    <row r="110" spans="1:67" x14ac:dyDescent="0.25">
      <c r="A110" t="s">
        <v>23</v>
      </c>
      <c r="B110" t="s">
        <v>120</v>
      </c>
      <c r="C110" t="s">
        <v>117</v>
      </c>
      <c r="D110" s="7">
        <v>38844</v>
      </c>
      <c r="E110">
        <v>10</v>
      </c>
      <c r="W110" t="s">
        <v>120</v>
      </c>
      <c r="X110" s="11" t="s">
        <v>117</v>
      </c>
      <c r="Y110" s="7">
        <v>38844</v>
      </c>
      <c r="Z110" s="11" t="str">
        <f t="shared" si="19"/>
        <v>2023-10</v>
      </c>
      <c r="AA110" t="s">
        <v>244</v>
      </c>
      <c r="AB110">
        <f>SUMIFS($Y:$Y,$W:$W,$AA110,$Z:$Z,AB$1)</f>
        <v>0</v>
      </c>
      <c r="AC110">
        <f>SUMIFS($Y:$Y,$W:$W,$AA110,$Z:$Z,AC$1)</f>
        <v>0</v>
      </c>
      <c r="AD110">
        <f>SUMIFS($Y:$Y,$W:$W,$AA110,$Z:$Z,AD$1)</f>
        <v>0</v>
      </c>
      <c r="AE110">
        <f>SUMIFS($Y:$Y,$W:$W,$AA110,$Z:$Z,AE$1)</f>
        <v>73979</v>
      </c>
      <c r="AF110">
        <f>SUMIFS($Y:$Y,$W:$W,$AA110,$Z:$Z,AF$1)</f>
        <v>20342</v>
      </c>
      <c r="AG110">
        <f>SUMIFS($Y:$Y,$W:$W,$AA110,$Z:$Z,AG$1)</f>
        <v>138826</v>
      </c>
      <c r="AH110">
        <f>SUMIFS($Y:$Y,$W:$W,$AA110,$Z:$Z,AH$1)</f>
        <v>0</v>
      </c>
      <c r="AI110">
        <f>SUMIFS($Y:$Y,$W:$W,$AA110,$Z:$Z,AI$1)</f>
        <v>0</v>
      </c>
      <c r="AJ110">
        <f>SUMIFS($Y:$Y,$W:$W,$AA110,$Z:$Z,AJ$1)</f>
        <v>0</v>
      </c>
      <c r="AK110">
        <f>SUMIFS($Y:$Y,$W:$W,$AA110,$Z:$Z,AK$1)</f>
        <v>0</v>
      </c>
      <c r="AL110">
        <f>SUMIFS($Y:$Y,$W:$W,$AA110,$Z:$Z,AL$1)</f>
        <v>0</v>
      </c>
      <c r="AM110">
        <f>SUMIFS($Y:$Y,$W:$W,$AA110,$Z:$Z,AM$1)</f>
        <v>0</v>
      </c>
      <c r="AN110">
        <f>SUMIFS($Y:$Y,$W:$W,$AA110,$Z:$Z,AN$1)</f>
        <v>0</v>
      </c>
      <c r="AO110">
        <f>SUM(AB110:AN110)</f>
        <v>233147</v>
      </c>
      <c r="AP110" s="8">
        <f t="shared" si="21"/>
        <v>0.5505050505050505</v>
      </c>
      <c r="AQ110" s="8">
        <f t="shared" si="22"/>
        <v>4.2781967991446356E-3</v>
      </c>
      <c r="AR110" s="8">
        <f t="shared" si="26"/>
        <v>0.77469780752024753</v>
      </c>
      <c r="AS110" t="str">
        <f t="shared" si="23"/>
        <v>A</v>
      </c>
      <c r="AT110" s="8">
        <f t="shared" si="24"/>
        <v>2.2398755139350333</v>
      </c>
      <c r="AU110" t="str">
        <f t="shared" si="25"/>
        <v>Z</v>
      </c>
      <c r="AZ110" t="s">
        <v>181</v>
      </c>
      <c r="BA110" t="s">
        <v>471</v>
      </c>
      <c r="BB110" t="s">
        <v>472</v>
      </c>
      <c r="BC110">
        <v>0</v>
      </c>
      <c r="BD110">
        <v>0</v>
      </c>
      <c r="BE110">
        <v>162077</v>
      </c>
      <c r="BF110">
        <v>0</v>
      </c>
      <c r="BG110">
        <v>24784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83451</v>
      </c>
      <c r="BN110">
        <v>0</v>
      </c>
      <c r="BO110">
        <v>0</v>
      </c>
    </row>
    <row r="111" spans="1:67" x14ac:dyDescent="0.25">
      <c r="A111" t="s">
        <v>14</v>
      </c>
      <c r="B111" t="s">
        <v>121</v>
      </c>
      <c r="C111" t="s">
        <v>117</v>
      </c>
      <c r="D111" s="7">
        <v>16119</v>
      </c>
      <c r="E111">
        <v>4</v>
      </c>
      <c r="W111" t="s">
        <v>121</v>
      </c>
      <c r="X111" s="11" t="s">
        <v>117</v>
      </c>
      <c r="Y111" s="7">
        <v>16119</v>
      </c>
      <c r="Z111" s="11" t="str">
        <f t="shared" si="19"/>
        <v>2023-10</v>
      </c>
      <c r="AA111" t="s">
        <v>165</v>
      </c>
      <c r="AB111">
        <f>SUMIFS($Y:$Y,$W:$W,$AA111,$Z:$Z,AB$1)</f>
        <v>0</v>
      </c>
      <c r="AC111">
        <f>SUMIFS($Y:$Y,$W:$W,$AA111,$Z:$Z,AC$1)</f>
        <v>0</v>
      </c>
      <c r="AD111">
        <f>SUMIFS($Y:$Y,$W:$W,$AA111,$Z:$Z,AD$1)</f>
        <v>12159</v>
      </c>
      <c r="AE111">
        <f>SUMIFS($Y:$Y,$W:$W,$AA111,$Z:$Z,AE$1)</f>
        <v>0</v>
      </c>
      <c r="AF111">
        <f>SUMIFS($Y:$Y,$W:$W,$AA111,$Z:$Z,AF$1)</f>
        <v>83184</v>
      </c>
      <c r="AG111">
        <f>SUMIFS($Y:$Y,$W:$W,$AA111,$Z:$Z,AG$1)</f>
        <v>77111</v>
      </c>
      <c r="AH111">
        <f>SUMIFS($Y:$Y,$W:$W,$AA111,$Z:$Z,AH$1)</f>
        <v>0</v>
      </c>
      <c r="AI111">
        <f>SUMIFS($Y:$Y,$W:$W,$AA111,$Z:$Z,AI$1)</f>
        <v>0</v>
      </c>
      <c r="AJ111">
        <f>SUMIFS($Y:$Y,$W:$W,$AA111,$Z:$Z,AJ$1)</f>
        <v>0</v>
      </c>
      <c r="AK111">
        <f>SUMIFS($Y:$Y,$W:$W,$AA111,$Z:$Z,AK$1)</f>
        <v>0</v>
      </c>
      <c r="AL111">
        <f>SUMIFS($Y:$Y,$W:$W,$AA111,$Z:$Z,AL$1)</f>
        <v>0</v>
      </c>
      <c r="AM111">
        <f>SUMIFS($Y:$Y,$W:$W,$AA111,$Z:$Z,AM$1)</f>
        <v>59114</v>
      </c>
      <c r="AN111">
        <f>SUMIFS($Y:$Y,$W:$W,$AA111,$Z:$Z,AN$1)</f>
        <v>0</v>
      </c>
      <c r="AO111">
        <f>SUM(AB111:AN111)</f>
        <v>231568</v>
      </c>
      <c r="AP111" s="8">
        <f t="shared" si="21"/>
        <v>0.55555555555555558</v>
      </c>
      <c r="AQ111" s="8">
        <f t="shared" si="22"/>
        <v>4.2492224921801486E-3</v>
      </c>
      <c r="AR111" s="8">
        <f t="shared" si="26"/>
        <v>0.77894703001242771</v>
      </c>
      <c r="AS111" t="str">
        <f t="shared" si="23"/>
        <v>A</v>
      </c>
      <c r="AT111" s="8">
        <f t="shared" si="24"/>
        <v>1.7326370699569067</v>
      </c>
      <c r="AU111" t="str">
        <f t="shared" si="25"/>
        <v>Z</v>
      </c>
      <c r="AZ111" t="s">
        <v>98</v>
      </c>
      <c r="BA111" t="s">
        <v>471</v>
      </c>
      <c r="BB111" t="s">
        <v>472</v>
      </c>
      <c r="BC111">
        <v>70262</v>
      </c>
      <c r="BD111">
        <v>0</v>
      </c>
      <c r="BE111">
        <v>0</v>
      </c>
      <c r="BF111">
        <v>153035</v>
      </c>
      <c r="BG111">
        <v>59520</v>
      </c>
      <c r="BH111">
        <v>0</v>
      </c>
      <c r="BI111">
        <v>190677</v>
      </c>
      <c r="BJ111">
        <v>60421</v>
      </c>
      <c r="BK111">
        <v>48172</v>
      </c>
      <c r="BL111">
        <v>0</v>
      </c>
      <c r="BM111">
        <v>0</v>
      </c>
      <c r="BN111">
        <v>0</v>
      </c>
      <c r="BO111">
        <v>0</v>
      </c>
    </row>
    <row r="112" spans="1:67" x14ac:dyDescent="0.25">
      <c r="A112" t="s">
        <v>32</v>
      </c>
      <c r="B112" t="s">
        <v>85</v>
      </c>
      <c r="C112" t="s">
        <v>122</v>
      </c>
      <c r="D112" s="7">
        <v>17126</v>
      </c>
      <c r="E112">
        <v>7</v>
      </c>
      <c r="W112" t="s">
        <v>85</v>
      </c>
      <c r="X112" s="11" t="s">
        <v>122</v>
      </c>
      <c r="Y112" s="7">
        <v>17126</v>
      </c>
      <c r="Z112" s="11" t="str">
        <f t="shared" si="19"/>
        <v>2023-10</v>
      </c>
      <c r="AA112" t="s">
        <v>76</v>
      </c>
      <c r="AB112">
        <f>SUMIFS($Y:$Y,$W:$W,$AA112,$Z:$Z,AB$1)</f>
        <v>146236</v>
      </c>
      <c r="AC112">
        <f>SUMIFS($Y:$Y,$W:$W,$AA112,$Z:$Z,AC$1)</f>
        <v>0</v>
      </c>
      <c r="AD112">
        <f>SUMIFS($Y:$Y,$W:$W,$AA112,$Z:$Z,AD$1)</f>
        <v>0</v>
      </c>
      <c r="AE112">
        <f>SUMIFS($Y:$Y,$W:$W,$AA112,$Z:$Z,AE$1)</f>
        <v>0</v>
      </c>
      <c r="AF112">
        <f>SUMIFS($Y:$Y,$W:$W,$AA112,$Z:$Z,AF$1)</f>
        <v>0</v>
      </c>
      <c r="AG112">
        <f>SUMIFS($Y:$Y,$W:$W,$AA112,$Z:$Z,AG$1)</f>
        <v>54046</v>
      </c>
      <c r="AH112">
        <f>SUMIFS($Y:$Y,$W:$W,$AA112,$Z:$Z,AH$1)</f>
        <v>0</v>
      </c>
      <c r="AI112">
        <f>SUMIFS($Y:$Y,$W:$W,$AA112,$Z:$Z,AI$1)</f>
        <v>30781</v>
      </c>
      <c r="AJ112">
        <f>SUMIFS($Y:$Y,$W:$W,$AA112,$Z:$Z,AJ$1)</f>
        <v>0</v>
      </c>
      <c r="AK112">
        <f>SUMIFS($Y:$Y,$W:$W,$AA112,$Z:$Z,AK$1)</f>
        <v>0</v>
      </c>
      <c r="AL112">
        <f>SUMIFS($Y:$Y,$W:$W,$AA112,$Z:$Z,AL$1)</f>
        <v>0</v>
      </c>
      <c r="AM112">
        <f>SUMIFS($Y:$Y,$W:$W,$AA112,$Z:$Z,AM$1)</f>
        <v>0</v>
      </c>
      <c r="AN112">
        <f>SUMIFS($Y:$Y,$W:$W,$AA112,$Z:$Z,AN$1)</f>
        <v>0</v>
      </c>
      <c r="AO112">
        <f>SUM(AB112:AN112)</f>
        <v>231063</v>
      </c>
      <c r="AP112" s="8">
        <f t="shared" si="21"/>
        <v>0.56060606060606055</v>
      </c>
      <c r="AQ112" s="8">
        <f t="shared" si="22"/>
        <v>4.2399558518906831E-3</v>
      </c>
      <c r="AR112" s="8">
        <f t="shared" si="26"/>
        <v>0.78318698586431834</v>
      </c>
      <c r="AS112" t="str">
        <f t="shared" si="23"/>
        <v>A</v>
      </c>
      <c r="AT112" s="8">
        <f t="shared" si="24"/>
        <v>2.2691346771496903</v>
      </c>
      <c r="AU112" t="str">
        <f t="shared" si="25"/>
        <v>Z</v>
      </c>
      <c r="AZ112" t="s">
        <v>216</v>
      </c>
      <c r="BA112" t="s">
        <v>474</v>
      </c>
      <c r="BB112" t="s">
        <v>472</v>
      </c>
      <c r="BC112">
        <v>0</v>
      </c>
      <c r="BD112">
        <v>0</v>
      </c>
      <c r="BE112">
        <v>0</v>
      </c>
      <c r="BF112">
        <v>112383</v>
      </c>
      <c r="BG112">
        <v>0</v>
      </c>
      <c r="BH112">
        <v>0</v>
      </c>
      <c r="BI112">
        <v>0</v>
      </c>
      <c r="BJ112">
        <v>0</v>
      </c>
      <c r="BK112">
        <v>30601</v>
      </c>
      <c r="BL112">
        <v>0</v>
      </c>
      <c r="BM112">
        <v>33199</v>
      </c>
      <c r="BN112">
        <v>0</v>
      </c>
      <c r="BO112">
        <v>0</v>
      </c>
    </row>
    <row r="113" spans="1:67" x14ac:dyDescent="0.25">
      <c r="A113" t="s">
        <v>14</v>
      </c>
      <c r="B113" t="s">
        <v>87</v>
      </c>
      <c r="C113" t="s">
        <v>123</v>
      </c>
      <c r="D113" s="7">
        <v>67169</v>
      </c>
      <c r="E113">
        <v>7</v>
      </c>
      <c r="W113" t="s">
        <v>87</v>
      </c>
      <c r="X113" s="11" t="s">
        <v>123</v>
      </c>
      <c r="Y113" s="7">
        <v>67169</v>
      </c>
      <c r="Z113" s="11" t="str">
        <f t="shared" si="19"/>
        <v>2023-10</v>
      </c>
      <c r="AA113" t="s">
        <v>171</v>
      </c>
      <c r="AB113">
        <f>SUMIFS($Y:$Y,$W:$W,$AA113,$Z:$Z,AB$1)</f>
        <v>0</v>
      </c>
      <c r="AC113">
        <f>SUMIFS($Y:$Y,$W:$W,$AA113,$Z:$Z,AC$1)</f>
        <v>0</v>
      </c>
      <c r="AD113">
        <f>SUMIFS($Y:$Y,$W:$W,$AA113,$Z:$Z,AD$1)</f>
        <v>54889</v>
      </c>
      <c r="AE113">
        <f>SUMIFS($Y:$Y,$W:$W,$AA113,$Z:$Z,AE$1)</f>
        <v>0</v>
      </c>
      <c r="AF113">
        <f>SUMIFS($Y:$Y,$W:$W,$AA113,$Z:$Z,AF$1)</f>
        <v>0</v>
      </c>
      <c r="AG113">
        <f>SUMIFS($Y:$Y,$W:$W,$AA113,$Z:$Z,AG$1)</f>
        <v>79426</v>
      </c>
      <c r="AH113">
        <f>SUMIFS($Y:$Y,$W:$W,$AA113,$Z:$Z,AH$1)</f>
        <v>0</v>
      </c>
      <c r="AI113">
        <f>SUMIFS($Y:$Y,$W:$W,$AA113,$Z:$Z,AI$1)</f>
        <v>0</v>
      </c>
      <c r="AJ113">
        <f>SUMIFS($Y:$Y,$W:$W,$AA113,$Z:$Z,AJ$1)</f>
        <v>0</v>
      </c>
      <c r="AK113">
        <f>SUMIFS($Y:$Y,$W:$W,$AA113,$Z:$Z,AK$1)</f>
        <v>33349</v>
      </c>
      <c r="AL113">
        <f>SUMIFS($Y:$Y,$W:$W,$AA113,$Z:$Z,AL$1)</f>
        <v>0</v>
      </c>
      <c r="AM113">
        <f>SUMIFS($Y:$Y,$W:$W,$AA113,$Z:$Z,AM$1)</f>
        <v>62499</v>
      </c>
      <c r="AN113">
        <f>SUMIFS($Y:$Y,$W:$W,$AA113,$Z:$Z,AN$1)</f>
        <v>0</v>
      </c>
      <c r="AO113">
        <f>SUM(AB113:AN113)</f>
        <v>230163</v>
      </c>
      <c r="AP113" s="8">
        <f t="shared" si="21"/>
        <v>0.56565656565656564</v>
      </c>
      <c r="AQ113" s="8">
        <f t="shared" si="22"/>
        <v>4.2234410474144071E-3</v>
      </c>
      <c r="AR113" s="8">
        <f t="shared" si="26"/>
        <v>0.7874104269117328</v>
      </c>
      <c r="AS113" t="str">
        <f t="shared" si="23"/>
        <v>A</v>
      </c>
      <c r="AT113" s="8">
        <f t="shared" si="24"/>
        <v>1.5871084036306811</v>
      </c>
      <c r="AU113" t="str">
        <f t="shared" si="25"/>
        <v>Z</v>
      </c>
      <c r="AZ113" t="s">
        <v>182</v>
      </c>
      <c r="BA113" t="s">
        <v>471</v>
      </c>
      <c r="BB113" t="s">
        <v>472</v>
      </c>
      <c r="BC113">
        <v>0</v>
      </c>
      <c r="BD113">
        <v>0</v>
      </c>
      <c r="BE113">
        <v>65278</v>
      </c>
      <c r="BF113">
        <v>14230</v>
      </c>
      <c r="BG113">
        <v>0</v>
      </c>
      <c r="BH113">
        <v>88601</v>
      </c>
      <c r="BI113">
        <v>48100</v>
      </c>
      <c r="BJ113">
        <v>20996</v>
      </c>
      <c r="BK113">
        <v>0</v>
      </c>
      <c r="BL113">
        <v>0</v>
      </c>
      <c r="BM113">
        <v>0</v>
      </c>
      <c r="BN113">
        <v>0</v>
      </c>
      <c r="BO113">
        <v>0</v>
      </c>
    </row>
    <row r="114" spans="1:67" x14ac:dyDescent="0.25">
      <c r="A114" t="s">
        <v>14</v>
      </c>
      <c r="B114" t="s">
        <v>124</v>
      </c>
      <c r="C114" t="s">
        <v>123</v>
      </c>
      <c r="D114" s="7">
        <v>43653</v>
      </c>
      <c r="E114">
        <v>6</v>
      </c>
      <c r="W114" t="s">
        <v>124</v>
      </c>
      <c r="X114" s="11" t="s">
        <v>123</v>
      </c>
      <c r="Y114" s="7">
        <v>43653</v>
      </c>
      <c r="Z114" s="11" t="str">
        <f t="shared" si="19"/>
        <v>2023-10</v>
      </c>
      <c r="AA114" t="s">
        <v>29</v>
      </c>
      <c r="AB114">
        <f>SUMIFS($Y:$Y,$W:$W,$AA114,$Z:$Z,AB$1)</f>
        <v>79493</v>
      </c>
      <c r="AC114">
        <f>SUMIFS($Y:$Y,$W:$W,$AA114,$Z:$Z,AC$1)</f>
        <v>0</v>
      </c>
      <c r="AD114">
        <f>SUMIFS($Y:$Y,$W:$W,$AA114,$Z:$Z,AD$1)</f>
        <v>0</v>
      </c>
      <c r="AE114">
        <f>SUMIFS($Y:$Y,$W:$W,$AA114,$Z:$Z,AE$1)</f>
        <v>0</v>
      </c>
      <c r="AF114">
        <f>SUMIFS($Y:$Y,$W:$W,$AA114,$Z:$Z,AF$1)</f>
        <v>0</v>
      </c>
      <c r="AG114">
        <f>SUMIFS($Y:$Y,$W:$W,$AA114,$Z:$Z,AG$1)</f>
        <v>0</v>
      </c>
      <c r="AH114">
        <f>SUMIFS($Y:$Y,$W:$W,$AA114,$Z:$Z,AH$1)</f>
        <v>0</v>
      </c>
      <c r="AI114">
        <f>SUMIFS($Y:$Y,$W:$W,$AA114,$Z:$Z,AI$1)</f>
        <v>0</v>
      </c>
      <c r="AJ114">
        <f>SUMIFS($Y:$Y,$W:$W,$AA114,$Z:$Z,AJ$1)</f>
        <v>14684</v>
      </c>
      <c r="AK114">
        <f>SUMIFS($Y:$Y,$W:$W,$AA114,$Z:$Z,AK$1)</f>
        <v>75890</v>
      </c>
      <c r="AL114">
        <f>SUMIFS($Y:$Y,$W:$W,$AA114,$Z:$Z,AL$1)</f>
        <v>0</v>
      </c>
      <c r="AM114">
        <f>SUMIFS($Y:$Y,$W:$W,$AA114,$Z:$Z,AM$1)</f>
        <v>55486</v>
      </c>
      <c r="AN114">
        <f>SUMIFS($Y:$Y,$W:$W,$AA114,$Z:$Z,AN$1)</f>
        <v>0</v>
      </c>
      <c r="AO114">
        <f>SUM(AB114:AN114)</f>
        <v>225553</v>
      </c>
      <c r="AP114" s="8">
        <f t="shared" si="21"/>
        <v>0.57070707070707072</v>
      </c>
      <c r="AQ114" s="8">
        <f t="shared" si="22"/>
        <v>4.1388485489303748E-3</v>
      </c>
      <c r="AR114" s="8">
        <f t="shared" si="26"/>
        <v>0.79154927546066323</v>
      </c>
      <c r="AS114" t="str">
        <f t="shared" si="23"/>
        <v>A</v>
      </c>
      <c r="AT114" s="8">
        <f t="shared" si="24"/>
        <v>1.7112089138440421</v>
      </c>
      <c r="AU114" t="str">
        <f t="shared" si="25"/>
        <v>Z</v>
      </c>
      <c r="AZ114" t="s">
        <v>51</v>
      </c>
      <c r="BA114" t="s">
        <v>471</v>
      </c>
      <c r="BB114" t="s">
        <v>472</v>
      </c>
      <c r="BC114">
        <v>38184</v>
      </c>
      <c r="BD114">
        <v>114747</v>
      </c>
      <c r="BE114">
        <v>80382</v>
      </c>
      <c r="BF114">
        <v>0</v>
      </c>
      <c r="BG114">
        <v>18242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58045</v>
      </c>
      <c r="BO114">
        <v>0</v>
      </c>
    </row>
    <row r="115" spans="1:67" x14ac:dyDescent="0.25">
      <c r="A115" t="s">
        <v>33</v>
      </c>
      <c r="B115" t="s">
        <v>18</v>
      </c>
      <c r="C115" t="s">
        <v>123</v>
      </c>
      <c r="D115" s="7">
        <v>51332</v>
      </c>
      <c r="E115">
        <v>4</v>
      </c>
      <c r="W115" t="s">
        <v>18</v>
      </c>
      <c r="X115" s="11" t="s">
        <v>123</v>
      </c>
      <c r="Y115" s="7">
        <v>51332</v>
      </c>
      <c r="Z115" s="11" t="str">
        <f t="shared" si="19"/>
        <v>2023-10</v>
      </c>
      <c r="AA115" t="s">
        <v>114</v>
      </c>
      <c r="AB115">
        <f>SUMIFS($Y:$Y,$W:$W,$AA115,$Z:$Z,AB$1)</f>
        <v>0</v>
      </c>
      <c r="AC115">
        <f>SUMIFS($Y:$Y,$W:$W,$AA115,$Z:$Z,AC$1)</f>
        <v>19652</v>
      </c>
      <c r="AD115">
        <f>SUMIFS($Y:$Y,$W:$W,$AA115,$Z:$Z,AD$1)</f>
        <v>0</v>
      </c>
      <c r="AE115">
        <f>SUMIFS($Y:$Y,$W:$W,$AA115,$Z:$Z,AE$1)</f>
        <v>0</v>
      </c>
      <c r="AF115">
        <f>SUMIFS($Y:$Y,$W:$W,$AA115,$Z:$Z,AF$1)</f>
        <v>0</v>
      </c>
      <c r="AG115">
        <f>SUMIFS($Y:$Y,$W:$W,$AA115,$Z:$Z,AG$1)</f>
        <v>0</v>
      </c>
      <c r="AH115">
        <f>SUMIFS($Y:$Y,$W:$W,$AA115,$Z:$Z,AH$1)</f>
        <v>0</v>
      </c>
      <c r="AI115">
        <f>SUMIFS($Y:$Y,$W:$W,$AA115,$Z:$Z,AI$1)</f>
        <v>0</v>
      </c>
      <c r="AJ115">
        <f>SUMIFS($Y:$Y,$W:$W,$AA115,$Z:$Z,AJ$1)</f>
        <v>87842</v>
      </c>
      <c r="AK115">
        <f>SUMIFS($Y:$Y,$W:$W,$AA115,$Z:$Z,AK$1)</f>
        <v>66405</v>
      </c>
      <c r="AL115">
        <f>SUMIFS($Y:$Y,$W:$W,$AA115,$Z:$Z,AL$1)</f>
        <v>0</v>
      </c>
      <c r="AM115">
        <f>SUMIFS($Y:$Y,$W:$W,$AA115,$Z:$Z,AM$1)</f>
        <v>51606</v>
      </c>
      <c r="AN115">
        <f>SUMIFS($Y:$Y,$W:$W,$AA115,$Z:$Z,AN$1)</f>
        <v>0</v>
      </c>
      <c r="AO115">
        <f>SUM(AB115:AN115)</f>
        <v>225505</v>
      </c>
      <c r="AP115" s="8">
        <f t="shared" si="21"/>
        <v>0.5757575757575758</v>
      </c>
      <c r="AQ115" s="8">
        <f t="shared" si="22"/>
        <v>4.1379677593583065E-3</v>
      </c>
      <c r="AR115" s="8">
        <f t="shared" si="26"/>
        <v>0.79568724322002149</v>
      </c>
      <c r="AS115" t="str">
        <f t="shared" si="23"/>
        <v>A</v>
      </c>
      <c r="AT115" s="8">
        <f t="shared" si="24"/>
        <v>1.6968833670171626</v>
      </c>
      <c r="AU115" t="str">
        <f t="shared" si="25"/>
        <v>Z</v>
      </c>
      <c r="AZ115" t="s">
        <v>148</v>
      </c>
      <c r="BA115" t="s">
        <v>474</v>
      </c>
      <c r="BB115" t="s">
        <v>472</v>
      </c>
      <c r="BC115">
        <v>0</v>
      </c>
      <c r="BD115">
        <v>48754</v>
      </c>
      <c r="BE115">
        <v>0</v>
      </c>
      <c r="BF115">
        <v>0</v>
      </c>
      <c r="BG115">
        <v>39487</v>
      </c>
      <c r="BH115">
        <v>0</v>
      </c>
      <c r="BI115">
        <v>0</v>
      </c>
      <c r="BJ115">
        <v>0</v>
      </c>
      <c r="BK115">
        <v>54729</v>
      </c>
      <c r="BL115">
        <v>0</v>
      </c>
      <c r="BM115">
        <v>0</v>
      </c>
      <c r="BN115">
        <v>0</v>
      </c>
      <c r="BO115">
        <v>0</v>
      </c>
    </row>
    <row r="116" spans="1:67" x14ac:dyDescent="0.25">
      <c r="A116" t="s">
        <v>5</v>
      </c>
      <c r="B116" t="s">
        <v>46</v>
      </c>
      <c r="C116" t="s">
        <v>123</v>
      </c>
      <c r="D116" s="7">
        <v>39421</v>
      </c>
      <c r="E116">
        <v>3</v>
      </c>
      <c r="W116" t="s">
        <v>46</v>
      </c>
      <c r="X116" s="11" t="s">
        <v>123</v>
      </c>
      <c r="Y116" s="7">
        <v>39421</v>
      </c>
      <c r="Z116" s="11" t="str">
        <f t="shared" si="19"/>
        <v>2023-10</v>
      </c>
      <c r="AA116" t="s">
        <v>286</v>
      </c>
      <c r="AB116">
        <f>SUMIFS($Y:$Y,$W:$W,$AA116,$Z:$Z,AB$1)</f>
        <v>0</v>
      </c>
      <c r="AC116">
        <f>SUMIFS($Y:$Y,$W:$W,$AA116,$Z:$Z,AC$1)</f>
        <v>0</v>
      </c>
      <c r="AD116">
        <f>SUMIFS($Y:$Y,$W:$W,$AA116,$Z:$Z,AD$1)</f>
        <v>0</v>
      </c>
      <c r="AE116">
        <f>SUMIFS($Y:$Y,$W:$W,$AA116,$Z:$Z,AE$1)</f>
        <v>0</v>
      </c>
      <c r="AF116">
        <f>SUMIFS($Y:$Y,$W:$W,$AA116,$Z:$Z,AF$1)</f>
        <v>0</v>
      </c>
      <c r="AG116">
        <f>SUMIFS($Y:$Y,$W:$W,$AA116,$Z:$Z,AG$1)</f>
        <v>43744</v>
      </c>
      <c r="AH116">
        <f>SUMIFS($Y:$Y,$W:$W,$AA116,$Z:$Z,AH$1)</f>
        <v>27568</v>
      </c>
      <c r="AI116">
        <f>SUMIFS($Y:$Y,$W:$W,$AA116,$Z:$Z,AI$1)</f>
        <v>87904</v>
      </c>
      <c r="AJ116">
        <f>SUMIFS($Y:$Y,$W:$W,$AA116,$Z:$Z,AJ$1)</f>
        <v>0</v>
      </c>
      <c r="AK116">
        <f>SUMIFS($Y:$Y,$W:$W,$AA116,$Z:$Z,AK$1)</f>
        <v>0</v>
      </c>
      <c r="AL116">
        <f>SUMIFS($Y:$Y,$W:$W,$AA116,$Z:$Z,AL$1)</f>
        <v>65539</v>
      </c>
      <c r="AM116">
        <f>SUMIFS($Y:$Y,$W:$W,$AA116,$Z:$Z,AM$1)</f>
        <v>0</v>
      </c>
      <c r="AN116">
        <f>SUMIFS($Y:$Y,$W:$W,$AA116,$Z:$Z,AN$1)</f>
        <v>0</v>
      </c>
      <c r="AO116">
        <f>SUM(AB116:AN116)</f>
        <v>224755</v>
      </c>
      <c r="AP116" s="8">
        <f t="shared" si="21"/>
        <v>0.58080808080808077</v>
      </c>
      <c r="AQ116" s="8">
        <f t="shared" si="22"/>
        <v>4.124205422294744E-3</v>
      </c>
      <c r="AR116" s="8">
        <f t="shared" si="26"/>
        <v>0.79981144864231624</v>
      </c>
      <c r="AS116" t="str">
        <f t="shared" si="23"/>
        <v>A</v>
      </c>
      <c r="AT116" s="8">
        <f t="shared" si="24"/>
        <v>1.6679391732989297</v>
      </c>
      <c r="AU116" t="str">
        <f t="shared" si="25"/>
        <v>Z</v>
      </c>
      <c r="AZ116" t="s">
        <v>74</v>
      </c>
      <c r="BA116" t="s">
        <v>471</v>
      </c>
      <c r="BB116" t="s">
        <v>472</v>
      </c>
      <c r="BC116">
        <v>71018</v>
      </c>
      <c r="BD116">
        <v>0</v>
      </c>
      <c r="BE116">
        <v>62332</v>
      </c>
      <c r="BF116">
        <v>68065</v>
      </c>
      <c r="BG116">
        <v>36532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</row>
    <row r="117" spans="1:67" x14ac:dyDescent="0.25">
      <c r="A117" t="s">
        <v>36</v>
      </c>
      <c r="B117" t="s">
        <v>125</v>
      </c>
      <c r="C117" t="s">
        <v>123</v>
      </c>
      <c r="D117" s="7">
        <v>42835</v>
      </c>
      <c r="E117">
        <v>8</v>
      </c>
      <c r="W117" t="s">
        <v>125</v>
      </c>
      <c r="X117" s="11" t="s">
        <v>123</v>
      </c>
      <c r="Y117" s="7">
        <v>42835</v>
      </c>
      <c r="Z117" s="11" t="str">
        <f t="shared" si="19"/>
        <v>2023-10</v>
      </c>
      <c r="AA117" t="s">
        <v>319</v>
      </c>
      <c r="AB117">
        <f>SUMIFS($Y:$Y,$W:$W,$AA117,$Z:$Z,AB$1)</f>
        <v>0</v>
      </c>
      <c r="AC117">
        <f>SUMIFS($Y:$Y,$W:$W,$AA117,$Z:$Z,AC$1)</f>
        <v>0</v>
      </c>
      <c r="AD117">
        <f>SUMIFS($Y:$Y,$W:$W,$AA117,$Z:$Z,AD$1)</f>
        <v>0</v>
      </c>
      <c r="AE117">
        <f>SUMIFS($Y:$Y,$W:$W,$AA117,$Z:$Z,AE$1)</f>
        <v>0</v>
      </c>
      <c r="AF117">
        <f>SUMIFS($Y:$Y,$W:$W,$AA117,$Z:$Z,AF$1)</f>
        <v>0</v>
      </c>
      <c r="AG117">
        <f>SUMIFS($Y:$Y,$W:$W,$AA117,$Z:$Z,AG$1)</f>
        <v>0</v>
      </c>
      <c r="AH117">
        <f>SUMIFS($Y:$Y,$W:$W,$AA117,$Z:$Z,AH$1)</f>
        <v>96206</v>
      </c>
      <c r="AI117">
        <f>SUMIFS($Y:$Y,$W:$W,$AA117,$Z:$Z,AI$1)</f>
        <v>23859</v>
      </c>
      <c r="AJ117">
        <f>SUMIFS($Y:$Y,$W:$W,$AA117,$Z:$Z,AJ$1)</f>
        <v>20268</v>
      </c>
      <c r="AK117">
        <f>SUMIFS($Y:$Y,$W:$W,$AA117,$Z:$Z,AK$1)</f>
        <v>18405</v>
      </c>
      <c r="AL117">
        <f>SUMIFS($Y:$Y,$W:$W,$AA117,$Z:$Z,AL$1)</f>
        <v>10381</v>
      </c>
      <c r="AM117">
        <f>SUMIFS($Y:$Y,$W:$W,$AA117,$Z:$Z,AM$1)</f>
        <v>54427</v>
      </c>
      <c r="AN117">
        <f>SUMIFS($Y:$Y,$W:$W,$AA117,$Z:$Z,AN$1)</f>
        <v>0</v>
      </c>
      <c r="AO117">
        <f>SUM(AB117:AN117)</f>
        <v>223546</v>
      </c>
      <c r="AP117" s="8">
        <f t="shared" si="21"/>
        <v>0.58585858585858586</v>
      </c>
      <c r="AQ117" s="8">
        <f t="shared" si="22"/>
        <v>4.1020205349482806E-3</v>
      </c>
      <c r="AR117" s="8">
        <f t="shared" si="26"/>
        <v>0.80391346917726447</v>
      </c>
      <c r="AS117" t="str">
        <f t="shared" si="23"/>
        <v>B</v>
      </c>
      <c r="AT117" s="8">
        <f t="shared" si="24"/>
        <v>1.5967109283581189</v>
      </c>
      <c r="AU117" t="str">
        <f t="shared" si="25"/>
        <v>Z</v>
      </c>
      <c r="AZ117" t="s">
        <v>55</v>
      </c>
      <c r="BA117" t="s">
        <v>471</v>
      </c>
      <c r="BB117" t="s">
        <v>472</v>
      </c>
      <c r="BC117">
        <v>41519</v>
      </c>
      <c r="BD117">
        <v>0</v>
      </c>
      <c r="BE117">
        <v>0</v>
      </c>
      <c r="BF117">
        <v>0</v>
      </c>
      <c r="BG117">
        <v>0</v>
      </c>
      <c r="BH117">
        <v>21382</v>
      </c>
      <c r="BI117">
        <v>0</v>
      </c>
      <c r="BJ117">
        <v>89713</v>
      </c>
      <c r="BK117">
        <v>110608</v>
      </c>
      <c r="BL117">
        <v>0</v>
      </c>
      <c r="BM117">
        <v>0</v>
      </c>
      <c r="BN117">
        <v>66668</v>
      </c>
      <c r="BO117">
        <v>0</v>
      </c>
    </row>
    <row r="118" spans="1:67" x14ac:dyDescent="0.25">
      <c r="A118" t="s">
        <v>10</v>
      </c>
      <c r="B118" t="s">
        <v>101</v>
      </c>
      <c r="C118" t="s">
        <v>126</v>
      </c>
      <c r="D118" s="7">
        <v>99352</v>
      </c>
      <c r="E118">
        <v>6</v>
      </c>
      <c r="W118" t="s">
        <v>101</v>
      </c>
      <c r="X118" s="11" t="s">
        <v>126</v>
      </c>
      <c r="Y118" s="7">
        <v>99352</v>
      </c>
      <c r="Z118" s="11" t="str">
        <f t="shared" si="19"/>
        <v>2023-10</v>
      </c>
      <c r="AA118" t="s">
        <v>157</v>
      </c>
      <c r="AB118">
        <f>SUMIFS($Y:$Y,$W:$W,$AA118,$Z:$Z,AB$1)</f>
        <v>0</v>
      </c>
      <c r="AC118">
        <f>SUMIFS($Y:$Y,$W:$W,$AA118,$Z:$Z,AC$1)</f>
        <v>98169</v>
      </c>
      <c r="AD118">
        <f>SUMIFS($Y:$Y,$W:$W,$AA118,$Z:$Z,AD$1)</f>
        <v>0</v>
      </c>
      <c r="AE118">
        <f>SUMIFS($Y:$Y,$W:$W,$AA118,$Z:$Z,AE$1)</f>
        <v>0</v>
      </c>
      <c r="AF118">
        <f>SUMIFS($Y:$Y,$W:$W,$AA118,$Z:$Z,AF$1)</f>
        <v>0</v>
      </c>
      <c r="AG118">
        <f>SUMIFS($Y:$Y,$W:$W,$AA118,$Z:$Z,AG$1)</f>
        <v>0</v>
      </c>
      <c r="AH118">
        <f>SUMIFS($Y:$Y,$W:$W,$AA118,$Z:$Z,AH$1)</f>
        <v>0</v>
      </c>
      <c r="AI118">
        <f>SUMIFS($Y:$Y,$W:$W,$AA118,$Z:$Z,AI$1)</f>
        <v>33078</v>
      </c>
      <c r="AJ118">
        <f>SUMIFS($Y:$Y,$W:$W,$AA118,$Z:$Z,AJ$1)</f>
        <v>36650</v>
      </c>
      <c r="AK118">
        <f>SUMIFS($Y:$Y,$W:$W,$AA118,$Z:$Z,AK$1)</f>
        <v>0</v>
      </c>
      <c r="AL118">
        <f>SUMIFS($Y:$Y,$W:$W,$AA118,$Z:$Z,AL$1)</f>
        <v>51902</v>
      </c>
      <c r="AM118">
        <f>SUMIFS($Y:$Y,$W:$W,$AA118,$Z:$Z,AM$1)</f>
        <v>0</v>
      </c>
      <c r="AN118">
        <f>SUMIFS($Y:$Y,$W:$W,$AA118,$Z:$Z,AN$1)</f>
        <v>0</v>
      </c>
      <c r="AO118">
        <f>SUM(AB118:AN118)</f>
        <v>219799</v>
      </c>
      <c r="AP118" s="8">
        <f t="shared" si="21"/>
        <v>0.59090909090909094</v>
      </c>
      <c r="AQ118" s="8">
        <f t="shared" si="22"/>
        <v>4.0332638989787209E-3</v>
      </c>
      <c r="AR118" s="8">
        <f t="shared" si="26"/>
        <v>0.80794673307624321</v>
      </c>
      <c r="AS118" t="str">
        <f t="shared" si="23"/>
        <v>B</v>
      </c>
      <c r="AT118" s="8">
        <f t="shared" si="24"/>
        <v>1.7245181652126982</v>
      </c>
      <c r="AU118" t="str">
        <f t="shared" si="25"/>
        <v>Z</v>
      </c>
      <c r="AZ118" t="s">
        <v>319</v>
      </c>
      <c r="BA118" t="s">
        <v>474</v>
      </c>
      <c r="BB118" t="s">
        <v>472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96206</v>
      </c>
      <c r="BJ118">
        <v>23859</v>
      </c>
      <c r="BK118">
        <v>20268</v>
      </c>
      <c r="BL118">
        <v>18405</v>
      </c>
      <c r="BM118">
        <v>10381</v>
      </c>
      <c r="BN118">
        <v>54427</v>
      </c>
      <c r="BO118">
        <v>0</v>
      </c>
    </row>
    <row r="119" spans="1:67" x14ac:dyDescent="0.25">
      <c r="A119" t="s">
        <v>32</v>
      </c>
      <c r="B119" t="s">
        <v>127</v>
      </c>
      <c r="C119" t="s">
        <v>128</v>
      </c>
      <c r="D119" s="7">
        <v>18623</v>
      </c>
      <c r="E119">
        <v>7</v>
      </c>
      <c r="W119" t="s">
        <v>127</v>
      </c>
      <c r="X119" s="11" t="s">
        <v>128</v>
      </c>
      <c r="Y119" s="7">
        <v>18623</v>
      </c>
      <c r="Z119" s="11" t="str">
        <f t="shared" si="19"/>
        <v>2023-10</v>
      </c>
      <c r="AA119" t="s">
        <v>162</v>
      </c>
      <c r="AB119">
        <f>SUMIFS($Y:$Y,$W:$W,$AA119,$Z:$Z,AB$1)</f>
        <v>0</v>
      </c>
      <c r="AC119">
        <f>SUMIFS($Y:$Y,$W:$W,$AA119,$Z:$Z,AC$1)</f>
        <v>0</v>
      </c>
      <c r="AD119">
        <f>SUMIFS($Y:$Y,$W:$W,$AA119,$Z:$Z,AD$1)</f>
        <v>46859</v>
      </c>
      <c r="AE119">
        <f>SUMIFS($Y:$Y,$W:$W,$AA119,$Z:$Z,AE$1)</f>
        <v>0</v>
      </c>
      <c r="AF119">
        <f>SUMIFS($Y:$Y,$W:$W,$AA119,$Z:$Z,AF$1)</f>
        <v>0</v>
      </c>
      <c r="AG119">
        <f>SUMIFS($Y:$Y,$W:$W,$AA119,$Z:$Z,AG$1)</f>
        <v>138320</v>
      </c>
      <c r="AH119">
        <f>SUMIFS($Y:$Y,$W:$W,$AA119,$Z:$Z,AH$1)</f>
        <v>10750</v>
      </c>
      <c r="AI119">
        <f>SUMIFS($Y:$Y,$W:$W,$AA119,$Z:$Z,AI$1)</f>
        <v>0</v>
      </c>
      <c r="AJ119">
        <f>SUMIFS($Y:$Y,$W:$W,$AA119,$Z:$Z,AJ$1)</f>
        <v>22765</v>
      </c>
      <c r="AK119">
        <f>SUMIFS($Y:$Y,$W:$W,$AA119,$Z:$Z,AK$1)</f>
        <v>0</v>
      </c>
      <c r="AL119">
        <f>SUMIFS($Y:$Y,$W:$W,$AA119,$Z:$Z,AL$1)</f>
        <v>0</v>
      </c>
      <c r="AM119">
        <f>SUMIFS($Y:$Y,$W:$W,$AA119,$Z:$Z,AM$1)</f>
        <v>0</v>
      </c>
      <c r="AN119">
        <f>SUMIFS($Y:$Y,$W:$W,$AA119,$Z:$Z,AN$1)</f>
        <v>0</v>
      </c>
      <c r="AO119">
        <f>SUM(AB119:AN119)</f>
        <v>218694</v>
      </c>
      <c r="AP119" s="8">
        <f t="shared" si="21"/>
        <v>0.59595959595959591</v>
      </c>
      <c r="AQ119" s="8">
        <f t="shared" si="22"/>
        <v>4.0129873890384048E-3</v>
      </c>
      <c r="AR119" s="8">
        <f t="shared" si="26"/>
        <v>0.81195972046528164</v>
      </c>
      <c r="AS119" t="str">
        <f t="shared" si="23"/>
        <v>B</v>
      </c>
      <c r="AT119" s="8">
        <f t="shared" si="24"/>
        <v>2.2292482290707727</v>
      </c>
      <c r="AU119" t="str">
        <f t="shared" si="25"/>
        <v>Z</v>
      </c>
      <c r="AZ119" t="s">
        <v>47</v>
      </c>
      <c r="BA119" t="s">
        <v>471</v>
      </c>
      <c r="BB119" t="s">
        <v>472</v>
      </c>
      <c r="BC119">
        <v>175725</v>
      </c>
      <c r="BD119">
        <v>0</v>
      </c>
      <c r="BE119">
        <v>28243</v>
      </c>
      <c r="BF119">
        <v>0</v>
      </c>
      <c r="BG119">
        <v>148976</v>
      </c>
      <c r="BH119">
        <v>79058</v>
      </c>
      <c r="BI119">
        <v>73702</v>
      </c>
      <c r="BJ119">
        <v>0</v>
      </c>
      <c r="BK119">
        <v>0</v>
      </c>
      <c r="BL119">
        <v>0</v>
      </c>
      <c r="BM119">
        <v>0</v>
      </c>
      <c r="BN119">
        <v>99619</v>
      </c>
      <c r="BO119">
        <v>0</v>
      </c>
    </row>
    <row r="120" spans="1:67" x14ac:dyDescent="0.25">
      <c r="A120" t="s">
        <v>12</v>
      </c>
      <c r="B120" t="s">
        <v>87</v>
      </c>
      <c r="C120" t="s">
        <v>128</v>
      </c>
      <c r="D120" s="7">
        <v>52343</v>
      </c>
      <c r="E120">
        <v>7</v>
      </c>
      <c r="W120" t="s">
        <v>87</v>
      </c>
      <c r="X120" s="11" t="s">
        <v>128</v>
      </c>
      <c r="Y120" s="7">
        <v>52343</v>
      </c>
      <c r="Z120" s="11" t="str">
        <f t="shared" si="19"/>
        <v>2023-10</v>
      </c>
      <c r="AA120" t="s">
        <v>70</v>
      </c>
      <c r="AB120">
        <f>SUMIFS($Y:$Y,$W:$W,$AA120,$Z:$Z,AB$1)</f>
        <v>57831</v>
      </c>
      <c r="AC120">
        <f>SUMIFS($Y:$Y,$W:$W,$AA120,$Z:$Z,AC$1)</f>
        <v>0</v>
      </c>
      <c r="AD120">
        <f>SUMIFS($Y:$Y,$W:$W,$AA120,$Z:$Z,AD$1)</f>
        <v>0</v>
      </c>
      <c r="AE120">
        <f>SUMIFS($Y:$Y,$W:$W,$AA120,$Z:$Z,AE$1)</f>
        <v>0</v>
      </c>
      <c r="AF120">
        <f>SUMIFS($Y:$Y,$W:$W,$AA120,$Z:$Z,AF$1)</f>
        <v>0</v>
      </c>
      <c r="AG120">
        <f>SUMIFS($Y:$Y,$W:$W,$AA120,$Z:$Z,AG$1)</f>
        <v>0</v>
      </c>
      <c r="AH120">
        <f>SUMIFS($Y:$Y,$W:$W,$AA120,$Z:$Z,AH$1)</f>
        <v>15723</v>
      </c>
      <c r="AI120">
        <f>SUMIFS($Y:$Y,$W:$W,$AA120,$Z:$Z,AI$1)</f>
        <v>0</v>
      </c>
      <c r="AJ120">
        <f>SUMIFS($Y:$Y,$W:$W,$AA120,$Z:$Z,AJ$1)</f>
        <v>78666</v>
      </c>
      <c r="AK120">
        <f>SUMIFS($Y:$Y,$W:$W,$AA120,$Z:$Z,AK$1)</f>
        <v>0</v>
      </c>
      <c r="AL120">
        <f>SUMIFS($Y:$Y,$W:$W,$AA120,$Z:$Z,AL$1)</f>
        <v>65462</v>
      </c>
      <c r="AM120">
        <f>SUMIFS($Y:$Y,$W:$W,$AA120,$Z:$Z,AM$1)</f>
        <v>0</v>
      </c>
      <c r="AN120">
        <f>SUMIFS($Y:$Y,$W:$W,$AA120,$Z:$Z,AN$1)</f>
        <v>0</v>
      </c>
      <c r="AO120">
        <f>SUM(AB120:AN120)</f>
        <v>217682</v>
      </c>
      <c r="AP120" s="8">
        <f t="shared" si="21"/>
        <v>0.60101010101010099</v>
      </c>
      <c r="AQ120" s="8">
        <f t="shared" si="22"/>
        <v>3.9944174088939709E-3</v>
      </c>
      <c r="AR120" s="8">
        <f t="shared" si="26"/>
        <v>0.81595413787417559</v>
      </c>
      <c r="AS120" t="str">
        <f t="shared" si="23"/>
        <v>B</v>
      </c>
      <c r="AT120" s="8">
        <f t="shared" si="24"/>
        <v>1.690781573549738</v>
      </c>
      <c r="AU120" t="str">
        <f t="shared" si="25"/>
        <v>Z</v>
      </c>
      <c r="AZ120" t="s">
        <v>35</v>
      </c>
      <c r="BA120" t="s">
        <v>471</v>
      </c>
      <c r="BB120" t="s">
        <v>472</v>
      </c>
      <c r="BC120">
        <v>81268</v>
      </c>
      <c r="BD120">
        <v>91649</v>
      </c>
      <c r="BE120">
        <v>123919</v>
      </c>
      <c r="BF120">
        <v>0</v>
      </c>
      <c r="BG120">
        <v>0</v>
      </c>
      <c r="BH120">
        <v>83530</v>
      </c>
      <c r="BI120">
        <v>0</v>
      </c>
      <c r="BJ120">
        <v>34835</v>
      </c>
      <c r="BK120">
        <v>49480</v>
      </c>
      <c r="BL120">
        <v>118223</v>
      </c>
      <c r="BM120">
        <v>45311</v>
      </c>
      <c r="BN120">
        <v>0</v>
      </c>
      <c r="BO120">
        <v>0</v>
      </c>
    </row>
    <row r="121" spans="1:67" x14ac:dyDescent="0.25">
      <c r="A121" t="s">
        <v>20</v>
      </c>
      <c r="B121" t="s">
        <v>129</v>
      </c>
      <c r="C121" t="s">
        <v>128</v>
      </c>
      <c r="D121" s="7">
        <v>34110</v>
      </c>
      <c r="E121">
        <v>9</v>
      </c>
      <c r="W121" t="s">
        <v>129</v>
      </c>
      <c r="X121" s="11" t="s">
        <v>128</v>
      </c>
      <c r="Y121" s="7">
        <v>34110</v>
      </c>
      <c r="Z121" s="11" t="str">
        <f t="shared" si="19"/>
        <v>2023-10</v>
      </c>
      <c r="AA121" t="s">
        <v>281</v>
      </c>
      <c r="AB121">
        <f>SUMIFS($Y:$Y,$W:$W,$AA121,$Z:$Z,AB$1)</f>
        <v>0</v>
      </c>
      <c r="AC121">
        <f>SUMIFS($Y:$Y,$W:$W,$AA121,$Z:$Z,AC$1)</f>
        <v>0</v>
      </c>
      <c r="AD121">
        <f>SUMIFS($Y:$Y,$W:$W,$AA121,$Z:$Z,AD$1)</f>
        <v>0</v>
      </c>
      <c r="AE121">
        <f>SUMIFS($Y:$Y,$W:$W,$AA121,$Z:$Z,AE$1)</f>
        <v>0</v>
      </c>
      <c r="AF121">
        <f>SUMIFS($Y:$Y,$W:$W,$AA121,$Z:$Z,AF$1)</f>
        <v>50614</v>
      </c>
      <c r="AG121">
        <f>SUMIFS($Y:$Y,$W:$W,$AA121,$Z:$Z,AG$1)</f>
        <v>0</v>
      </c>
      <c r="AH121">
        <f>SUMIFS($Y:$Y,$W:$W,$AA121,$Z:$Z,AH$1)</f>
        <v>94620</v>
      </c>
      <c r="AI121">
        <f>SUMIFS($Y:$Y,$W:$W,$AA121,$Z:$Z,AI$1)</f>
        <v>0</v>
      </c>
      <c r="AJ121">
        <f>SUMIFS($Y:$Y,$W:$W,$AA121,$Z:$Z,AJ$1)</f>
        <v>0</v>
      </c>
      <c r="AK121">
        <f>SUMIFS($Y:$Y,$W:$W,$AA121,$Z:$Z,AK$1)</f>
        <v>70036</v>
      </c>
      <c r="AL121">
        <f>SUMIFS($Y:$Y,$W:$W,$AA121,$Z:$Z,AL$1)</f>
        <v>0</v>
      </c>
      <c r="AM121">
        <f>SUMIFS($Y:$Y,$W:$W,$AA121,$Z:$Z,AM$1)</f>
        <v>0</v>
      </c>
      <c r="AN121">
        <f>SUMIFS($Y:$Y,$W:$W,$AA121,$Z:$Z,AN$1)</f>
        <v>0</v>
      </c>
      <c r="AO121">
        <f>SUM(AB121:AN121)</f>
        <v>215270</v>
      </c>
      <c r="AP121" s="8">
        <f t="shared" si="21"/>
        <v>0.60606060606060608</v>
      </c>
      <c r="AQ121" s="8">
        <f t="shared" si="22"/>
        <v>3.9501577328975527E-3</v>
      </c>
      <c r="AR121" s="8">
        <f t="shared" si="26"/>
        <v>0.81990429560707312</v>
      </c>
      <c r="AS121" t="str">
        <f t="shared" si="23"/>
        <v>B</v>
      </c>
      <c r="AT121" s="8">
        <f t="shared" si="24"/>
        <v>1.8990008979512514</v>
      </c>
      <c r="AU121" t="str">
        <f t="shared" si="25"/>
        <v>Z</v>
      </c>
      <c r="AZ121" t="s">
        <v>58</v>
      </c>
      <c r="BA121" t="s">
        <v>471</v>
      </c>
      <c r="BB121" t="s">
        <v>472</v>
      </c>
      <c r="BC121">
        <v>71216</v>
      </c>
      <c r="BD121">
        <v>0</v>
      </c>
      <c r="BE121">
        <v>0</v>
      </c>
      <c r="BF121">
        <v>0</v>
      </c>
      <c r="BG121">
        <v>85152</v>
      </c>
      <c r="BH121">
        <v>0</v>
      </c>
      <c r="BI121">
        <v>0</v>
      </c>
      <c r="BJ121">
        <v>81789</v>
      </c>
      <c r="BK121">
        <v>0</v>
      </c>
      <c r="BL121">
        <v>62582</v>
      </c>
      <c r="BM121">
        <v>0</v>
      </c>
      <c r="BN121">
        <v>0</v>
      </c>
      <c r="BO121">
        <v>0</v>
      </c>
    </row>
    <row r="122" spans="1:67" x14ac:dyDescent="0.25">
      <c r="A122" t="s">
        <v>12</v>
      </c>
      <c r="B122" t="s">
        <v>87</v>
      </c>
      <c r="C122" t="s">
        <v>130</v>
      </c>
      <c r="D122" s="7">
        <v>20080</v>
      </c>
      <c r="E122">
        <v>8</v>
      </c>
      <c r="W122" t="s">
        <v>87</v>
      </c>
      <c r="X122" s="11" t="s">
        <v>130</v>
      </c>
      <c r="Y122" s="7">
        <v>20080</v>
      </c>
      <c r="Z122" s="11" t="str">
        <f t="shared" si="19"/>
        <v>2023-10</v>
      </c>
      <c r="AA122" t="s">
        <v>61</v>
      </c>
      <c r="AB122">
        <f>SUMIFS($Y:$Y,$W:$W,$AA122,$Z:$Z,AB$1)</f>
        <v>21518</v>
      </c>
      <c r="AC122">
        <f>SUMIFS($Y:$Y,$W:$W,$AA122,$Z:$Z,AC$1)</f>
        <v>0</v>
      </c>
      <c r="AD122">
        <f>SUMIFS($Y:$Y,$W:$W,$AA122,$Z:$Z,AD$1)</f>
        <v>0</v>
      </c>
      <c r="AE122">
        <f>SUMIFS($Y:$Y,$W:$W,$AA122,$Z:$Z,AE$1)</f>
        <v>28737</v>
      </c>
      <c r="AF122">
        <f>SUMIFS($Y:$Y,$W:$W,$AA122,$Z:$Z,AF$1)</f>
        <v>0</v>
      </c>
      <c r="AG122">
        <f>SUMIFS($Y:$Y,$W:$W,$AA122,$Z:$Z,AG$1)</f>
        <v>0</v>
      </c>
      <c r="AH122">
        <f>SUMIFS($Y:$Y,$W:$W,$AA122,$Z:$Z,AH$1)</f>
        <v>0</v>
      </c>
      <c r="AI122">
        <f>SUMIFS($Y:$Y,$W:$W,$AA122,$Z:$Z,AI$1)</f>
        <v>59806</v>
      </c>
      <c r="AJ122">
        <f>SUMIFS($Y:$Y,$W:$W,$AA122,$Z:$Z,AJ$1)</f>
        <v>0</v>
      </c>
      <c r="AK122">
        <f>SUMIFS($Y:$Y,$W:$W,$AA122,$Z:$Z,AK$1)</f>
        <v>0</v>
      </c>
      <c r="AL122">
        <f>SUMIFS($Y:$Y,$W:$W,$AA122,$Z:$Z,AL$1)</f>
        <v>0</v>
      </c>
      <c r="AM122">
        <f>SUMIFS($Y:$Y,$W:$W,$AA122,$Z:$Z,AM$1)</f>
        <v>101183</v>
      </c>
      <c r="AN122">
        <f>SUMIFS($Y:$Y,$W:$W,$AA122,$Z:$Z,AN$1)</f>
        <v>0</v>
      </c>
      <c r="AO122">
        <f>SUM(AB122:AN122)</f>
        <v>211244</v>
      </c>
      <c r="AP122" s="8">
        <f t="shared" si="21"/>
        <v>0.61111111111111116</v>
      </c>
      <c r="AQ122" s="8">
        <f t="shared" si="22"/>
        <v>3.8762815075403479E-3</v>
      </c>
      <c r="AR122" s="8">
        <f t="shared" si="26"/>
        <v>0.8237805771146135</v>
      </c>
      <c r="AS122" t="str">
        <f t="shared" si="23"/>
        <v>B</v>
      </c>
      <c r="AT122" s="8">
        <f t="shared" si="24"/>
        <v>1.8439151799893108</v>
      </c>
      <c r="AU122" t="str">
        <f t="shared" si="25"/>
        <v>Z</v>
      </c>
      <c r="AZ122" t="s">
        <v>287</v>
      </c>
      <c r="BA122" t="s">
        <v>471</v>
      </c>
      <c r="BB122" t="s">
        <v>472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89651</v>
      </c>
      <c r="BI122">
        <v>0</v>
      </c>
      <c r="BJ122">
        <v>0</v>
      </c>
      <c r="BK122">
        <v>0</v>
      </c>
      <c r="BL122">
        <v>75381</v>
      </c>
      <c r="BM122">
        <v>75460</v>
      </c>
      <c r="BN122">
        <v>28606</v>
      </c>
      <c r="BO122">
        <v>0</v>
      </c>
    </row>
    <row r="123" spans="1:67" x14ac:dyDescent="0.25">
      <c r="A123" t="s">
        <v>17</v>
      </c>
      <c r="B123" t="s">
        <v>131</v>
      </c>
      <c r="C123" t="s">
        <v>130</v>
      </c>
      <c r="D123" s="7">
        <v>28614</v>
      </c>
      <c r="E123">
        <v>9</v>
      </c>
      <c r="W123" t="s">
        <v>131</v>
      </c>
      <c r="X123" s="11" t="s">
        <v>130</v>
      </c>
      <c r="Y123" s="7">
        <v>28614</v>
      </c>
      <c r="Z123" s="11" t="str">
        <f t="shared" si="19"/>
        <v>2023-10</v>
      </c>
      <c r="AA123" t="s">
        <v>135</v>
      </c>
      <c r="AB123">
        <f>SUMIFS($Y:$Y,$W:$W,$AA123,$Z:$Z,AB$1)</f>
        <v>0</v>
      </c>
      <c r="AC123">
        <f>SUMIFS($Y:$Y,$W:$W,$AA123,$Z:$Z,AC$1)</f>
        <v>40887</v>
      </c>
      <c r="AD123">
        <f>SUMIFS($Y:$Y,$W:$W,$AA123,$Z:$Z,AD$1)</f>
        <v>25652</v>
      </c>
      <c r="AE123">
        <f>SUMIFS($Y:$Y,$W:$W,$AA123,$Z:$Z,AE$1)</f>
        <v>67398</v>
      </c>
      <c r="AF123">
        <f>SUMIFS($Y:$Y,$W:$W,$AA123,$Z:$Z,AF$1)</f>
        <v>50474</v>
      </c>
      <c r="AG123">
        <f>SUMIFS($Y:$Y,$W:$W,$AA123,$Z:$Z,AG$1)</f>
        <v>0</v>
      </c>
      <c r="AH123">
        <f>SUMIFS($Y:$Y,$W:$W,$AA123,$Z:$Z,AH$1)</f>
        <v>0</v>
      </c>
      <c r="AI123">
        <f>SUMIFS($Y:$Y,$W:$W,$AA123,$Z:$Z,AI$1)</f>
        <v>0</v>
      </c>
      <c r="AJ123">
        <f>SUMIFS($Y:$Y,$W:$W,$AA123,$Z:$Z,AJ$1)</f>
        <v>0</v>
      </c>
      <c r="AK123">
        <f>SUMIFS($Y:$Y,$W:$W,$AA123,$Z:$Z,AK$1)</f>
        <v>0</v>
      </c>
      <c r="AL123">
        <f>SUMIFS($Y:$Y,$W:$W,$AA123,$Z:$Z,AL$1)</f>
        <v>0</v>
      </c>
      <c r="AM123">
        <f>SUMIFS($Y:$Y,$W:$W,$AA123,$Z:$Z,AM$1)</f>
        <v>25921</v>
      </c>
      <c r="AN123">
        <f>SUMIFS($Y:$Y,$W:$W,$AA123,$Z:$Z,AN$1)</f>
        <v>0</v>
      </c>
      <c r="AO123">
        <f>SUM(AB123:AN123)</f>
        <v>210332</v>
      </c>
      <c r="AP123" s="8">
        <f t="shared" si="21"/>
        <v>0.61616161616161613</v>
      </c>
      <c r="AQ123" s="8">
        <f t="shared" si="22"/>
        <v>3.8595465056710555E-3</v>
      </c>
      <c r="AR123" s="8">
        <f t="shared" si="26"/>
        <v>0.82764012362028461</v>
      </c>
      <c r="AS123" t="str">
        <f t="shared" si="23"/>
        <v>B</v>
      </c>
      <c r="AT123" s="8">
        <f t="shared" si="24"/>
        <v>1.4019695309014075</v>
      </c>
      <c r="AU123" t="str">
        <f t="shared" si="25"/>
        <v>Z</v>
      </c>
      <c r="AZ123" t="s">
        <v>101</v>
      </c>
      <c r="BA123" t="s">
        <v>471</v>
      </c>
      <c r="BB123" t="s">
        <v>472</v>
      </c>
      <c r="BC123">
        <v>0</v>
      </c>
      <c r="BD123">
        <v>154124</v>
      </c>
      <c r="BE123">
        <v>19972</v>
      </c>
      <c r="BF123">
        <v>0</v>
      </c>
      <c r="BG123">
        <v>0</v>
      </c>
      <c r="BH123">
        <v>21249</v>
      </c>
      <c r="BI123">
        <v>0</v>
      </c>
      <c r="BJ123">
        <v>133791</v>
      </c>
      <c r="BK123">
        <v>14276</v>
      </c>
      <c r="BL123">
        <v>40101</v>
      </c>
      <c r="BM123">
        <v>0</v>
      </c>
      <c r="BN123">
        <v>0</v>
      </c>
      <c r="BO123">
        <v>0</v>
      </c>
    </row>
    <row r="124" spans="1:67" x14ac:dyDescent="0.25">
      <c r="A124" t="s">
        <v>12</v>
      </c>
      <c r="B124" t="s">
        <v>95</v>
      </c>
      <c r="C124" t="s">
        <v>130</v>
      </c>
      <c r="D124" s="7">
        <v>64149</v>
      </c>
      <c r="E124">
        <v>9</v>
      </c>
      <c r="W124" t="s">
        <v>95</v>
      </c>
      <c r="X124" s="11" t="s">
        <v>130</v>
      </c>
      <c r="Y124" s="7">
        <v>64149</v>
      </c>
      <c r="Z124" s="11" t="str">
        <f t="shared" si="19"/>
        <v>2023-10</v>
      </c>
      <c r="AA124" t="s">
        <v>24</v>
      </c>
      <c r="AB124">
        <f>SUMIFS($Y:$Y,$W:$W,$AA124,$Z:$Z,AB$1)</f>
        <v>78553</v>
      </c>
      <c r="AC124">
        <f>SUMIFS($Y:$Y,$W:$W,$AA124,$Z:$Z,AC$1)</f>
        <v>0</v>
      </c>
      <c r="AD124">
        <f>SUMIFS($Y:$Y,$W:$W,$AA124,$Z:$Z,AD$1)</f>
        <v>0</v>
      </c>
      <c r="AE124">
        <f>SUMIFS($Y:$Y,$W:$W,$AA124,$Z:$Z,AE$1)</f>
        <v>0</v>
      </c>
      <c r="AF124">
        <f>SUMIFS($Y:$Y,$W:$W,$AA124,$Z:$Z,AF$1)</f>
        <v>84460</v>
      </c>
      <c r="AG124">
        <f>SUMIFS($Y:$Y,$W:$W,$AA124,$Z:$Z,AG$1)</f>
        <v>0</v>
      </c>
      <c r="AH124">
        <f>SUMIFS($Y:$Y,$W:$W,$AA124,$Z:$Z,AH$1)</f>
        <v>0</v>
      </c>
      <c r="AI124">
        <f>SUMIFS($Y:$Y,$W:$W,$AA124,$Z:$Z,AI$1)</f>
        <v>46122</v>
      </c>
      <c r="AJ124">
        <f>SUMIFS($Y:$Y,$W:$W,$AA124,$Z:$Z,AJ$1)</f>
        <v>0</v>
      </c>
      <c r="AK124">
        <f>SUMIFS($Y:$Y,$W:$W,$AA124,$Z:$Z,AK$1)</f>
        <v>0</v>
      </c>
      <c r="AL124">
        <f>SUMIFS($Y:$Y,$W:$W,$AA124,$Z:$Z,AL$1)</f>
        <v>0</v>
      </c>
      <c r="AM124">
        <f>SUMIFS($Y:$Y,$W:$W,$AA124,$Z:$Z,AM$1)</f>
        <v>0</v>
      </c>
      <c r="AN124">
        <f>SUMIFS($Y:$Y,$W:$W,$AA124,$Z:$Z,AN$1)</f>
        <v>0</v>
      </c>
      <c r="AO124">
        <f>SUM(AB124:AN124)</f>
        <v>209135</v>
      </c>
      <c r="AP124" s="8">
        <f t="shared" si="21"/>
        <v>0.62121212121212122</v>
      </c>
      <c r="AQ124" s="8">
        <f t="shared" si="22"/>
        <v>3.837581815717609E-3</v>
      </c>
      <c r="AR124" s="8">
        <f t="shared" si="26"/>
        <v>0.83147770543600219</v>
      </c>
      <c r="AS124" t="str">
        <f t="shared" si="23"/>
        <v>B</v>
      </c>
      <c r="AT124" s="8">
        <f t="shared" si="24"/>
        <v>1.8938367768126072</v>
      </c>
      <c r="AU124" t="str">
        <f t="shared" si="25"/>
        <v>Z</v>
      </c>
      <c r="AZ124" t="s">
        <v>45</v>
      </c>
      <c r="BA124" t="s">
        <v>471</v>
      </c>
      <c r="BB124" t="s">
        <v>472</v>
      </c>
      <c r="BC124">
        <v>24177</v>
      </c>
      <c r="BD124">
        <v>84544</v>
      </c>
      <c r="BE124">
        <v>0</v>
      </c>
      <c r="BF124">
        <v>0</v>
      </c>
      <c r="BG124">
        <v>79184</v>
      </c>
      <c r="BH124">
        <v>86652</v>
      </c>
      <c r="BI124">
        <v>0</v>
      </c>
      <c r="BJ124">
        <v>0</v>
      </c>
      <c r="BK124">
        <v>0</v>
      </c>
      <c r="BL124">
        <v>0</v>
      </c>
      <c r="BM124">
        <v>100752</v>
      </c>
      <c r="BN124">
        <v>0</v>
      </c>
      <c r="BO124">
        <v>0</v>
      </c>
    </row>
    <row r="125" spans="1:67" x14ac:dyDescent="0.25">
      <c r="A125" t="s">
        <v>23</v>
      </c>
      <c r="B125" t="s">
        <v>41</v>
      </c>
      <c r="C125" t="s">
        <v>130</v>
      </c>
      <c r="D125" s="7">
        <v>43215</v>
      </c>
      <c r="E125">
        <v>9</v>
      </c>
      <c r="W125" t="s">
        <v>41</v>
      </c>
      <c r="X125" s="11" t="s">
        <v>130</v>
      </c>
      <c r="Y125" s="7">
        <v>43215</v>
      </c>
      <c r="Z125" s="11" t="str">
        <f t="shared" si="19"/>
        <v>2023-10</v>
      </c>
      <c r="AA125" t="s">
        <v>254</v>
      </c>
      <c r="AB125">
        <f>SUMIFS($Y:$Y,$W:$W,$AA125,$Z:$Z,AB$1)</f>
        <v>0</v>
      </c>
      <c r="AC125">
        <f>SUMIFS($Y:$Y,$W:$W,$AA125,$Z:$Z,AC$1)</f>
        <v>0</v>
      </c>
      <c r="AD125">
        <f>SUMIFS($Y:$Y,$W:$W,$AA125,$Z:$Z,AD$1)</f>
        <v>0</v>
      </c>
      <c r="AE125">
        <f>SUMIFS($Y:$Y,$W:$W,$AA125,$Z:$Z,AE$1)</f>
        <v>0</v>
      </c>
      <c r="AF125">
        <f>SUMIFS($Y:$Y,$W:$W,$AA125,$Z:$Z,AF$1)</f>
        <v>70886</v>
      </c>
      <c r="AG125">
        <f>SUMIFS($Y:$Y,$W:$W,$AA125,$Z:$Z,AG$1)</f>
        <v>83514</v>
      </c>
      <c r="AH125">
        <f>SUMIFS($Y:$Y,$W:$W,$AA125,$Z:$Z,AH$1)</f>
        <v>51955</v>
      </c>
      <c r="AI125">
        <f>SUMIFS($Y:$Y,$W:$W,$AA125,$Z:$Z,AI$1)</f>
        <v>0</v>
      </c>
      <c r="AJ125">
        <f>SUMIFS($Y:$Y,$W:$W,$AA125,$Z:$Z,AJ$1)</f>
        <v>0</v>
      </c>
      <c r="AK125">
        <f>SUMIFS($Y:$Y,$W:$W,$AA125,$Z:$Z,AK$1)</f>
        <v>0</v>
      </c>
      <c r="AL125">
        <f>SUMIFS($Y:$Y,$W:$W,$AA125,$Z:$Z,AL$1)</f>
        <v>0</v>
      </c>
      <c r="AM125">
        <f>SUMIFS($Y:$Y,$W:$W,$AA125,$Z:$Z,AM$1)</f>
        <v>0</v>
      </c>
      <c r="AN125">
        <f>SUMIFS($Y:$Y,$W:$W,$AA125,$Z:$Z,AN$1)</f>
        <v>0</v>
      </c>
      <c r="AO125">
        <f>SUM(AB125:AN125)</f>
        <v>206355</v>
      </c>
      <c r="AP125" s="8">
        <f t="shared" si="21"/>
        <v>0.6262626262626263</v>
      </c>
      <c r="AQ125" s="8">
        <f t="shared" si="22"/>
        <v>3.7865694196686697E-3</v>
      </c>
      <c r="AR125" s="8">
        <f t="shared" si="26"/>
        <v>0.8352642748556709</v>
      </c>
      <c r="AS125" t="str">
        <f t="shared" si="23"/>
        <v>B</v>
      </c>
      <c r="AT125" s="8">
        <f t="shared" si="24"/>
        <v>1.867454133702612</v>
      </c>
      <c r="AU125" t="str">
        <f t="shared" si="25"/>
        <v>Z</v>
      </c>
      <c r="AZ125" t="s">
        <v>307</v>
      </c>
      <c r="BA125" t="s">
        <v>474</v>
      </c>
      <c r="BB125" t="s">
        <v>472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57668</v>
      </c>
      <c r="BI125">
        <v>0</v>
      </c>
      <c r="BJ125">
        <v>53730</v>
      </c>
      <c r="BK125">
        <v>0</v>
      </c>
      <c r="BL125">
        <v>0</v>
      </c>
      <c r="BM125">
        <v>49360</v>
      </c>
      <c r="BN125">
        <v>0</v>
      </c>
      <c r="BO125">
        <v>0</v>
      </c>
    </row>
    <row r="126" spans="1:67" x14ac:dyDescent="0.25">
      <c r="A126" t="s">
        <v>20</v>
      </c>
      <c r="B126" t="s">
        <v>85</v>
      </c>
      <c r="C126" t="s">
        <v>130</v>
      </c>
      <c r="D126" s="7">
        <v>25978</v>
      </c>
      <c r="E126">
        <v>9</v>
      </c>
      <c r="W126" t="s">
        <v>85</v>
      </c>
      <c r="X126" s="11" t="s">
        <v>130</v>
      </c>
      <c r="Y126" s="7">
        <v>25978</v>
      </c>
      <c r="Z126" s="11" t="str">
        <f t="shared" si="19"/>
        <v>2023-10</v>
      </c>
      <c r="AA126" t="s">
        <v>136</v>
      </c>
      <c r="AB126">
        <f>SUMIFS($Y:$Y,$W:$W,$AA126,$Z:$Z,AB$1)</f>
        <v>0</v>
      </c>
      <c r="AC126">
        <f>SUMIFS($Y:$Y,$W:$W,$AA126,$Z:$Z,AC$1)</f>
        <v>56621</v>
      </c>
      <c r="AD126">
        <f>SUMIFS($Y:$Y,$W:$W,$AA126,$Z:$Z,AD$1)</f>
        <v>0</v>
      </c>
      <c r="AE126">
        <f>SUMIFS($Y:$Y,$W:$W,$AA126,$Z:$Z,AE$1)</f>
        <v>0</v>
      </c>
      <c r="AF126">
        <f>SUMIFS($Y:$Y,$W:$W,$AA126,$Z:$Z,AF$1)</f>
        <v>65326</v>
      </c>
      <c r="AG126">
        <f>SUMIFS($Y:$Y,$W:$W,$AA126,$Z:$Z,AG$1)</f>
        <v>0</v>
      </c>
      <c r="AH126">
        <f>SUMIFS($Y:$Y,$W:$W,$AA126,$Z:$Z,AH$1)</f>
        <v>0</v>
      </c>
      <c r="AI126">
        <f>SUMIFS($Y:$Y,$W:$W,$AA126,$Z:$Z,AI$1)</f>
        <v>0</v>
      </c>
      <c r="AJ126">
        <f>SUMIFS($Y:$Y,$W:$W,$AA126,$Z:$Z,AJ$1)</f>
        <v>40830</v>
      </c>
      <c r="AK126">
        <f>SUMIFS($Y:$Y,$W:$W,$AA126,$Z:$Z,AK$1)</f>
        <v>43231</v>
      </c>
      <c r="AL126">
        <f>SUMIFS($Y:$Y,$W:$W,$AA126,$Z:$Z,AL$1)</f>
        <v>0</v>
      </c>
      <c r="AM126">
        <f>SUMIFS($Y:$Y,$W:$W,$AA126,$Z:$Z,AM$1)</f>
        <v>0</v>
      </c>
      <c r="AN126">
        <f>SUMIFS($Y:$Y,$W:$W,$AA126,$Z:$Z,AN$1)</f>
        <v>0</v>
      </c>
      <c r="AO126">
        <f>SUM(AB126:AN126)</f>
        <v>206008</v>
      </c>
      <c r="AP126" s="8">
        <f t="shared" si="21"/>
        <v>0.63131313131313127</v>
      </c>
      <c r="AQ126" s="8">
        <f t="shared" si="22"/>
        <v>3.7802020450539279E-3</v>
      </c>
      <c r="AR126" s="8">
        <f t="shared" si="26"/>
        <v>0.83904447690072481</v>
      </c>
      <c r="AS126" t="str">
        <f t="shared" si="23"/>
        <v>B</v>
      </c>
      <c r="AT126" s="8">
        <f t="shared" si="24"/>
        <v>1.5402622904882453</v>
      </c>
      <c r="AU126" t="str">
        <f t="shared" si="25"/>
        <v>Z</v>
      </c>
      <c r="AZ126" t="s">
        <v>336</v>
      </c>
      <c r="BA126" t="s">
        <v>474</v>
      </c>
      <c r="BB126" t="s">
        <v>472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21847</v>
      </c>
      <c r="BJ126">
        <v>0</v>
      </c>
      <c r="BK126">
        <v>0</v>
      </c>
      <c r="BL126">
        <v>0</v>
      </c>
      <c r="BM126">
        <v>0</v>
      </c>
      <c r="BN126">
        <v>179952</v>
      </c>
      <c r="BO126">
        <v>0</v>
      </c>
    </row>
    <row r="127" spans="1:67" x14ac:dyDescent="0.25">
      <c r="A127" t="s">
        <v>20</v>
      </c>
      <c r="B127" t="s">
        <v>132</v>
      </c>
      <c r="C127" t="s">
        <v>130</v>
      </c>
      <c r="D127" s="7">
        <v>86872</v>
      </c>
      <c r="E127">
        <v>5</v>
      </c>
      <c r="W127" t="s">
        <v>132</v>
      </c>
      <c r="X127" s="11" t="s">
        <v>130</v>
      </c>
      <c r="Y127" s="7">
        <v>86872</v>
      </c>
      <c r="Z127" s="11" t="str">
        <f t="shared" si="19"/>
        <v>2023-10</v>
      </c>
      <c r="AA127" t="s">
        <v>169</v>
      </c>
      <c r="AB127">
        <f>SUMIFS($Y:$Y,$W:$W,$AA127,$Z:$Z,AB$1)</f>
        <v>0</v>
      </c>
      <c r="AC127">
        <f>SUMIFS($Y:$Y,$W:$W,$AA127,$Z:$Z,AC$1)</f>
        <v>0</v>
      </c>
      <c r="AD127">
        <f>SUMIFS($Y:$Y,$W:$W,$AA127,$Z:$Z,AD$1)</f>
        <v>122155</v>
      </c>
      <c r="AE127">
        <f>SUMIFS($Y:$Y,$W:$W,$AA127,$Z:$Z,AE$1)</f>
        <v>0</v>
      </c>
      <c r="AF127">
        <f>SUMIFS($Y:$Y,$W:$W,$AA127,$Z:$Z,AF$1)</f>
        <v>0</v>
      </c>
      <c r="AG127">
        <f>SUMIFS($Y:$Y,$W:$W,$AA127,$Z:$Z,AG$1)</f>
        <v>0</v>
      </c>
      <c r="AH127">
        <f>SUMIFS($Y:$Y,$W:$W,$AA127,$Z:$Z,AH$1)</f>
        <v>0</v>
      </c>
      <c r="AI127">
        <f>SUMIFS($Y:$Y,$W:$W,$AA127,$Z:$Z,AI$1)</f>
        <v>67320</v>
      </c>
      <c r="AJ127">
        <f>SUMIFS($Y:$Y,$W:$W,$AA127,$Z:$Z,AJ$1)</f>
        <v>0</v>
      </c>
      <c r="AK127">
        <f>SUMIFS($Y:$Y,$W:$W,$AA127,$Z:$Z,AK$1)</f>
        <v>12479</v>
      </c>
      <c r="AL127">
        <f>SUMIFS($Y:$Y,$W:$W,$AA127,$Z:$Z,AL$1)</f>
        <v>0</v>
      </c>
      <c r="AM127">
        <f>SUMIFS($Y:$Y,$W:$W,$AA127,$Z:$Z,AM$1)</f>
        <v>0</v>
      </c>
      <c r="AN127">
        <f>SUMIFS($Y:$Y,$W:$W,$AA127,$Z:$Z,AN$1)</f>
        <v>0</v>
      </c>
      <c r="AO127">
        <f>SUM(AB127:AN127)</f>
        <v>201954</v>
      </c>
      <c r="AP127" s="8">
        <f t="shared" si="21"/>
        <v>0.63636363636363635</v>
      </c>
      <c r="AQ127" s="8">
        <f t="shared" si="22"/>
        <v>3.7058120257796832E-3</v>
      </c>
      <c r="AR127" s="8">
        <f t="shared" si="26"/>
        <v>0.8427502889265045</v>
      </c>
      <c r="AS127" t="str">
        <f t="shared" si="23"/>
        <v>B</v>
      </c>
      <c r="AT127" s="8">
        <f t="shared" si="24"/>
        <v>2.291369766010265</v>
      </c>
      <c r="AU127" t="str">
        <f t="shared" si="25"/>
        <v>Z</v>
      </c>
      <c r="AZ127" t="s">
        <v>274</v>
      </c>
      <c r="BA127" t="s">
        <v>471</v>
      </c>
      <c r="BB127" t="s">
        <v>472</v>
      </c>
      <c r="BC127">
        <v>0</v>
      </c>
      <c r="BD127">
        <v>0</v>
      </c>
      <c r="BE127">
        <v>0</v>
      </c>
      <c r="BF127">
        <v>0</v>
      </c>
      <c r="BG127">
        <v>108423</v>
      </c>
      <c r="BH127">
        <v>0</v>
      </c>
      <c r="BI127">
        <v>43288</v>
      </c>
      <c r="BJ127">
        <v>56449</v>
      </c>
      <c r="BK127">
        <v>74686</v>
      </c>
      <c r="BL127">
        <v>37128</v>
      </c>
      <c r="BM127">
        <v>0</v>
      </c>
      <c r="BN127">
        <v>0</v>
      </c>
      <c r="BO127">
        <v>0</v>
      </c>
    </row>
    <row r="128" spans="1:67" x14ac:dyDescent="0.25">
      <c r="A128" t="s">
        <v>36</v>
      </c>
      <c r="B128" t="s">
        <v>133</v>
      </c>
      <c r="C128" t="s">
        <v>130</v>
      </c>
      <c r="D128" s="7">
        <v>16779</v>
      </c>
      <c r="E128">
        <v>3</v>
      </c>
      <c r="W128" t="s">
        <v>133</v>
      </c>
      <c r="X128" s="11" t="s">
        <v>130</v>
      </c>
      <c r="Y128" s="7">
        <v>16779</v>
      </c>
      <c r="Z128" s="11" t="str">
        <f t="shared" si="19"/>
        <v>2023-10</v>
      </c>
      <c r="AA128" t="s">
        <v>336</v>
      </c>
      <c r="AB128">
        <f>SUMIFS($Y:$Y,$W:$W,$AA128,$Z:$Z,AB$1)</f>
        <v>0</v>
      </c>
      <c r="AC128">
        <f>SUMIFS($Y:$Y,$W:$W,$AA128,$Z:$Z,AC$1)</f>
        <v>0</v>
      </c>
      <c r="AD128">
        <f>SUMIFS($Y:$Y,$W:$W,$AA128,$Z:$Z,AD$1)</f>
        <v>0</v>
      </c>
      <c r="AE128">
        <f>SUMIFS($Y:$Y,$W:$W,$AA128,$Z:$Z,AE$1)</f>
        <v>0</v>
      </c>
      <c r="AF128">
        <f>SUMIFS($Y:$Y,$W:$W,$AA128,$Z:$Z,AF$1)</f>
        <v>0</v>
      </c>
      <c r="AG128">
        <f>SUMIFS($Y:$Y,$W:$W,$AA128,$Z:$Z,AG$1)</f>
        <v>0</v>
      </c>
      <c r="AH128">
        <f>SUMIFS($Y:$Y,$W:$W,$AA128,$Z:$Z,AH$1)</f>
        <v>21847</v>
      </c>
      <c r="AI128">
        <f>SUMIFS($Y:$Y,$W:$W,$AA128,$Z:$Z,AI$1)</f>
        <v>0</v>
      </c>
      <c r="AJ128">
        <f>SUMIFS($Y:$Y,$W:$W,$AA128,$Z:$Z,AJ$1)</f>
        <v>0</v>
      </c>
      <c r="AK128">
        <f>SUMIFS($Y:$Y,$W:$W,$AA128,$Z:$Z,AK$1)</f>
        <v>0</v>
      </c>
      <c r="AL128">
        <f>SUMIFS($Y:$Y,$W:$W,$AA128,$Z:$Z,AL$1)</f>
        <v>0</v>
      </c>
      <c r="AM128">
        <f>SUMIFS($Y:$Y,$W:$W,$AA128,$Z:$Z,AM$1)</f>
        <v>179952</v>
      </c>
      <c r="AN128">
        <f>SUMIFS($Y:$Y,$W:$W,$AA128,$Z:$Z,AN$1)</f>
        <v>0</v>
      </c>
      <c r="AO128">
        <f>SUM(AB128:AN128)</f>
        <v>201799</v>
      </c>
      <c r="AP128" s="8">
        <f t="shared" si="21"/>
        <v>0.64141414141414144</v>
      </c>
      <c r="AQ128" s="8">
        <f t="shared" si="22"/>
        <v>3.7029678094532134E-3</v>
      </c>
      <c r="AR128" s="8">
        <f t="shared" si="26"/>
        <v>0.84645325673595773</v>
      </c>
      <c r="AS128" t="str">
        <f t="shared" si="23"/>
        <v>B</v>
      </c>
      <c r="AT128" s="8">
        <f t="shared" si="24"/>
        <v>3.0805748919210019</v>
      </c>
      <c r="AU128" t="str">
        <f t="shared" si="25"/>
        <v>Z</v>
      </c>
      <c r="AZ128" t="s">
        <v>110</v>
      </c>
      <c r="BA128" t="s">
        <v>471</v>
      </c>
      <c r="BB128" t="s">
        <v>472</v>
      </c>
      <c r="BC128">
        <v>0</v>
      </c>
      <c r="BD128">
        <v>67283</v>
      </c>
      <c r="BE128">
        <v>122733</v>
      </c>
      <c r="BF128">
        <v>50182</v>
      </c>
      <c r="BG128">
        <v>70083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</row>
    <row r="129" spans="1:67" x14ac:dyDescent="0.25">
      <c r="A129" t="s">
        <v>33</v>
      </c>
      <c r="B129" t="s">
        <v>85</v>
      </c>
      <c r="C129" t="s">
        <v>134</v>
      </c>
      <c r="D129" s="7">
        <v>35617</v>
      </c>
      <c r="E129">
        <v>6</v>
      </c>
      <c r="W129" t="s">
        <v>85</v>
      </c>
      <c r="X129" s="11" t="s">
        <v>134</v>
      </c>
      <c r="Y129" s="7">
        <v>35617</v>
      </c>
      <c r="Z129" s="11" t="str">
        <f t="shared" si="19"/>
        <v>2023-10</v>
      </c>
      <c r="AA129" t="s">
        <v>213</v>
      </c>
      <c r="AB129">
        <f>SUMIFS($Y:$Y,$W:$W,$AA129,$Z:$Z,AB$1)</f>
        <v>0</v>
      </c>
      <c r="AC129">
        <f>SUMIFS($Y:$Y,$W:$W,$AA129,$Z:$Z,AC$1)</f>
        <v>0</v>
      </c>
      <c r="AD129">
        <f>SUMIFS($Y:$Y,$W:$W,$AA129,$Z:$Z,AD$1)</f>
        <v>0</v>
      </c>
      <c r="AE129">
        <f>SUMIFS($Y:$Y,$W:$W,$AA129,$Z:$Z,AE$1)</f>
        <v>27645</v>
      </c>
      <c r="AF129">
        <f>SUMIFS($Y:$Y,$W:$W,$AA129,$Z:$Z,AF$1)</f>
        <v>78057</v>
      </c>
      <c r="AG129">
        <f>SUMIFS($Y:$Y,$W:$W,$AA129,$Z:$Z,AG$1)</f>
        <v>0</v>
      </c>
      <c r="AH129">
        <f>SUMIFS($Y:$Y,$W:$W,$AA129,$Z:$Z,AH$1)</f>
        <v>0</v>
      </c>
      <c r="AI129">
        <f>SUMIFS($Y:$Y,$W:$W,$AA129,$Z:$Z,AI$1)</f>
        <v>0</v>
      </c>
      <c r="AJ129">
        <f>SUMIFS($Y:$Y,$W:$W,$AA129,$Z:$Z,AJ$1)</f>
        <v>83365</v>
      </c>
      <c r="AK129">
        <f>SUMIFS($Y:$Y,$W:$W,$AA129,$Z:$Z,AK$1)</f>
        <v>12350</v>
      </c>
      <c r="AL129">
        <f>SUMIFS($Y:$Y,$W:$W,$AA129,$Z:$Z,AL$1)</f>
        <v>0</v>
      </c>
      <c r="AM129">
        <f>SUMIFS($Y:$Y,$W:$W,$AA129,$Z:$Z,AM$1)</f>
        <v>0</v>
      </c>
      <c r="AN129">
        <f>SUMIFS($Y:$Y,$W:$W,$AA129,$Z:$Z,AN$1)</f>
        <v>0</v>
      </c>
      <c r="AO129">
        <f>SUM(AB129:AN129)</f>
        <v>201417</v>
      </c>
      <c r="AP129" s="8">
        <f t="shared" si="21"/>
        <v>0.64646464646464652</v>
      </c>
      <c r="AQ129" s="8">
        <f t="shared" si="22"/>
        <v>3.6959581924421721E-3</v>
      </c>
      <c r="AR129" s="8">
        <f t="shared" si="26"/>
        <v>0.8501492149283999</v>
      </c>
      <c r="AS129" t="str">
        <f t="shared" si="23"/>
        <v>B</v>
      </c>
      <c r="AT129" s="8">
        <f t="shared" si="24"/>
        <v>1.8636499442753358</v>
      </c>
      <c r="AU129" t="str">
        <f t="shared" si="25"/>
        <v>Z</v>
      </c>
      <c r="AZ129" t="s">
        <v>91</v>
      </c>
      <c r="BA129" t="s">
        <v>471</v>
      </c>
      <c r="BB129" t="s">
        <v>472</v>
      </c>
      <c r="BC129">
        <v>16470</v>
      </c>
      <c r="BD129">
        <v>60470</v>
      </c>
      <c r="BE129">
        <v>0</v>
      </c>
      <c r="BF129">
        <v>89831</v>
      </c>
      <c r="BG129">
        <v>17985</v>
      </c>
      <c r="BH129">
        <v>0</v>
      </c>
      <c r="BI129">
        <v>77642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</row>
    <row r="130" spans="1:67" x14ac:dyDescent="0.25">
      <c r="A130" t="s">
        <v>32</v>
      </c>
      <c r="B130" t="s">
        <v>135</v>
      </c>
      <c r="C130" t="s">
        <v>134</v>
      </c>
      <c r="D130" s="7">
        <v>40887</v>
      </c>
      <c r="E130">
        <v>7</v>
      </c>
      <c r="W130" t="s">
        <v>135</v>
      </c>
      <c r="X130" s="11" t="s">
        <v>134</v>
      </c>
      <c r="Y130" s="7">
        <v>40887</v>
      </c>
      <c r="Z130" s="11" t="str">
        <f t="shared" si="19"/>
        <v>2023-10</v>
      </c>
      <c r="AA130" t="s">
        <v>62</v>
      </c>
      <c r="AB130">
        <f>SUMIFS($Y:$Y,$W:$W,$AA130,$Z:$Z,AB$1)</f>
        <v>94451</v>
      </c>
      <c r="AC130">
        <f>SUMIFS($Y:$Y,$W:$W,$AA130,$Z:$Z,AC$1)</f>
        <v>45478</v>
      </c>
      <c r="AD130">
        <f>SUMIFS($Y:$Y,$W:$W,$AA130,$Z:$Z,AD$1)</f>
        <v>0</v>
      </c>
      <c r="AE130">
        <f>SUMIFS($Y:$Y,$W:$W,$AA130,$Z:$Z,AE$1)</f>
        <v>0</v>
      </c>
      <c r="AF130">
        <f>SUMIFS($Y:$Y,$W:$W,$AA130,$Z:$Z,AF$1)</f>
        <v>58525</v>
      </c>
      <c r="AG130">
        <f>SUMIFS($Y:$Y,$W:$W,$AA130,$Z:$Z,AG$1)</f>
        <v>0</v>
      </c>
      <c r="AH130">
        <f>SUMIFS($Y:$Y,$W:$W,$AA130,$Z:$Z,AH$1)</f>
        <v>0</v>
      </c>
      <c r="AI130">
        <f>SUMIFS($Y:$Y,$W:$W,$AA130,$Z:$Z,AI$1)</f>
        <v>0</v>
      </c>
      <c r="AJ130">
        <f>SUMIFS($Y:$Y,$W:$W,$AA130,$Z:$Z,AJ$1)</f>
        <v>0</v>
      </c>
      <c r="AK130">
        <f>SUMIFS($Y:$Y,$W:$W,$AA130,$Z:$Z,AK$1)</f>
        <v>0</v>
      </c>
      <c r="AL130">
        <f>SUMIFS($Y:$Y,$W:$W,$AA130,$Z:$Z,AL$1)</f>
        <v>0</v>
      </c>
      <c r="AM130">
        <f>SUMIFS($Y:$Y,$W:$W,$AA130,$Z:$Z,AM$1)</f>
        <v>0</v>
      </c>
      <c r="AN130">
        <f>SUMIFS($Y:$Y,$W:$W,$AA130,$Z:$Z,AN$1)</f>
        <v>0</v>
      </c>
      <c r="AO130">
        <f>SUM(AB130:AN130)</f>
        <v>198454</v>
      </c>
      <c r="AP130" s="8">
        <f t="shared" ref="AP130:AP161" si="27">(ROW()-1) / 198</f>
        <v>0.65151515151515149</v>
      </c>
      <c r="AQ130" s="8">
        <f t="shared" ref="AQ130:AQ161" si="28">AO130/$AO$1</f>
        <v>3.6415877861497234E-3</v>
      </c>
      <c r="AR130" s="8">
        <f t="shared" si="26"/>
        <v>0.85379080271454966</v>
      </c>
      <c r="AS130" t="str">
        <f t="shared" ref="AS130:AS161" si="29">IF(AR130&lt;80%,"A",IF(AR130&lt;95.0000001%,"B","C"))</f>
        <v>B</v>
      </c>
      <c r="AT130" s="8">
        <f t="shared" ref="AT130:AT161" si="30">_xlfn.STDEV.P(AB130:AN130)/AVERAGE(AB130:AN130)</f>
        <v>1.9385455325267649</v>
      </c>
      <c r="AU130" t="str">
        <f t="shared" ref="AU130:AU161" si="31">IF(AT130&lt;10%,"X",IF(AT130&lt;25%,"Y","Z"))</f>
        <v>Z</v>
      </c>
      <c r="AZ130" t="s">
        <v>278</v>
      </c>
      <c r="BA130" t="s">
        <v>478</v>
      </c>
      <c r="BB130" t="s">
        <v>472</v>
      </c>
      <c r="BC130">
        <v>0</v>
      </c>
      <c r="BD130">
        <v>0</v>
      </c>
      <c r="BE130">
        <v>0</v>
      </c>
      <c r="BF130">
        <v>0</v>
      </c>
      <c r="BG130">
        <v>73054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</row>
    <row r="131" spans="1:67" x14ac:dyDescent="0.25">
      <c r="A131" t="s">
        <v>32</v>
      </c>
      <c r="B131" t="s">
        <v>51</v>
      </c>
      <c r="C131" t="s">
        <v>134</v>
      </c>
      <c r="D131" s="7">
        <v>46636</v>
      </c>
      <c r="E131">
        <v>6</v>
      </c>
      <c r="W131" t="s">
        <v>51</v>
      </c>
      <c r="X131" s="11" t="s">
        <v>134</v>
      </c>
      <c r="Y131" s="7">
        <v>46636</v>
      </c>
      <c r="Z131" s="11" t="str">
        <f t="shared" ref="Z131:Z194" si="32">MID(X131,1,4)&amp;"-"&amp;IF(MID(X131,6,1)*1=0,MID(X131,7,1),MID(X131,6,2))</f>
        <v>2023-10</v>
      </c>
      <c r="AA131" t="s">
        <v>144</v>
      </c>
      <c r="AB131">
        <f>SUMIFS($Y:$Y,$W:$W,$AA131,$Z:$Z,AB$1)</f>
        <v>0</v>
      </c>
      <c r="AC131">
        <f>SUMIFS($Y:$Y,$W:$W,$AA131,$Z:$Z,AC$1)</f>
        <v>18331</v>
      </c>
      <c r="AD131">
        <f>SUMIFS($Y:$Y,$W:$W,$AA131,$Z:$Z,AD$1)</f>
        <v>85589</v>
      </c>
      <c r="AE131">
        <f>SUMIFS($Y:$Y,$W:$W,$AA131,$Z:$Z,AE$1)</f>
        <v>0</v>
      </c>
      <c r="AF131">
        <f>SUMIFS($Y:$Y,$W:$W,$AA131,$Z:$Z,AF$1)</f>
        <v>43217</v>
      </c>
      <c r="AG131">
        <f>SUMIFS($Y:$Y,$W:$W,$AA131,$Z:$Z,AG$1)</f>
        <v>0</v>
      </c>
      <c r="AH131">
        <f>SUMIFS($Y:$Y,$W:$W,$AA131,$Z:$Z,AH$1)</f>
        <v>0</v>
      </c>
      <c r="AI131">
        <f>SUMIFS($Y:$Y,$W:$W,$AA131,$Z:$Z,AI$1)</f>
        <v>0</v>
      </c>
      <c r="AJ131">
        <f>SUMIFS($Y:$Y,$W:$W,$AA131,$Z:$Z,AJ$1)</f>
        <v>0</v>
      </c>
      <c r="AK131">
        <f>SUMIFS($Y:$Y,$W:$W,$AA131,$Z:$Z,AK$1)</f>
        <v>0</v>
      </c>
      <c r="AL131">
        <f>SUMIFS($Y:$Y,$W:$W,$AA131,$Z:$Z,AL$1)</f>
        <v>45801</v>
      </c>
      <c r="AM131">
        <f>SUMIFS($Y:$Y,$W:$W,$AA131,$Z:$Z,AM$1)</f>
        <v>0</v>
      </c>
      <c r="AN131">
        <f>SUMIFS($Y:$Y,$W:$W,$AA131,$Z:$Z,AN$1)</f>
        <v>0</v>
      </c>
      <c r="AO131">
        <f>SUM(AB131:AN131)</f>
        <v>192938</v>
      </c>
      <c r="AP131" s="8">
        <f t="shared" si="27"/>
        <v>0.65656565656565657</v>
      </c>
      <c r="AQ131" s="8">
        <f t="shared" si="28"/>
        <v>3.5403703844929068E-3</v>
      </c>
      <c r="AR131" s="8">
        <f t="shared" ref="AR131:AR162" si="33">AR130+AQ131</f>
        <v>0.85733117309904261</v>
      </c>
      <c r="AS131" t="str">
        <f t="shared" si="29"/>
        <v>B</v>
      </c>
      <c r="AT131" s="8">
        <f t="shared" si="30"/>
        <v>1.749412024548235</v>
      </c>
      <c r="AU131" t="str">
        <f t="shared" si="31"/>
        <v>Z</v>
      </c>
      <c r="AZ131" t="s">
        <v>266</v>
      </c>
      <c r="BA131" t="s">
        <v>471</v>
      </c>
      <c r="BB131" t="s">
        <v>472</v>
      </c>
      <c r="BC131">
        <v>0</v>
      </c>
      <c r="BD131">
        <v>0</v>
      </c>
      <c r="BE131">
        <v>0</v>
      </c>
      <c r="BF131">
        <v>0</v>
      </c>
      <c r="BG131">
        <v>43308</v>
      </c>
      <c r="BH131">
        <v>75168</v>
      </c>
      <c r="BI131">
        <v>92745</v>
      </c>
      <c r="BJ131">
        <v>88348</v>
      </c>
      <c r="BK131">
        <v>0</v>
      </c>
      <c r="BL131">
        <v>0</v>
      </c>
      <c r="BM131">
        <v>90039</v>
      </c>
      <c r="BN131">
        <v>92451</v>
      </c>
      <c r="BO131">
        <v>0</v>
      </c>
    </row>
    <row r="132" spans="1:67" x14ac:dyDescent="0.25">
      <c r="A132" t="s">
        <v>23</v>
      </c>
      <c r="B132" t="s">
        <v>136</v>
      </c>
      <c r="C132" t="s">
        <v>134</v>
      </c>
      <c r="D132" s="7">
        <v>56621</v>
      </c>
      <c r="E132">
        <v>8</v>
      </c>
      <c r="W132" t="s">
        <v>136</v>
      </c>
      <c r="X132" s="11" t="s">
        <v>134</v>
      </c>
      <c r="Y132" s="7">
        <v>56621</v>
      </c>
      <c r="Z132" s="11" t="str">
        <f t="shared" si="32"/>
        <v>2023-10</v>
      </c>
      <c r="AA132" t="s">
        <v>237</v>
      </c>
      <c r="AB132">
        <f>SUMIFS($Y:$Y,$W:$W,$AA132,$Z:$Z,AB$1)</f>
        <v>0</v>
      </c>
      <c r="AC132">
        <f>SUMIFS($Y:$Y,$W:$W,$AA132,$Z:$Z,AC$1)</f>
        <v>0</v>
      </c>
      <c r="AD132">
        <f>SUMIFS($Y:$Y,$W:$W,$AA132,$Z:$Z,AD$1)</f>
        <v>0</v>
      </c>
      <c r="AE132">
        <f>SUMIFS($Y:$Y,$W:$W,$AA132,$Z:$Z,AE$1)</f>
        <v>26961</v>
      </c>
      <c r="AF132">
        <f>SUMIFS($Y:$Y,$W:$W,$AA132,$Z:$Z,AF$1)</f>
        <v>0</v>
      </c>
      <c r="AG132">
        <f>SUMIFS($Y:$Y,$W:$W,$AA132,$Z:$Z,AG$1)</f>
        <v>0</v>
      </c>
      <c r="AH132">
        <f>SUMIFS($Y:$Y,$W:$W,$AA132,$Z:$Z,AH$1)</f>
        <v>67201</v>
      </c>
      <c r="AI132">
        <f>SUMIFS($Y:$Y,$W:$W,$AA132,$Z:$Z,AI$1)</f>
        <v>0</v>
      </c>
      <c r="AJ132">
        <f>SUMIFS($Y:$Y,$W:$W,$AA132,$Z:$Z,AJ$1)</f>
        <v>0</v>
      </c>
      <c r="AK132">
        <f>SUMIFS($Y:$Y,$W:$W,$AA132,$Z:$Z,AK$1)</f>
        <v>0</v>
      </c>
      <c r="AL132">
        <f>SUMIFS($Y:$Y,$W:$W,$AA132,$Z:$Z,AL$1)</f>
        <v>22186</v>
      </c>
      <c r="AM132">
        <f>SUMIFS($Y:$Y,$W:$W,$AA132,$Z:$Z,AM$1)</f>
        <v>72366</v>
      </c>
      <c r="AN132">
        <f>SUMIFS($Y:$Y,$W:$W,$AA132,$Z:$Z,AN$1)</f>
        <v>0</v>
      </c>
      <c r="AO132">
        <f>SUM(AB132:AN132)</f>
        <v>188714</v>
      </c>
      <c r="AP132" s="8">
        <f t="shared" si="27"/>
        <v>0.66161616161616166</v>
      </c>
      <c r="AQ132" s="8">
        <f t="shared" si="28"/>
        <v>3.4628609021509211E-3</v>
      </c>
      <c r="AR132" s="8">
        <f t="shared" si="33"/>
        <v>0.86079403400119348</v>
      </c>
      <c r="AS132" t="str">
        <f t="shared" si="29"/>
        <v>B</v>
      </c>
      <c r="AT132" s="8">
        <f t="shared" si="30"/>
        <v>1.7335347588164289</v>
      </c>
      <c r="AU132" t="str">
        <f t="shared" si="31"/>
        <v>Z</v>
      </c>
      <c r="AZ132" t="s">
        <v>44</v>
      </c>
      <c r="BA132" t="s">
        <v>471</v>
      </c>
      <c r="BB132" t="s">
        <v>472</v>
      </c>
      <c r="BC132">
        <v>38155</v>
      </c>
      <c r="BD132">
        <v>0</v>
      </c>
      <c r="BE132">
        <v>74351</v>
      </c>
      <c r="BF132">
        <v>74728</v>
      </c>
      <c r="BG132">
        <v>0</v>
      </c>
      <c r="BH132">
        <v>0</v>
      </c>
      <c r="BI132">
        <v>0</v>
      </c>
      <c r="BJ132">
        <v>98190</v>
      </c>
      <c r="BK132">
        <v>133609</v>
      </c>
      <c r="BL132">
        <v>0</v>
      </c>
      <c r="BM132">
        <v>0</v>
      </c>
      <c r="BN132">
        <v>70697</v>
      </c>
      <c r="BO132">
        <v>0</v>
      </c>
    </row>
    <row r="133" spans="1:67" x14ac:dyDescent="0.25">
      <c r="A133" t="s">
        <v>20</v>
      </c>
      <c r="B133" t="s">
        <v>53</v>
      </c>
      <c r="C133" t="s">
        <v>137</v>
      </c>
      <c r="D133" s="7">
        <v>91297</v>
      </c>
      <c r="E133">
        <v>10</v>
      </c>
      <c r="W133" t="s">
        <v>53</v>
      </c>
      <c r="X133" s="11" t="s">
        <v>137</v>
      </c>
      <c r="Y133" s="7">
        <v>91297</v>
      </c>
      <c r="Z133" s="11" t="str">
        <f t="shared" si="32"/>
        <v>2023-10</v>
      </c>
      <c r="AA133" t="s">
        <v>190</v>
      </c>
      <c r="AB133">
        <f>SUMIFS($Y:$Y,$W:$W,$AA133,$Z:$Z,AB$1)</f>
        <v>0</v>
      </c>
      <c r="AC133">
        <f>SUMIFS($Y:$Y,$W:$W,$AA133,$Z:$Z,AC$1)</f>
        <v>0</v>
      </c>
      <c r="AD133">
        <f>SUMIFS($Y:$Y,$W:$W,$AA133,$Z:$Z,AD$1)</f>
        <v>28924</v>
      </c>
      <c r="AE133">
        <f>SUMIFS($Y:$Y,$W:$W,$AA133,$Z:$Z,AE$1)</f>
        <v>0</v>
      </c>
      <c r="AF133">
        <f>SUMIFS($Y:$Y,$W:$W,$AA133,$Z:$Z,AF$1)</f>
        <v>0</v>
      </c>
      <c r="AG133">
        <f>SUMIFS($Y:$Y,$W:$W,$AA133,$Z:$Z,AG$1)</f>
        <v>24162</v>
      </c>
      <c r="AH133">
        <f>SUMIFS($Y:$Y,$W:$W,$AA133,$Z:$Z,AH$1)</f>
        <v>0</v>
      </c>
      <c r="AI133">
        <f>SUMIFS($Y:$Y,$W:$W,$AA133,$Z:$Z,AI$1)</f>
        <v>0</v>
      </c>
      <c r="AJ133">
        <f>SUMIFS($Y:$Y,$W:$W,$AA133,$Z:$Z,AJ$1)</f>
        <v>85329</v>
      </c>
      <c r="AK133">
        <f>SUMIFS($Y:$Y,$W:$W,$AA133,$Z:$Z,AK$1)</f>
        <v>49332</v>
      </c>
      <c r="AL133">
        <f>SUMIFS($Y:$Y,$W:$W,$AA133,$Z:$Z,AL$1)</f>
        <v>0</v>
      </c>
      <c r="AM133">
        <f>SUMIFS($Y:$Y,$W:$W,$AA133,$Z:$Z,AM$1)</f>
        <v>0</v>
      </c>
      <c r="AN133">
        <f>SUMIFS($Y:$Y,$W:$W,$AA133,$Z:$Z,AN$1)</f>
        <v>0</v>
      </c>
      <c r="AO133">
        <f>SUM(AB133:AN133)</f>
        <v>187747</v>
      </c>
      <c r="AP133" s="8">
        <f t="shared" si="27"/>
        <v>0.66666666666666663</v>
      </c>
      <c r="AQ133" s="8">
        <f t="shared" si="28"/>
        <v>3.4451166622303008E-3</v>
      </c>
      <c r="AR133" s="8">
        <f t="shared" si="33"/>
        <v>0.86423915066342383</v>
      </c>
      <c r="AS133" t="str">
        <f t="shared" si="29"/>
        <v>B</v>
      </c>
      <c r="AT133" s="8">
        <f t="shared" si="30"/>
        <v>1.7625776399618289</v>
      </c>
      <c r="AU133" t="str">
        <f t="shared" si="31"/>
        <v>Z</v>
      </c>
      <c r="AZ133" t="s">
        <v>25</v>
      </c>
      <c r="BA133" t="s">
        <v>471</v>
      </c>
      <c r="BB133" t="s">
        <v>472</v>
      </c>
      <c r="BC133">
        <v>87463</v>
      </c>
      <c r="BD133">
        <v>0</v>
      </c>
      <c r="BE133">
        <v>13269</v>
      </c>
      <c r="BF133">
        <v>76331</v>
      </c>
      <c r="BG133">
        <v>0</v>
      </c>
      <c r="BH133">
        <v>0</v>
      </c>
      <c r="BI133">
        <v>13313</v>
      </c>
      <c r="BJ133">
        <v>0</v>
      </c>
      <c r="BK133">
        <v>0</v>
      </c>
      <c r="BL133">
        <v>84883</v>
      </c>
      <c r="BM133">
        <v>52335</v>
      </c>
      <c r="BN133">
        <v>0</v>
      </c>
      <c r="BO133">
        <v>0</v>
      </c>
    </row>
    <row r="134" spans="1:67" x14ac:dyDescent="0.25">
      <c r="A134" t="s">
        <v>10</v>
      </c>
      <c r="B134" t="s">
        <v>53</v>
      </c>
      <c r="C134" t="s">
        <v>137</v>
      </c>
      <c r="D134" s="7">
        <v>23091</v>
      </c>
      <c r="E134">
        <v>6</v>
      </c>
      <c r="W134" t="s">
        <v>53</v>
      </c>
      <c r="X134" s="11" t="s">
        <v>137</v>
      </c>
      <c r="Y134" s="7">
        <v>23091</v>
      </c>
      <c r="Z134" s="11" t="str">
        <f t="shared" si="32"/>
        <v>2023-10</v>
      </c>
      <c r="AA134" t="s">
        <v>334</v>
      </c>
      <c r="AB134">
        <f>SUMIFS($Y:$Y,$W:$W,$AA134,$Z:$Z,AB$1)</f>
        <v>0</v>
      </c>
      <c r="AC134">
        <f>SUMIFS($Y:$Y,$W:$W,$AA134,$Z:$Z,AC$1)</f>
        <v>0</v>
      </c>
      <c r="AD134">
        <f>SUMIFS($Y:$Y,$W:$W,$AA134,$Z:$Z,AD$1)</f>
        <v>0</v>
      </c>
      <c r="AE134">
        <f>SUMIFS($Y:$Y,$W:$W,$AA134,$Z:$Z,AE$1)</f>
        <v>0</v>
      </c>
      <c r="AF134">
        <f>SUMIFS($Y:$Y,$W:$W,$AA134,$Z:$Z,AF$1)</f>
        <v>0</v>
      </c>
      <c r="AG134">
        <f>SUMIFS($Y:$Y,$W:$W,$AA134,$Z:$Z,AG$1)</f>
        <v>0</v>
      </c>
      <c r="AH134">
        <f>SUMIFS($Y:$Y,$W:$W,$AA134,$Z:$Z,AH$1)</f>
        <v>26311</v>
      </c>
      <c r="AI134">
        <f>SUMIFS($Y:$Y,$W:$W,$AA134,$Z:$Z,AI$1)</f>
        <v>62961</v>
      </c>
      <c r="AJ134">
        <f>SUMIFS($Y:$Y,$W:$W,$AA134,$Z:$Z,AJ$1)</f>
        <v>0</v>
      </c>
      <c r="AK134">
        <f>SUMIFS($Y:$Y,$W:$W,$AA134,$Z:$Z,AK$1)</f>
        <v>0</v>
      </c>
      <c r="AL134">
        <f>SUMIFS($Y:$Y,$W:$W,$AA134,$Z:$Z,AL$1)</f>
        <v>0</v>
      </c>
      <c r="AM134">
        <f>SUMIFS($Y:$Y,$W:$W,$AA134,$Z:$Z,AM$1)</f>
        <v>98093</v>
      </c>
      <c r="AN134">
        <f>SUMIFS($Y:$Y,$W:$W,$AA134,$Z:$Z,AN$1)</f>
        <v>0</v>
      </c>
      <c r="AO134">
        <f>SUM(AB134:AN134)</f>
        <v>187365</v>
      </c>
      <c r="AP134" s="8">
        <f t="shared" si="27"/>
        <v>0.67171717171717171</v>
      </c>
      <c r="AQ134" s="8">
        <f t="shared" si="28"/>
        <v>3.4381070452192595E-3</v>
      </c>
      <c r="AR134" s="8">
        <f t="shared" si="33"/>
        <v>0.86767725770864312</v>
      </c>
      <c r="AS134" t="str">
        <f t="shared" si="29"/>
        <v>B</v>
      </c>
      <c r="AT134" s="8">
        <f t="shared" si="30"/>
        <v>2.0706321820570808</v>
      </c>
      <c r="AU134" t="str">
        <f t="shared" si="31"/>
        <v>Z</v>
      </c>
      <c r="AZ134" t="s">
        <v>241</v>
      </c>
      <c r="BA134" t="s">
        <v>474</v>
      </c>
      <c r="BB134" t="s">
        <v>472</v>
      </c>
      <c r="BC134">
        <v>0</v>
      </c>
      <c r="BD134">
        <v>0</v>
      </c>
      <c r="BE134">
        <v>0</v>
      </c>
      <c r="BF134">
        <v>51582</v>
      </c>
      <c r="BG134">
        <v>0</v>
      </c>
      <c r="BH134">
        <v>0</v>
      </c>
      <c r="BI134">
        <v>62295</v>
      </c>
      <c r="BJ134">
        <v>0</v>
      </c>
      <c r="BK134">
        <v>70059</v>
      </c>
      <c r="BL134">
        <v>0</v>
      </c>
      <c r="BM134">
        <v>0</v>
      </c>
      <c r="BN134">
        <v>0</v>
      </c>
      <c r="BO134">
        <v>0</v>
      </c>
    </row>
    <row r="135" spans="1:67" x14ac:dyDescent="0.25">
      <c r="A135" t="s">
        <v>5</v>
      </c>
      <c r="B135" t="s">
        <v>138</v>
      </c>
      <c r="C135" t="s">
        <v>137</v>
      </c>
      <c r="D135" s="7">
        <v>71980</v>
      </c>
      <c r="E135">
        <v>8</v>
      </c>
      <c r="W135" t="s">
        <v>138</v>
      </c>
      <c r="X135" s="11" t="s">
        <v>137</v>
      </c>
      <c r="Y135" s="7">
        <v>71980</v>
      </c>
      <c r="Z135" s="11" t="str">
        <f t="shared" si="32"/>
        <v>2023-10</v>
      </c>
      <c r="AA135" t="s">
        <v>107</v>
      </c>
      <c r="AB135">
        <f>SUMIFS($Y:$Y,$W:$W,$AA135,$Z:$Z,AB$1)</f>
        <v>0</v>
      </c>
      <c r="AC135">
        <f>SUMIFS($Y:$Y,$W:$W,$AA135,$Z:$Z,AC$1)</f>
        <v>61586</v>
      </c>
      <c r="AD135">
        <f>SUMIFS($Y:$Y,$W:$W,$AA135,$Z:$Z,AD$1)</f>
        <v>0</v>
      </c>
      <c r="AE135">
        <f>SUMIFS($Y:$Y,$W:$W,$AA135,$Z:$Z,AE$1)</f>
        <v>0</v>
      </c>
      <c r="AF135">
        <f>SUMIFS($Y:$Y,$W:$W,$AA135,$Z:$Z,AF$1)</f>
        <v>95020</v>
      </c>
      <c r="AG135">
        <f>SUMIFS($Y:$Y,$W:$W,$AA135,$Z:$Z,AG$1)</f>
        <v>0</v>
      </c>
      <c r="AH135">
        <f>SUMIFS($Y:$Y,$W:$W,$AA135,$Z:$Z,AH$1)</f>
        <v>28775</v>
      </c>
      <c r="AI135">
        <f>SUMIFS($Y:$Y,$W:$W,$AA135,$Z:$Z,AI$1)</f>
        <v>0</v>
      </c>
      <c r="AJ135">
        <f>SUMIFS($Y:$Y,$W:$W,$AA135,$Z:$Z,AJ$1)</f>
        <v>0</v>
      </c>
      <c r="AK135">
        <f>SUMIFS($Y:$Y,$W:$W,$AA135,$Z:$Z,AK$1)</f>
        <v>0</v>
      </c>
      <c r="AL135">
        <f>SUMIFS($Y:$Y,$W:$W,$AA135,$Z:$Z,AL$1)</f>
        <v>0</v>
      </c>
      <c r="AM135">
        <f>SUMIFS($Y:$Y,$W:$W,$AA135,$Z:$Z,AM$1)</f>
        <v>0</v>
      </c>
      <c r="AN135">
        <f>SUMIFS($Y:$Y,$W:$W,$AA135,$Z:$Z,AN$1)</f>
        <v>0</v>
      </c>
      <c r="AO135">
        <f>SUM(AB135:AN135)</f>
        <v>185381</v>
      </c>
      <c r="AP135" s="8">
        <f t="shared" si="27"/>
        <v>0.6767676767676768</v>
      </c>
      <c r="AQ135" s="8">
        <f t="shared" si="28"/>
        <v>3.401701076240448E-3</v>
      </c>
      <c r="AR135" s="8">
        <f t="shared" si="33"/>
        <v>0.87107895878488362</v>
      </c>
      <c r="AS135" t="str">
        <f t="shared" si="29"/>
        <v>B</v>
      </c>
      <c r="AT135" s="8">
        <f t="shared" si="30"/>
        <v>2.0404359552934248</v>
      </c>
      <c r="AU135" t="str">
        <f t="shared" si="31"/>
        <v>Z</v>
      </c>
      <c r="AZ135" t="s">
        <v>144</v>
      </c>
      <c r="BA135" t="s">
        <v>474</v>
      </c>
      <c r="BB135" t="s">
        <v>472</v>
      </c>
      <c r="BC135">
        <v>0</v>
      </c>
      <c r="BD135">
        <v>18331</v>
      </c>
      <c r="BE135">
        <v>85589</v>
      </c>
      <c r="BF135">
        <v>0</v>
      </c>
      <c r="BG135">
        <v>43217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45801</v>
      </c>
      <c r="BN135">
        <v>0</v>
      </c>
      <c r="BO135">
        <v>0</v>
      </c>
    </row>
    <row r="136" spans="1:67" x14ac:dyDescent="0.25">
      <c r="A136" t="s">
        <v>32</v>
      </c>
      <c r="B136" t="s">
        <v>37</v>
      </c>
      <c r="C136" t="s">
        <v>137</v>
      </c>
      <c r="D136" s="7">
        <v>98753</v>
      </c>
      <c r="E136">
        <v>9</v>
      </c>
      <c r="W136" t="s">
        <v>37</v>
      </c>
      <c r="X136" s="11" t="s">
        <v>137</v>
      </c>
      <c r="Y136" s="7">
        <v>98753</v>
      </c>
      <c r="Z136" s="11" t="str">
        <f t="shared" si="32"/>
        <v>2023-10</v>
      </c>
      <c r="AA136" t="s">
        <v>241</v>
      </c>
      <c r="AB136">
        <f>SUMIFS($Y:$Y,$W:$W,$AA136,$Z:$Z,AB$1)</f>
        <v>0</v>
      </c>
      <c r="AC136">
        <f>SUMIFS($Y:$Y,$W:$W,$AA136,$Z:$Z,AC$1)</f>
        <v>0</v>
      </c>
      <c r="AD136">
        <f>SUMIFS($Y:$Y,$W:$W,$AA136,$Z:$Z,AD$1)</f>
        <v>0</v>
      </c>
      <c r="AE136">
        <f>SUMIFS($Y:$Y,$W:$W,$AA136,$Z:$Z,AE$1)</f>
        <v>51582</v>
      </c>
      <c r="AF136">
        <f>SUMIFS($Y:$Y,$W:$W,$AA136,$Z:$Z,AF$1)</f>
        <v>0</v>
      </c>
      <c r="AG136">
        <f>SUMIFS($Y:$Y,$W:$W,$AA136,$Z:$Z,AG$1)</f>
        <v>0</v>
      </c>
      <c r="AH136">
        <f>SUMIFS($Y:$Y,$W:$W,$AA136,$Z:$Z,AH$1)</f>
        <v>62295</v>
      </c>
      <c r="AI136">
        <f>SUMIFS($Y:$Y,$W:$W,$AA136,$Z:$Z,AI$1)</f>
        <v>0</v>
      </c>
      <c r="AJ136">
        <f>SUMIFS($Y:$Y,$W:$W,$AA136,$Z:$Z,AJ$1)</f>
        <v>70059</v>
      </c>
      <c r="AK136">
        <f>SUMIFS($Y:$Y,$W:$W,$AA136,$Z:$Z,AK$1)</f>
        <v>0</v>
      </c>
      <c r="AL136">
        <f>SUMIFS($Y:$Y,$W:$W,$AA136,$Z:$Z,AL$1)</f>
        <v>0</v>
      </c>
      <c r="AM136">
        <f>SUMIFS($Y:$Y,$W:$W,$AA136,$Z:$Z,AM$1)</f>
        <v>0</v>
      </c>
      <c r="AN136">
        <f>SUMIFS($Y:$Y,$W:$W,$AA136,$Z:$Z,AN$1)</f>
        <v>0</v>
      </c>
      <c r="AO136">
        <f>SUM(AB136:AN136)</f>
        <v>183936</v>
      </c>
      <c r="AP136" s="8">
        <f t="shared" si="27"/>
        <v>0.68181818181818177</v>
      </c>
      <c r="AQ136" s="8">
        <f t="shared" si="28"/>
        <v>3.3751856401646502E-3</v>
      </c>
      <c r="AR136" s="8">
        <f t="shared" si="33"/>
        <v>0.87445414442504832</v>
      </c>
      <c r="AS136" t="str">
        <f t="shared" si="29"/>
        <v>B</v>
      </c>
      <c r="AT136" s="8">
        <f t="shared" si="30"/>
        <v>1.8437681669629618</v>
      </c>
      <c r="AU136" t="str">
        <f t="shared" si="31"/>
        <v>Z</v>
      </c>
      <c r="AZ136" t="s">
        <v>97</v>
      </c>
      <c r="BA136" t="s">
        <v>474</v>
      </c>
      <c r="BB136" t="s">
        <v>472</v>
      </c>
      <c r="BC136">
        <v>95253</v>
      </c>
      <c r="BD136">
        <v>0</v>
      </c>
      <c r="BE136">
        <v>0</v>
      </c>
      <c r="BF136">
        <v>0</v>
      </c>
      <c r="BG136">
        <v>0</v>
      </c>
      <c r="BH136">
        <v>38875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</row>
    <row r="137" spans="1:67" x14ac:dyDescent="0.25">
      <c r="A137" t="s">
        <v>10</v>
      </c>
      <c r="B137" t="s">
        <v>139</v>
      </c>
      <c r="C137" t="s">
        <v>137</v>
      </c>
      <c r="D137" s="7">
        <v>50952</v>
      </c>
      <c r="E137">
        <v>9</v>
      </c>
      <c r="W137" t="s">
        <v>139</v>
      </c>
      <c r="X137" s="11" t="s">
        <v>137</v>
      </c>
      <c r="Y137" s="7">
        <v>50952</v>
      </c>
      <c r="Z137" s="11" t="str">
        <f t="shared" si="32"/>
        <v>2023-10</v>
      </c>
      <c r="AA137" t="s">
        <v>54</v>
      </c>
      <c r="AB137">
        <f>SUMIFS($Y:$Y,$W:$W,$AA137,$Z:$Z,AB$1)</f>
        <v>82090</v>
      </c>
      <c r="AC137">
        <f>SUMIFS($Y:$Y,$W:$W,$AA137,$Z:$Z,AC$1)</f>
        <v>0</v>
      </c>
      <c r="AD137">
        <f>SUMIFS($Y:$Y,$W:$W,$AA137,$Z:$Z,AD$1)</f>
        <v>0</v>
      </c>
      <c r="AE137">
        <f>SUMIFS($Y:$Y,$W:$W,$AA137,$Z:$Z,AE$1)</f>
        <v>0</v>
      </c>
      <c r="AF137">
        <f>SUMIFS($Y:$Y,$W:$W,$AA137,$Z:$Z,AF$1)</f>
        <v>52592</v>
      </c>
      <c r="AG137">
        <f>SUMIFS($Y:$Y,$W:$W,$AA137,$Z:$Z,AG$1)</f>
        <v>0</v>
      </c>
      <c r="AH137">
        <f>SUMIFS($Y:$Y,$W:$W,$AA137,$Z:$Z,AH$1)</f>
        <v>0</v>
      </c>
      <c r="AI137">
        <f>SUMIFS($Y:$Y,$W:$W,$AA137,$Z:$Z,AI$1)</f>
        <v>0</v>
      </c>
      <c r="AJ137">
        <f>SUMIFS($Y:$Y,$W:$W,$AA137,$Z:$Z,AJ$1)</f>
        <v>0</v>
      </c>
      <c r="AK137">
        <f>SUMIFS($Y:$Y,$W:$W,$AA137,$Z:$Z,AK$1)</f>
        <v>0</v>
      </c>
      <c r="AL137">
        <f>SUMIFS($Y:$Y,$W:$W,$AA137,$Z:$Z,AL$1)</f>
        <v>0</v>
      </c>
      <c r="AM137">
        <f>SUMIFS($Y:$Y,$W:$W,$AA137,$Z:$Z,AM$1)</f>
        <v>49148</v>
      </c>
      <c r="AN137">
        <f>SUMIFS($Y:$Y,$W:$W,$AA137,$Z:$Z,AN$1)</f>
        <v>0</v>
      </c>
      <c r="AO137">
        <f>SUM(AB137:AN137)</f>
        <v>183830</v>
      </c>
      <c r="AP137" s="8">
        <f t="shared" si="27"/>
        <v>0.68686868686868685</v>
      </c>
      <c r="AQ137" s="8">
        <f t="shared" si="28"/>
        <v>3.3732405631930001E-3</v>
      </c>
      <c r="AR137" s="8">
        <f t="shared" si="33"/>
        <v>0.87782738498824131</v>
      </c>
      <c r="AS137" t="str">
        <f t="shared" si="29"/>
        <v>B</v>
      </c>
      <c r="AT137" s="8">
        <f t="shared" si="30"/>
        <v>1.8935636153223125</v>
      </c>
      <c r="AU137" t="str">
        <f t="shared" si="31"/>
        <v>Z</v>
      </c>
      <c r="AZ137" t="s">
        <v>177</v>
      </c>
      <c r="BA137" t="s">
        <v>471</v>
      </c>
      <c r="BB137" t="s">
        <v>472</v>
      </c>
      <c r="BC137">
        <v>0</v>
      </c>
      <c r="BD137">
        <v>0</v>
      </c>
      <c r="BE137">
        <v>42281</v>
      </c>
      <c r="BF137">
        <v>93020</v>
      </c>
      <c r="BG137">
        <v>54430</v>
      </c>
      <c r="BH137">
        <v>0</v>
      </c>
      <c r="BI137">
        <v>31080</v>
      </c>
      <c r="BJ137">
        <v>94037</v>
      </c>
      <c r="BK137">
        <v>0</v>
      </c>
      <c r="BL137">
        <v>0</v>
      </c>
      <c r="BM137">
        <v>0</v>
      </c>
      <c r="BN137">
        <v>0</v>
      </c>
      <c r="BO137">
        <v>0</v>
      </c>
    </row>
    <row r="138" spans="1:67" x14ac:dyDescent="0.25">
      <c r="A138" t="s">
        <v>20</v>
      </c>
      <c r="B138" t="s">
        <v>88</v>
      </c>
      <c r="C138" t="s">
        <v>140</v>
      </c>
      <c r="D138" s="7">
        <v>45090</v>
      </c>
      <c r="E138">
        <v>9</v>
      </c>
      <c r="W138" t="s">
        <v>88</v>
      </c>
      <c r="X138" s="11" t="s">
        <v>140</v>
      </c>
      <c r="Y138" s="7">
        <v>45090</v>
      </c>
      <c r="Z138" s="11" t="str">
        <f t="shared" si="32"/>
        <v>2023-10</v>
      </c>
      <c r="AA138" t="s">
        <v>259</v>
      </c>
      <c r="AB138">
        <f>SUMIFS($Y:$Y,$W:$W,$AA138,$Z:$Z,AB$1)</f>
        <v>0</v>
      </c>
      <c r="AC138">
        <f>SUMIFS($Y:$Y,$W:$W,$AA138,$Z:$Z,AC$1)</f>
        <v>0</v>
      </c>
      <c r="AD138">
        <f>SUMIFS($Y:$Y,$W:$W,$AA138,$Z:$Z,AD$1)</f>
        <v>0</v>
      </c>
      <c r="AE138">
        <f>SUMIFS($Y:$Y,$W:$W,$AA138,$Z:$Z,AE$1)</f>
        <v>0</v>
      </c>
      <c r="AF138">
        <f>SUMIFS($Y:$Y,$W:$W,$AA138,$Z:$Z,AF$1)</f>
        <v>43010</v>
      </c>
      <c r="AG138">
        <f>SUMIFS($Y:$Y,$W:$W,$AA138,$Z:$Z,AG$1)</f>
        <v>0</v>
      </c>
      <c r="AH138">
        <f>SUMIFS($Y:$Y,$W:$W,$AA138,$Z:$Z,AH$1)</f>
        <v>0</v>
      </c>
      <c r="AI138">
        <f>SUMIFS($Y:$Y,$W:$W,$AA138,$Z:$Z,AI$1)</f>
        <v>12384</v>
      </c>
      <c r="AJ138">
        <f>SUMIFS($Y:$Y,$W:$W,$AA138,$Z:$Z,AJ$1)</f>
        <v>0</v>
      </c>
      <c r="AK138">
        <f>SUMIFS($Y:$Y,$W:$W,$AA138,$Z:$Z,AK$1)</f>
        <v>0</v>
      </c>
      <c r="AL138">
        <f>SUMIFS($Y:$Y,$W:$W,$AA138,$Z:$Z,AL$1)</f>
        <v>114023</v>
      </c>
      <c r="AM138">
        <f>SUMIFS($Y:$Y,$W:$W,$AA138,$Z:$Z,AM$1)</f>
        <v>11038</v>
      </c>
      <c r="AN138">
        <f>SUMIFS($Y:$Y,$W:$W,$AA138,$Z:$Z,AN$1)</f>
        <v>0</v>
      </c>
      <c r="AO138">
        <f>SUM(AB138:AN138)</f>
        <v>180455</v>
      </c>
      <c r="AP138" s="8">
        <f t="shared" si="27"/>
        <v>0.69191919191919193</v>
      </c>
      <c r="AQ138" s="8">
        <f t="shared" si="28"/>
        <v>3.3113100464069677E-3</v>
      </c>
      <c r="AR138" s="8">
        <f t="shared" si="33"/>
        <v>0.88113869503464826</v>
      </c>
      <c r="AS138" t="str">
        <f t="shared" si="29"/>
        <v>B</v>
      </c>
      <c r="AT138" s="8">
        <f t="shared" si="30"/>
        <v>2.244689165877388</v>
      </c>
      <c r="AU138" t="str">
        <f t="shared" si="31"/>
        <v>Z</v>
      </c>
      <c r="AZ138" t="s">
        <v>142</v>
      </c>
      <c r="BA138" t="s">
        <v>474</v>
      </c>
      <c r="BB138" t="s">
        <v>472</v>
      </c>
      <c r="BC138">
        <v>0</v>
      </c>
      <c r="BD138">
        <v>57563</v>
      </c>
      <c r="BE138">
        <v>0</v>
      </c>
      <c r="BF138">
        <v>0</v>
      </c>
      <c r="BG138">
        <v>29595</v>
      </c>
      <c r="BH138">
        <v>0</v>
      </c>
      <c r="BI138">
        <v>0</v>
      </c>
      <c r="BJ138">
        <v>0</v>
      </c>
      <c r="BK138">
        <v>13819</v>
      </c>
      <c r="BL138">
        <v>0</v>
      </c>
      <c r="BM138">
        <v>0</v>
      </c>
      <c r="BN138">
        <v>65313</v>
      </c>
      <c r="BO138">
        <v>0</v>
      </c>
    </row>
    <row r="139" spans="1:67" x14ac:dyDescent="0.25">
      <c r="A139" t="s">
        <v>8</v>
      </c>
      <c r="B139" t="s">
        <v>79</v>
      </c>
      <c r="C139" t="s">
        <v>140</v>
      </c>
      <c r="D139" s="7">
        <v>88933</v>
      </c>
      <c r="E139">
        <v>7</v>
      </c>
      <c r="W139" t="s">
        <v>79</v>
      </c>
      <c r="X139" s="11" t="s">
        <v>140</v>
      </c>
      <c r="Y139" s="7">
        <v>88933</v>
      </c>
      <c r="Z139" s="11" t="str">
        <f t="shared" si="32"/>
        <v>2023-10</v>
      </c>
      <c r="AA139" t="s">
        <v>216</v>
      </c>
      <c r="AB139">
        <f>SUMIFS($Y:$Y,$W:$W,$AA139,$Z:$Z,AB$1)</f>
        <v>0</v>
      </c>
      <c r="AC139">
        <f>SUMIFS($Y:$Y,$W:$W,$AA139,$Z:$Z,AC$1)</f>
        <v>0</v>
      </c>
      <c r="AD139">
        <f>SUMIFS($Y:$Y,$W:$W,$AA139,$Z:$Z,AD$1)</f>
        <v>0</v>
      </c>
      <c r="AE139">
        <f>SUMIFS($Y:$Y,$W:$W,$AA139,$Z:$Z,AE$1)</f>
        <v>112383</v>
      </c>
      <c r="AF139">
        <f>SUMIFS($Y:$Y,$W:$W,$AA139,$Z:$Z,AF$1)</f>
        <v>0</v>
      </c>
      <c r="AG139">
        <f>SUMIFS($Y:$Y,$W:$W,$AA139,$Z:$Z,AG$1)</f>
        <v>0</v>
      </c>
      <c r="AH139">
        <f>SUMIFS($Y:$Y,$W:$W,$AA139,$Z:$Z,AH$1)</f>
        <v>0</v>
      </c>
      <c r="AI139">
        <f>SUMIFS($Y:$Y,$W:$W,$AA139,$Z:$Z,AI$1)</f>
        <v>0</v>
      </c>
      <c r="AJ139">
        <f>SUMIFS($Y:$Y,$W:$W,$AA139,$Z:$Z,AJ$1)</f>
        <v>30601</v>
      </c>
      <c r="AK139">
        <f>SUMIFS($Y:$Y,$W:$W,$AA139,$Z:$Z,AK$1)</f>
        <v>0</v>
      </c>
      <c r="AL139">
        <f>SUMIFS($Y:$Y,$W:$W,$AA139,$Z:$Z,AL$1)</f>
        <v>33199</v>
      </c>
      <c r="AM139">
        <f>SUMIFS($Y:$Y,$W:$W,$AA139,$Z:$Z,AM$1)</f>
        <v>0</v>
      </c>
      <c r="AN139">
        <f>SUMIFS($Y:$Y,$W:$W,$AA139,$Z:$Z,AN$1)</f>
        <v>0</v>
      </c>
      <c r="AO139">
        <f>SUM(AB139:AN139)</f>
        <v>176183</v>
      </c>
      <c r="AP139" s="8">
        <f t="shared" si="27"/>
        <v>0.69696969696969702</v>
      </c>
      <c r="AQ139" s="8">
        <f t="shared" si="28"/>
        <v>3.2329197744929137E-3</v>
      </c>
      <c r="AR139" s="8">
        <f t="shared" si="33"/>
        <v>0.88437161480914117</v>
      </c>
      <c r="AS139" t="str">
        <f t="shared" si="29"/>
        <v>B</v>
      </c>
      <c r="AT139" s="8">
        <f t="shared" si="30"/>
        <v>2.2678854856176724</v>
      </c>
      <c r="AU139" t="str">
        <f t="shared" si="31"/>
        <v>Z</v>
      </c>
      <c r="AZ139" t="s">
        <v>297</v>
      </c>
      <c r="BA139" t="s">
        <v>478</v>
      </c>
      <c r="BB139" t="s">
        <v>472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15953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</row>
    <row r="140" spans="1:67" x14ac:dyDescent="0.25">
      <c r="A140" t="s">
        <v>20</v>
      </c>
      <c r="B140" t="s">
        <v>131</v>
      </c>
      <c r="C140" t="s">
        <v>140</v>
      </c>
      <c r="D140" s="7">
        <v>64047</v>
      </c>
      <c r="E140">
        <v>7</v>
      </c>
      <c r="W140" t="s">
        <v>131</v>
      </c>
      <c r="X140" s="11" t="s">
        <v>140</v>
      </c>
      <c r="Y140" s="7">
        <v>64047</v>
      </c>
      <c r="Z140" s="11" t="str">
        <f t="shared" si="32"/>
        <v>2023-10</v>
      </c>
      <c r="AA140" t="s">
        <v>156</v>
      </c>
      <c r="AB140">
        <f>SUMIFS($Y:$Y,$W:$W,$AA140,$Z:$Z,AB$1)</f>
        <v>0</v>
      </c>
      <c r="AC140">
        <f>SUMIFS($Y:$Y,$W:$W,$AA140,$Z:$Z,AC$1)</f>
        <v>34160</v>
      </c>
      <c r="AD140">
        <f>SUMIFS($Y:$Y,$W:$W,$AA140,$Z:$Z,AD$1)</f>
        <v>0</v>
      </c>
      <c r="AE140">
        <f>SUMIFS($Y:$Y,$W:$W,$AA140,$Z:$Z,AE$1)</f>
        <v>47042</v>
      </c>
      <c r="AF140">
        <f>SUMIFS($Y:$Y,$W:$W,$AA140,$Z:$Z,AF$1)</f>
        <v>10391</v>
      </c>
      <c r="AG140">
        <f>SUMIFS($Y:$Y,$W:$W,$AA140,$Z:$Z,AG$1)</f>
        <v>61773</v>
      </c>
      <c r="AH140">
        <f>SUMIFS($Y:$Y,$W:$W,$AA140,$Z:$Z,AH$1)</f>
        <v>19692</v>
      </c>
      <c r="AI140">
        <f>SUMIFS($Y:$Y,$W:$W,$AA140,$Z:$Z,AI$1)</f>
        <v>0</v>
      </c>
      <c r="AJ140">
        <f>SUMIFS($Y:$Y,$W:$W,$AA140,$Z:$Z,AJ$1)</f>
        <v>0</v>
      </c>
      <c r="AK140">
        <f>SUMIFS($Y:$Y,$W:$W,$AA140,$Z:$Z,AK$1)</f>
        <v>0</v>
      </c>
      <c r="AL140">
        <f>SUMIFS($Y:$Y,$W:$W,$AA140,$Z:$Z,AL$1)</f>
        <v>0</v>
      </c>
      <c r="AM140">
        <f>SUMIFS($Y:$Y,$W:$W,$AA140,$Z:$Z,AM$1)</f>
        <v>0</v>
      </c>
      <c r="AN140">
        <f>SUMIFS($Y:$Y,$W:$W,$AA140,$Z:$Z,AN$1)</f>
        <v>0</v>
      </c>
      <c r="AO140">
        <f>SUM(AB140:AN140)</f>
        <v>173058</v>
      </c>
      <c r="AP140" s="8">
        <f t="shared" si="27"/>
        <v>0.70202020202020199</v>
      </c>
      <c r="AQ140" s="8">
        <f t="shared" si="28"/>
        <v>3.1755767033947355E-3</v>
      </c>
      <c r="AR140" s="8">
        <f t="shared" si="33"/>
        <v>0.88754719151253592</v>
      </c>
      <c r="AS140" t="str">
        <f t="shared" si="29"/>
        <v>B</v>
      </c>
      <c r="AT140" s="8">
        <f t="shared" si="30"/>
        <v>1.5292658302516247</v>
      </c>
      <c r="AU140" t="str">
        <f t="shared" si="31"/>
        <v>Z</v>
      </c>
      <c r="AZ140" t="s">
        <v>396</v>
      </c>
      <c r="BA140" t="s">
        <v>471</v>
      </c>
      <c r="BB140" t="s">
        <v>472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10858</v>
      </c>
      <c r="BM140">
        <v>94828</v>
      </c>
      <c r="BN140">
        <v>214632</v>
      </c>
      <c r="BO140">
        <v>0</v>
      </c>
    </row>
    <row r="141" spans="1:67" x14ac:dyDescent="0.25">
      <c r="A141" t="s">
        <v>33</v>
      </c>
      <c r="B141" t="s">
        <v>62</v>
      </c>
      <c r="C141" t="s">
        <v>140</v>
      </c>
      <c r="D141" s="7">
        <v>45478</v>
      </c>
      <c r="E141">
        <v>6</v>
      </c>
      <c r="W141" t="s">
        <v>62</v>
      </c>
      <c r="X141" s="11" t="s">
        <v>140</v>
      </c>
      <c r="Y141" s="7">
        <v>45478</v>
      </c>
      <c r="Z141" s="11" t="str">
        <f t="shared" si="32"/>
        <v>2023-10</v>
      </c>
      <c r="AA141" t="s">
        <v>138</v>
      </c>
      <c r="AB141">
        <f>SUMIFS($Y:$Y,$W:$W,$AA141,$Z:$Z,AB$1)</f>
        <v>0</v>
      </c>
      <c r="AC141">
        <f>SUMIFS($Y:$Y,$W:$W,$AA141,$Z:$Z,AC$1)</f>
        <v>71980</v>
      </c>
      <c r="AD141">
        <f>SUMIFS($Y:$Y,$W:$W,$AA141,$Z:$Z,AD$1)</f>
        <v>0</v>
      </c>
      <c r="AE141">
        <f>SUMIFS($Y:$Y,$W:$W,$AA141,$Z:$Z,AE$1)</f>
        <v>0</v>
      </c>
      <c r="AF141">
        <f>SUMIFS($Y:$Y,$W:$W,$AA141,$Z:$Z,AF$1)</f>
        <v>98145</v>
      </c>
      <c r="AG141">
        <f>SUMIFS($Y:$Y,$W:$W,$AA141,$Z:$Z,AG$1)</f>
        <v>0</v>
      </c>
      <c r="AH141">
        <f>SUMIFS($Y:$Y,$W:$W,$AA141,$Z:$Z,AH$1)</f>
        <v>0</v>
      </c>
      <c r="AI141">
        <f>SUMIFS($Y:$Y,$W:$W,$AA141,$Z:$Z,AI$1)</f>
        <v>0</v>
      </c>
      <c r="AJ141">
        <f>SUMIFS($Y:$Y,$W:$W,$AA141,$Z:$Z,AJ$1)</f>
        <v>0</v>
      </c>
      <c r="AK141">
        <f>SUMIFS($Y:$Y,$W:$W,$AA141,$Z:$Z,AK$1)</f>
        <v>0</v>
      </c>
      <c r="AL141">
        <f>SUMIFS($Y:$Y,$W:$W,$AA141,$Z:$Z,AL$1)</f>
        <v>0</v>
      </c>
      <c r="AM141">
        <f>SUMIFS($Y:$Y,$W:$W,$AA141,$Z:$Z,AM$1)</f>
        <v>0</v>
      </c>
      <c r="AN141">
        <f>SUMIFS($Y:$Y,$W:$W,$AA141,$Z:$Z,AN$1)</f>
        <v>0</v>
      </c>
      <c r="AO141">
        <f>SUM(AB141:AN141)</f>
        <v>170125</v>
      </c>
      <c r="AP141" s="8">
        <f t="shared" si="27"/>
        <v>0.70707070707070707</v>
      </c>
      <c r="AQ141" s="8">
        <f t="shared" si="28"/>
        <v>3.1217567905848292E-3</v>
      </c>
      <c r="AR141" s="8">
        <f t="shared" si="33"/>
        <v>0.89066894830312071</v>
      </c>
      <c r="AS141" t="str">
        <f t="shared" si="29"/>
        <v>B</v>
      </c>
      <c r="AT141" s="8">
        <f t="shared" si="30"/>
        <v>2.3777618080226239</v>
      </c>
      <c r="AU141" t="str">
        <f t="shared" si="31"/>
        <v>Z</v>
      </c>
      <c r="AZ141" t="s">
        <v>53</v>
      </c>
      <c r="BA141" t="s">
        <v>471</v>
      </c>
      <c r="BB141" t="s">
        <v>472</v>
      </c>
      <c r="BC141">
        <v>151967</v>
      </c>
      <c r="BD141">
        <v>114388</v>
      </c>
      <c r="BE141">
        <v>82180</v>
      </c>
      <c r="BF141">
        <v>0</v>
      </c>
      <c r="BG141">
        <v>0</v>
      </c>
      <c r="BH141">
        <v>109155</v>
      </c>
      <c r="BI141">
        <v>0</v>
      </c>
      <c r="BJ141">
        <v>0</v>
      </c>
      <c r="BK141">
        <v>65547</v>
      </c>
      <c r="BL141">
        <v>223337</v>
      </c>
      <c r="BM141">
        <v>98650</v>
      </c>
      <c r="BN141">
        <v>111806</v>
      </c>
      <c r="BO141">
        <v>0</v>
      </c>
    </row>
    <row r="142" spans="1:67" x14ac:dyDescent="0.25">
      <c r="A142" t="s">
        <v>14</v>
      </c>
      <c r="B142" t="s">
        <v>52</v>
      </c>
      <c r="C142" t="s">
        <v>141</v>
      </c>
      <c r="D142" s="7">
        <v>77812</v>
      </c>
      <c r="E142">
        <v>9</v>
      </c>
      <c r="W142" t="s">
        <v>52</v>
      </c>
      <c r="X142" s="11" t="s">
        <v>141</v>
      </c>
      <c r="Y142" s="7">
        <v>77812</v>
      </c>
      <c r="Z142" s="11" t="str">
        <f t="shared" si="32"/>
        <v>2023-10</v>
      </c>
      <c r="AA142" t="s">
        <v>125</v>
      </c>
      <c r="AB142">
        <f>SUMIFS($Y:$Y,$W:$W,$AA142,$Z:$Z,AB$1)</f>
        <v>0</v>
      </c>
      <c r="AC142">
        <f>SUMIFS($Y:$Y,$W:$W,$AA142,$Z:$Z,AC$1)</f>
        <v>42835</v>
      </c>
      <c r="AD142">
        <f>SUMIFS($Y:$Y,$W:$W,$AA142,$Z:$Z,AD$1)</f>
        <v>0</v>
      </c>
      <c r="AE142">
        <f>SUMIFS($Y:$Y,$W:$W,$AA142,$Z:$Z,AE$1)</f>
        <v>0</v>
      </c>
      <c r="AF142">
        <f>SUMIFS($Y:$Y,$W:$W,$AA142,$Z:$Z,AF$1)</f>
        <v>15123</v>
      </c>
      <c r="AG142">
        <f>SUMIFS($Y:$Y,$W:$W,$AA142,$Z:$Z,AG$1)</f>
        <v>39452</v>
      </c>
      <c r="AH142">
        <f>SUMIFS($Y:$Y,$W:$W,$AA142,$Z:$Z,AH$1)</f>
        <v>0</v>
      </c>
      <c r="AI142">
        <f>SUMIFS($Y:$Y,$W:$W,$AA142,$Z:$Z,AI$1)</f>
        <v>0</v>
      </c>
      <c r="AJ142">
        <f>SUMIFS($Y:$Y,$W:$W,$AA142,$Z:$Z,AJ$1)</f>
        <v>71179</v>
      </c>
      <c r="AK142">
        <f>SUMIFS($Y:$Y,$W:$W,$AA142,$Z:$Z,AK$1)</f>
        <v>0</v>
      </c>
      <c r="AL142">
        <f>SUMIFS($Y:$Y,$W:$W,$AA142,$Z:$Z,AL$1)</f>
        <v>0</v>
      </c>
      <c r="AM142">
        <f>SUMIFS($Y:$Y,$W:$W,$AA142,$Z:$Z,AM$1)</f>
        <v>0</v>
      </c>
      <c r="AN142">
        <f>SUMIFS($Y:$Y,$W:$W,$AA142,$Z:$Z,AN$1)</f>
        <v>0</v>
      </c>
      <c r="AO142">
        <f>SUM(AB142:AN142)</f>
        <v>168589</v>
      </c>
      <c r="AP142" s="8">
        <f t="shared" si="27"/>
        <v>0.71212121212121215</v>
      </c>
      <c r="AQ142" s="8">
        <f t="shared" si="28"/>
        <v>3.0935715242786524E-3</v>
      </c>
      <c r="AR142" s="8">
        <f t="shared" si="33"/>
        <v>0.8937625198273994</v>
      </c>
      <c r="AS142" t="str">
        <f t="shared" si="29"/>
        <v>B</v>
      </c>
      <c r="AT142" s="8">
        <f t="shared" si="30"/>
        <v>1.7242622467204507</v>
      </c>
      <c r="AU142" t="str">
        <f t="shared" si="31"/>
        <v>Z</v>
      </c>
      <c r="AZ142" t="s">
        <v>445</v>
      </c>
      <c r="BA142" t="s">
        <v>478</v>
      </c>
      <c r="BB142" t="s">
        <v>472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42749</v>
      </c>
      <c r="BO142">
        <v>0</v>
      </c>
    </row>
    <row r="143" spans="1:67" x14ac:dyDescent="0.25">
      <c r="A143" t="s">
        <v>23</v>
      </c>
      <c r="B143" t="s">
        <v>142</v>
      </c>
      <c r="C143" t="s">
        <v>141</v>
      </c>
      <c r="D143" s="7">
        <v>57563</v>
      </c>
      <c r="E143">
        <v>6</v>
      </c>
      <c r="W143" t="s">
        <v>142</v>
      </c>
      <c r="X143" s="11" t="s">
        <v>141</v>
      </c>
      <c r="Y143" s="7">
        <v>57563</v>
      </c>
      <c r="Z143" s="11" t="str">
        <f t="shared" si="32"/>
        <v>2023-10</v>
      </c>
      <c r="AA143" t="s">
        <v>106</v>
      </c>
      <c r="AB143">
        <f>SUMIFS($Y:$Y,$W:$W,$AA143,$Z:$Z,AB$1)</f>
        <v>0</v>
      </c>
      <c r="AC143">
        <f>SUMIFS($Y:$Y,$W:$W,$AA143,$Z:$Z,AC$1)</f>
        <v>20248</v>
      </c>
      <c r="AD143">
        <f>SUMIFS($Y:$Y,$W:$W,$AA143,$Z:$Z,AD$1)</f>
        <v>0</v>
      </c>
      <c r="AE143">
        <f>SUMIFS($Y:$Y,$W:$W,$AA143,$Z:$Z,AE$1)</f>
        <v>66402</v>
      </c>
      <c r="AF143">
        <f>SUMIFS($Y:$Y,$W:$W,$AA143,$Z:$Z,AF$1)</f>
        <v>81864</v>
      </c>
      <c r="AG143">
        <f>SUMIFS($Y:$Y,$W:$W,$AA143,$Z:$Z,AG$1)</f>
        <v>0</v>
      </c>
      <c r="AH143">
        <f>SUMIFS($Y:$Y,$W:$W,$AA143,$Z:$Z,AH$1)</f>
        <v>0</v>
      </c>
      <c r="AI143">
        <f>SUMIFS($Y:$Y,$W:$W,$AA143,$Z:$Z,AI$1)</f>
        <v>0</v>
      </c>
      <c r="AJ143">
        <f>SUMIFS($Y:$Y,$W:$W,$AA143,$Z:$Z,AJ$1)</f>
        <v>0</v>
      </c>
      <c r="AK143">
        <f>SUMIFS($Y:$Y,$W:$W,$AA143,$Z:$Z,AK$1)</f>
        <v>0</v>
      </c>
      <c r="AL143">
        <f>SUMIFS($Y:$Y,$W:$W,$AA143,$Z:$Z,AL$1)</f>
        <v>0</v>
      </c>
      <c r="AM143">
        <f>SUMIFS($Y:$Y,$W:$W,$AA143,$Z:$Z,AM$1)</f>
        <v>0</v>
      </c>
      <c r="AN143">
        <f>SUMIFS($Y:$Y,$W:$W,$AA143,$Z:$Z,AN$1)</f>
        <v>0</v>
      </c>
      <c r="AO143">
        <f>SUM(AB143:AN143)</f>
        <v>168514</v>
      </c>
      <c r="AP143" s="8">
        <f t="shared" si="27"/>
        <v>0.71717171717171713</v>
      </c>
      <c r="AQ143" s="8">
        <f t="shared" si="28"/>
        <v>3.0921952905722965E-3</v>
      </c>
      <c r="AR143" s="8">
        <f t="shared" si="33"/>
        <v>0.89685471511797166</v>
      </c>
      <c r="AS143" t="str">
        <f t="shared" si="29"/>
        <v>B</v>
      </c>
      <c r="AT143" s="8">
        <f t="shared" si="30"/>
        <v>2.0674197300906338</v>
      </c>
      <c r="AU143" t="str">
        <f t="shared" si="31"/>
        <v>Z</v>
      </c>
      <c r="AZ143" t="s">
        <v>50</v>
      </c>
      <c r="BA143" t="s">
        <v>471</v>
      </c>
      <c r="BB143" t="s">
        <v>472</v>
      </c>
      <c r="BC143">
        <v>149406</v>
      </c>
      <c r="BD143">
        <v>53224</v>
      </c>
      <c r="BE143">
        <v>0</v>
      </c>
      <c r="BF143">
        <v>0</v>
      </c>
      <c r="BG143">
        <v>0</v>
      </c>
      <c r="BH143">
        <v>0</v>
      </c>
      <c r="BI143">
        <v>46118</v>
      </c>
      <c r="BJ143">
        <v>0</v>
      </c>
      <c r="BK143">
        <v>46438</v>
      </c>
      <c r="BL143">
        <v>0</v>
      </c>
      <c r="BM143">
        <v>0</v>
      </c>
      <c r="BN143">
        <v>0</v>
      </c>
      <c r="BO143">
        <v>0</v>
      </c>
    </row>
    <row r="144" spans="1:67" x14ac:dyDescent="0.25">
      <c r="A144" t="s">
        <v>12</v>
      </c>
      <c r="B144" t="s">
        <v>127</v>
      </c>
      <c r="C144" t="s">
        <v>141</v>
      </c>
      <c r="D144" s="7">
        <v>10864</v>
      </c>
      <c r="E144">
        <v>7</v>
      </c>
      <c r="W144" t="s">
        <v>127</v>
      </c>
      <c r="X144" s="11" t="s">
        <v>141</v>
      </c>
      <c r="Y144" s="7">
        <v>10864</v>
      </c>
      <c r="Z144" s="11" t="str">
        <f t="shared" si="32"/>
        <v>2023-10</v>
      </c>
      <c r="AA144" t="s">
        <v>142</v>
      </c>
      <c r="AB144">
        <f>SUMIFS($Y:$Y,$W:$W,$AA144,$Z:$Z,AB$1)</f>
        <v>0</v>
      </c>
      <c r="AC144">
        <f>SUMIFS($Y:$Y,$W:$W,$AA144,$Z:$Z,AC$1)</f>
        <v>57563</v>
      </c>
      <c r="AD144">
        <f>SUMIFS($Y:$Y,$W:$W,$AA144,$Z:$Z,AD$1)</f>
        <v>0</v>
      </c>
      <c r="AE144">
        <f>SUMIFS($Y:$Y,$W:$W,$AA144,$Z:$Z,AE$1)</f>
        <v>0</v>
      </c>
      <c r="AF144">
        <f>SUMIFS($Y:$Y,$W:$W,$AA144,$Z:$Z,AF$1)</f>
        <v>29595</v>
      </c>
      <c r="AG144">
        <f>SUMIFS($Y:$Y,$W:$W,$AA144,$Z:$Z,AG$1)</f>
        <v>0</v>
      </c>
      <c r="AH144">
        <f>SUMIFS($Y:$Y,$W:$W,$AA144,$Z:$Z,AH$1)</f>
        <v>0</v>
      </c>
      <c r="AI144">
        <f>SUMIFS($Y:$Y,$W:$W,$AA144,$Z:$Z,AI$1)</f>
        <v>0</v>
      </c>
      <c r="AJ144">
        <f>SUMIFS($Y:$Y,$W:$W,$AA144,$Z:$Z,AJ$1)</f>
        <v>13819</v>
      </c>
      <c r="AK144">
        <f>SUMIFS($Y:$Y,$W:$W,$AA144,$Z:$Z,AK$1)</f>
        <v>0</v>
      </c>
      <c r="AL144">
        <f>SUMIFS($Y:$Y,$W:$W,$AA144,$Z:$Z,AL$1)</f>
        <v>0</v>
      </c>
      <c r="AM144">
        <f>SUMIFS($Y:$Y,$W:$W,$AA144,$Z:$Z,AM$1)</f>
        <v>65313</v>
      </c>
      <c r="AN144">
        <f>SUMIFS($Y:$Y,$W:$W,$AA144,$Z:$Z,AN$1)</f>
        <v>0</v>
      </c>
      <c r="AO144">
        <f>SUM(AB144:AN144)</f>
        <v>166290</v>
      </c>
      <c r="AP144" s="8">
        <f t="shared" si="27"/>
        <v>0.72222222222222221</v>
      </c>
      <c r="AQ144" s="8">
        <f t="shared" si="28"/>
        <v>3.0513853737331449E-3</v>
      </c>
      <c r="AR144" s="8">
        <f t="shared" si="33"/>
        <v>0.89990610049170483</v>
      </c>
      <c r="AS144" t="str">
        <f t="shared" si="29"/>
        <v>B</v>
      </c>
      <c r="AT144" s="8">
        <f t="shared" si="30"/>
        <v>1.750638168056468</v>
      </c>
      <c r="AU144" t="str">
        <f t="shared" si="31"/>
        <v>Z</v>
      </c>
      <c r="AZ144" t="s">
        <v>212</v>
      </c>
      <c r="BA144" t="s">
        <v>478</v>
      </c>
      <c r="BB144" t="s">
        <v>472</v>
      </c>
      <c r="BC144">
        <v>0</v>
      </c>
      <c r="BD144">
        <v>0</v>
      </c>
      <c r="BE144">
        <v>0</v>
      </c>
      <c r="BF144">
        <v>25641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43227</v>
      </c>
      <c r="BO144">
        <v>0</v>
      </c>
    </row>
    <row r="145" spans="1:67" x14ac:dyDescent="0.25">
      <c r="A145" t="s">
        <v>27</v>
      </c>
      <c r="B145" t="s">
        <v>143</v>
      </c>
      <c r="C145" t="s">
        <v>141</v>
      </c>
      <c r="D145" s="7">
        <v>13457</v>
      </c>
      <c r="E145">
        <v>5</v>
      </c>
      <c r="W145" t="s">
        <v>143</v>
      </c>
      <c r="X145" s="11" t="s">
        <v>141</v>
      </c>
      <c r="Y145" s="7">
        <v>13457</v>
      </c>
      <c r="Z145" s="11" t="str">
        <f t="shared" si="32"/>
        <v>2023-10</v>
      </c>
      <c r="AA145" t="s">
        <v>233</v>
      </c>
      <c r="AB145">
        <f>SUMIFS($Y:$Y,$W:$W,$AA145,$Z:$Z,AB$1)</f>
        <v>0</v>
      </c>
      <c r="AC145">
        <f>SUMIFS($Y:$Y,$W:$W,$AA145,$Z:$Z,AC$1)</f>
        <v>0</v>
      </c>
      <c r="AD145">
        <f>SUMIFS($Y:$Y,$W:$W,$AA145,$Z:$Z,AD$1)</f>
        <v>0</v>
      </c>
      <c r="AE145">
        <f>SUMIFS($Y:$Y,$W:$W,$AA145,$Z:$Z,AE$1)</f>
        <v>40349</v>
      </c>
      <c r="AF145">
        <f>SUMIFS($Y:$Y,$W:$W,$AA145,$Z:$Z,AF$1)</f>
        <v>0</v>
      </c>
      <c r="AG145">
        <f>SUMIFS($Y:$Y,$W:$W,$AA145,$Z:$Z,AG$1)</f>
        <v>0</v>
      </c>
      <c r="AH145">
        <f>SUMIFS($Y:$Y,$W:$W,$AA145,$Z:$Z,AH$1)</f>
        <v>0</v>
      </c>
      <c r="AI145">
        <f>SUMIFS($Y:$Y,$W:$W,$AA145,$Z:$Z,AI$1)</f>
        <v>94875</v>
      </c>
      <c r="AJ145">
        <f>SUMIFS($Y:$Y,$W:$W,$AA145,$Z:$Z,AJ$1)</f>
        <v>0</v>
      </c>
      <c r="AK145">
        <f>SUMIFS($Y:$Y,$W:$W,$AA145,$Z:$Z,AK$1)</f>
        <v>0</v>
      </c>
      <c r="AL145">
        <f>SUMIFS($Y:$Y,$W:$W,$AA145,$Z:$Z,AL$1)</f>
        <v>30306</v>
      </c>
      <c r="AM145">
        <f>SUMIFS($Y:$Y,$W:$W,$AA145,$Z:$Z,AM$1)</f>
        <v>0</v>
      </c>
      <c r="AN145">
        <f>SUMIFS($Y:$Y,$W:$W,$AA145,$Z:$Z,AN$1)</f>
        <v>0</v>
      </c>
      <c r="AO145">
        <f>SUM(AB145:AN145)</f>
        <v>165530</v>
      </c>
      <c r="AP145" s="8">
        <f t="shared" si="27"/>
        <v>0.72727272727272729</v>
      </c>
      <c r="AQ145" s="8">
        <f t="shared" si="28"/>
        <v>3.0374395388420676E-3</v>
      </c>
      <c r="AR145" s="8">
        <f t="shared" si="33"/>
        <v>0.90294354003054689</v>
      </c>
      <c r="AS145" t="str">
        <f t="shared" si="29"/>
        <v>B</v>
      </c>
      <c r="AT145" s="8">
        <f t="shared" si="30"/>
        <v>2.1163243052942735</v>
      </c>
      <c r="AU145" t="str">
        <f t="shared" si="31"/>
        <v>Z</v>
      </c>
      <c r="AZ145" t="s">
        <v>70</v>
      </c>
      <c r="BA145" t="s">
        <v>474</v>
      </c>
      <c r="BB145" t="s">
        <v>472</v>
      </c>
      <c r="BC145">
        <v>57831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15723</v>
      </c>
      <c r="BJ145">
        <v>0</v>
      </c>
      <c r="BK145">
        <v>78666</v>
      </c>
      <c r="BL145">
        <v>0</v>
      </c>
      <c r="BM145">
        <v>65462</v>
      </c>
      <c r="BN145">
        <v>0</v>
      </c>
      <c r="BO145">
        <v>0</v>
      </c>
    </row>
    <row r="146" spans="1:67" x14ac:dyDescent="0.25">
      <c r="A146" t="s">
        <v>17</v>
      </c>
      <c r="B146" t="s">
        <v>88</v>
      </c>
      <c r="C146" t="s">
        <v>141</v>
      </c>
      <c r="D146" s="7">
        <v>84435</v>
      </c>
      <c r="E146">
        <v>5</v>
      </c>
      <c r="W146" t="s">
        <v>88</v>
      </c>
      <c r="X146" s="11" t="s">
        <v>141</v>
      </c>
      <c r="Y146" s="7">
        <v>84435</v>
      </c>
      <c r="Z146" s="11" t="str">
        <f t="shared" si="32"/>
        <v>2023-10</v>
      </c>
      <c r="AA146" t="s">
        <v>186</v>
      </c>
      <c r="AB146">
        <f>SUMIFS($Y:$Y,$W:$W,$AA146,$Z:$Z,AB$1)</f>
        <v>0</v>
      </c>
      <c r="AC146">
        <f>SUMIFS($Y:$Y,$W:$W,$AA146,$Z:$Z,AC$1)</f>
        <v>0</v>
      </c>
      <c r="AD146">
        <f>SUMIFS($Y:$Y,$W:$W,$AA146,$Z:$Z,AD$1)</f>
        <v>72508</v>
      </c>
      <c r="AE146">
        <f>SUMIFS($Y:$Y,$W:$W,$AA146,$Z:$Z,AE$1)</f>
        <v>0</v>
      </c>
      <c r="AF146">
        <f>SUMIFS($Y:$Y,$W:$W,$AA146,$Z:$Z,AF$1)</f>
        <v>0</v>
      </c>
      <c r="AG146">
        <f>SUMIFS($Y:$Y,$W:$W,$AA146,$Z:$Z,AG$1)</f>
        <v>0</v>
      </c>
      <c r="AH146">
        <f>SUMIFS($Y:$Y,$W:$W,$AA146,$Z:$Z,AH$1)</f>
        <v>0</v>
      </c>
      <c r="AI146">
        <f>SUMIFS($Y:$Y,$W:$W,$AA146,$Z:$Z,AI$1)</f>
        <v>90177</v>
      </c>
      <c r="AJ146">
        <f>SUMIFS($Y:$Y,$W:$W,$AA146,$Z:$Z,AJ$1)</f>
        <v>0</v>
      </c>
      <c r="AK146">
        <f>SUMIFS($Y:$Y,$W:$W,$AA146,$Z:$Z,AK$1)</f>
        <v>0</v>
      </c>
      <c r="AL146">
        <f>SUMIFS($Y:$Y,$W:$W,$AA146,$Z:$Z,AL$1)</f>
        <v>0</v>
      </c>
      <c r="AM146">
        <f>SUMIFS($Y:$Y,$W:$W,$AA146,$Z:$Z,AM$1)</f>
        <v>0</v>
      </c>
      <c r="AN146">
        <f>SUMIFS($Y:$Y,$W:$W,$AA146,$Z:$Z,AN$1)</f>
        <v>0</v>
      </c>
      <c r="AO146">
        <f>SUM(AB146:AN146)</f>
        <v>162685</v>
      </c>
      <c r="AP146" s="8">
        <f t="shared" si="27"/>
        <v>0.73232323232323238</v>
      </c>
      <c r="AQ146" s="8">
        <f t="shared" si="28"/>
        <v>2.9852344069142864E-3</v>
      </c>
      <c r="AR146" s="8">
        <f t="shared" si="33"/>
        <v>0.90592877443746123</v>
      </c>
      <c r="AS146" t="str">
        <f t="shared" si="29"/>
        <v>B</v>
      </c>
      <c r="AT146" s="8">
        <f t="shared" si="30"/>
        <v>2.361498034714208</v>
      </c>
      <c r="AU146" t="str">
        <f t="shared" si="31"/>
        <v>Z</v>
      </c>
      <c r="AZ146" t="s">
        <v>112</v>
      </c>
      <c r="BA146" t="s">
        <v>471</v>
      </c>
      <c r="BB146" t="s">
        <v>472</v>
      </c>
      <c r="BC146">
        <v>0</v>
      </c>
      <c r="BD146">
        <v>93197</v>
      </c>
      <c r="BE146">
        <v>0</v>
      </c>
      <c r="BF146">
        <v>43107</v>
      </c>
      <c r="BG146">
        <v>0</v>
      </c>
      <c r="BH146">
        <v>0</v>
      </c>
      <c r="BI146">
        <v>43277</v>
      </c>
      <c r="BJ146">
        <v>23608</v>
      </c>
      <c r="BK146">
        <v>84845</v>
      </c>
      <c r="BL146">
        <v>0</v>
      </c>
      <c r="BM146">
        <v>0</v>
      </c>
      <c r="BN146">
        <v>50305</v>
      </c>
      <c r="BO146">
        <v>0</v>
      </c>
    </row>
    <row r="147" spans="1:67" x14ac:dyDescent="0.25">
      <c r="A147" t="s">
        <v>20</v>
      </c>
      <c r="B147" t="s">
        <v>26</v>
      </c>
      <c r="C147" t="s">
        <v>141</v>
      </c>
      <c r="D147" s="7">
        <v>35843</v>
      </c>
      <c r="E147">
        <v>7</v>
      </c>
      <c r="W147" t="s">
        <v>26</v>
      </c>
      <c r="X147" s="11" t="s">
        <v>141</v>
      </c>
      <c r="Y147" s="7">
        <v>35843</v>
      </c>
      <c r="Z147" s="11" t="str">
        <f t="shared" si="32"/>
        <v>2023-10</v>
      </c>
      <c r="AA147" t="s">
        <v>103</v>
      </c>
      <c r="AB147">
        <f>SUMIFS($Y:$Y,$W:$W,$AA147,$Z:$Z,AB$1)</f>
        <v>0</v>
      </c>
      <c r="AC147">
        <f>SUMIFS($Y:$Y,$W:$W,$AA147,$Z:$Z,AC$1)</f>
        <v>130974</v>
      </c>
      <c r="AD147">
        <f>SUMIFS($Y:$Y,$W:$W,$AA147,$Z:$Z,AD$1)</f>
        <v>0</v>
      </c>
      <c r="AE147">
        <f>SUMIFS($Y:$Y,$W:$W,$AA147,$Z:$Z,AE$1)</f>
        <v>31649</v>
      </c>
      <c r="AF147">
        <f>SUMIFS($Y:$Y,$W:$W,$AA147,$Z:$Z,AF$1)</f>
        <v>0</v>
      </c>
      <c r="AG147">
        <f>SUMIFS($Y:$Y,$W:$W,$AA147,$Z:$Z,AG$1)</f>
        <v>0</v>
      </c>
      <c r="AH147">
        <f>SUMIFS($Y:$Y,$W:$W,$AA147,$Z:$Z,AH$1)</f>
        <v>0</v>
      </c>
      <c r="AI147">
        <f>SUMIFS($Y:$Y,$W:$W,$AA147,$Z:$Z,AI$1)</f>
        <v>0</v>
      </c>
      <c r="AJ147">
        <f>SUMIFS($Y:$Y,$W:$W,$AA147,$Z:$Z,AJ$1)</f>
        <v>0</v>
      </c>
      <c r="AK147">
        <f>SUMIFS($Y:$Y,$W:$W,$AA147,$Z:$Z,AK$1)</f>
        <v>0</v>
      </c>
      <c r="AL147">
        <f>SUMIFS($Y:$Y,$W:$W,$AA147,$Z:$Z,AL$1)</f>
        <v>0</v>
      </c>
      <c r="AM147">
        <f>SUMIFS($Y:$Y,$W:$W,$AA147,$Z:$Z,AM$1)</f>
        <v>0</v>
      </c>
      <c r="AN147">
        <f>SUMIFS($Y:$Y,$W:$W,$AA147,$Z:$Z,AN$1)</f>
        <v>0</v>
      </c>
      <c r="AO147">
        <f>SUM(AB147:AN147)</f>
        <v>162623</v>
      </c>
      <c r="AP147" s="8">
        <f t="shared" si="27"/>
        <v>0.73737373737373735</v>
      </c>
      <c r="AQ147" s="8">
        <f t="shared" si="28"/>
        <v>2.9840967203836983E-3</v>
      </c>
      <c r="AR147" s="8">
        <f t="shared" si="33"/>
        <v>0.90891287115784491</v>
      </c>
      <c r="AS147" t="str">
        <f t="shared" si="29"/>
        <v>B</v>
      </c>
      <c r="AT147" s="8">
        <f t="shared" si="30"/>
        <v>2.8150928513751725</v>
      </c>
      <c r="AU147" t="str">
        <f t="shared" si="31"/>
        <v>Z</v>
      </c>
      <c r="AZ147" t="s">
        <v>106</v>
      </c>
      <c r="BA147" t="s">
        <v>474</v>
      </c>
      <c r="BB147" t="s">
        <v>472</v>
      </c>
      <c r="BC147">
        <v>0</v>
      </c>
      <c r="BD147">
        <v>20248</v>
      </c>
      <c r="BE147">
        <v>0</v>
      </c>
      <c r="BF147">
        <v>66402</v>
      </c>
      <c r="BG147">
        <v>81864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</row>
    <row r="148" spans="1:67" x14ac:dyDescent="0.25">
      <c r="A148" t="s">
        <v>5</v>
      </c>
      <c r="B148" t="s">
        <v>144</v>
      </c>
      <c r="C148" t="s">
        <v>141</v>
      </c>
      <c r="D148" s="7">
        <v>18331</v>
      </c>
      <c r="E148">
        <v>6</v>
      </c>
      <c r="W148" t="s">
        <v>144</v>
      </c>
      <c r="X148" s="11" t="s">
        <v>141</v>
      </c>
      <c r="Y148" s="7">
        <v>18331</v>
      </c>
      <c r="Z148" s="11" t="str">
        <f t="shared" si="32"/>
        <v>2023-10</v>
      </c>
      <c r="AA148" t="s">
        <v>307</v>
      </c>
      <c r="AB148">
        <f>SUMIFS($Y:$Y,$W:$W,$AA148,$Z:$Z,AB$1)</f>
        <v>0</v>
      </c>
      <c r="AC148">
        <f>SUMIFS($Y:$Y,$W:$W,$AA148,$Z:$Z,AC$1)</f>
        <v>0</v>
      </c>
      <c r="AD148">
        <f>SUMIFS($Y:$Y,$W:$W,$AA148,$Z:$Z,AD$1)</f>
        <v>0</v>
      </c>
      <c r="AE148">
        <f>SUMIFS($Y:$Y,$W:$W,$AA148,$Z:$Z,AE$1)</f>
        <v>0</v>
      </c>
      <c r="AF148">
        <f>SUMIFS($Y:$Y,$W:$W,$AA148,$Z:$Z,AF$1)</f>
        <v>0</v>
      </c>
      <c r="AG148">
        <f>SUMIFS($Y:$Y,$W:$W,$AA148,$Z:$Z,AG$1)</f>
        <v>57668</v>
      </c>
      <c r="AH148">
        <f>SUMIFS($Y:$Y,$W:$W,$AA148,$Z:$Z,AH$1)</f>
        <v>0</v>
      </c>
      <c r="AI148">
        <f>SUMIFS($Y:$Y,$W:$W,$AA148,$Z:$Z,AI$1)</f>
        <v>53730</v>
      </c>
      <c r="AJ148">
        <f>SUMIFS($Y:$Y,$W:$W,$AA148,$Z:$Z,AJ$1)</f>
        <v>0</v>
      </c>
      <c r="AK148">
        <f>SUMIFS($Y:$Y,$W:$W,$AA148,$Z:$Z,AK$1)</f>
        <v>0</v>
      </c>
      <c r="AL148">
        <f>SUMIFS($Y:$Y,$W:$W,$AA148,$Z:$Z,AL$1)</f>
        <v>49360</v>
      </c>
      <c r="AM148">
        <f>SUMIFS($Y:$Y,$W:$W,$AA148,$Z:$Z,AM$1)</f>
        <v>0</v>
      </c>
      <c r="AN148">
        <f>SUMIFS($Y:$Y,$W:$W,$AA148,$Z:$Z,AN$1)</f>
        <v>0</v>
      </c>
      <c r="AO148">
        <f>SUM(AB148:AN148)</f>
        <v>160758</v>
      </c>
      <c r="AP148" s="8">
        <f t="shared" si="27"/>
        <v>0.74242424242424243</v>
      </c>
      <c r="AQ148" s="8">
        <f t="shared" si="28"/>
        <v>2.9498743755523057E-3</v>
      </c>
      <c r="AR148" s="8">
        <f t="shared" si="33"/>
        <v>0.91186274553339719</v>
      </c>
      <c r="AS148" t="str">
        <f t="shared" si="29"/>
        <v>B</v>
      </c>
      <c r="AT148" s="8">
        <f t="shared" si="30"/>
        <v>1.8304943147500599</v>
      </c>
      <c r="AU148" t="str">
        <f t="shared" si="31"/>
        <v>Z</v>
      </c>
      <c r="AZ148" t="s">
        <v>190</v>
      </c>
      <c r="BA148" t="s">
        <v>474</v>
      </c>
      <c r="BB148" t="s">
        <v>472</v>
      </c>
      <c r="BC148">
        <v>0</v>
      </c>
      <c r="BD148">
        <v>0</v>
      </c>
      <c r="BE148">
        <v>28924</v>
      </c>
      <c r="BF148">
        <v>0</v>
      </c>
      <c r="BG148">
        <v>0</v>
      </c>
      <c r="BH148">
        <v>24162</v>
      </c>
      <c r="BI148">
        <v>0</v>
      </c>
      <c r="BJ148">
        <v>0</v>
      </c>
      <c r="BK148">
        <v>85329</v>
      </c>
      <c r="BL148">
        <v>49332</v>
      </c>
      <c r="BM148">
        <v>0</v>
      </c>
      <c r="BN148">
        <v>0</v>
      </c>
      <c r="BO148">
        <v>0</v>
      </c>
    </row>
    <row r="149" spans="1:67" x14ac:dyDescent="0.25">
      <c r="A149" t="s">
        <v>5</v>
      </c>
      <c r="B149" t="s">
        <v>19</v>
      </c>
      <c r="C149" t="s">
        <v>141</v>
      </c>
      <c r="D149" s="7">
        <v>54060</v>
      </c>
      <c r="E149">
        <v>10</v>
      </c>
      <c r="W149" t="s">
        <v>19</v>
      </c>
      <c r="X149" s="11" t="s">
        <v>141</v>
      </c>
      <c r="Y149" s="7">
        <v>54060</v>
      </c>
      <c r="Z149" s="11" t="str">
        <f t="shared" si="32"/>
        <v>2023-10</v>
      </c>
      <c r="AA149" t="s">
        <v>75</v>
      </c>
      <c r="AB149">
        <f>SUMIFS($Y:$Y,$W:$W,$AA149,$Z:$Z,AB$1)</f>
        <v>29443</v>
      </c>
      <c r="AC149">
        <f>SUMIFS($Y:$Y,$W:$W,$AA149,$Z:$Z,AC$1)</f>
        <v>85183</v>
      </c>
      <c r="AD149">
        <f>SUMIFS($Y:$Y,$W:$W,$AA149,$Z:$Z,AD$1)</f>
        <v>0</v>
      </c>
      <c r="AE149">
        <f>SUMIFS($Y:$Y,$W:$W,$AA149,$Z:$Z,AE$1)</f>
        <v>0</v>
      </c>
      <c r="AF149">
        <f>SUMIFS($Y:$Y,$W:$W,$AA149,$Z:$Z,AF$1)</f>
        <v>0</v>
      </c>
      <c r="AG149">
        <f>SUMIFS($Y:$Y,$W:$W,$AA149,$Z:$Z,AG$1)</f>
        <v>0</v>
      </c>
      <c r="AH149">
        <f>SUMIFS($Y:$Y,$W:$W,$AA149,$Z:$Z,AH$1)</f>
        <v>43477</v>
      </c>
      <c r="AI149">
        <f>SUMIFS($Y:$Y,$W:$W,$AA149,$Z:$Z,AI$1)</f>
        <v>0</v>
      </c>
      <c r="AJ149">
        <f>SUMIFS($Y:$Y,$W:$W,$AA149,$Z:$Z,AJ$1)</f>
        <v>0</v>
      </c>
      <c r="AK149">
        <f>SUMIFS($Y:$Y,$W:$W,$AA149,$Z:$Z,AK$1)</f>
        <v>0</v>
      </c>
      <c r="AL149">
        <f>SUMIFS($Y:$Y,$W:$W,$AA149,$Z:$Z,AL$1)</f>
        <v>0</v>
      </c>
      <c r="AM149">
        <f>SUMIFS($Y:$Y,$W:$W,$AA149,$Z:$Z,AM$1)</f>
        <v>0</v>
      </c>
      <c r="AN149">
        <f>SUMIFS($Y:$Y,$W:$W,$AA149,$Z:$Z,AN$1)</f>
        <v>0</v>
      </c>
      <c r="AO149">
        <f>SUM(AB149:AN149)</f>
        <v>158103</v>
      </c>
      <c r="AP149" s="8">
        <f t="shared" si="27"/>
        <v>0.74747474747474751</v>
      </c>
      <c r="AQ149" s="8">
        <f t="shared" si="28"/>
        <v>2.9011557023472931E-3</v>
      </c>
      <c r="AR149" s="8">
        <f t="shared" si="33"/>
        <v>0.91476390123574447</v>
      </c>
      <c r="AS149" t="str">
        <f t="shared" si="29"/>
        <v>B</v>
      </c>
      <c r="AT149" s="8">
        <f t="shared" si="30"/>
        <v>2.0512494138149813</v>
      </c>
      <c r="AU149" t="str">
        <f t="shared" si="31"/>
        <v>Z</v>
      </c>
      <c r="AZ149" t="s">
        <v>244</v>
      </c>
      <c r="BA149" t="s">
        <v>471</v>
      </c>
      <c r="BB149" t="s">
        <v>472</v>
      </c>
      <c r="BC149">
        <v>0</v>
      </c>
      <c r="BD149">
        <v>0</v>
      </c>
      <c r="BE149">
        <v>0</v>
      </c>
      <c r="BF149">
        <v>73979</v>
      </c>
      <c r="BG149">
        <v>20342</v>
      </c>
      <c r="BH149">
        <v>138826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</row>
    <row r="150" spans="1:67" x14ac:dyDescent="0.25">
      <c r="A150" t="s">
        <v>14</v>
      </c>
      <c r="B150" t="s">
        <v>92</v>
      </c>
      <c r="C150" t="s">
        <v>141</v>
      </c>
      <c r="D150" s="7">
        <v>16046</v>
      </c>
      <c r="E150">
        <v>5</v>
      </c>
      <c r="W150" t="s">
        <v>92</v>
      </c>
      <c r="X150" s="11" t="s">
        <v>141</v>
      </c>
      <c r="Y150" s="7">
        <v>16046</v>
      </c>
      <c r="Z150" s="11" t="str">
        <f t="shared" si="32"/>
        <v>2023-10</v>
      </c>
      <c r="AA150" t="s">
        <v>325</v>
      </c>
      <c r="AB150">
        <f>SUMIFS($Y:$Y,$W:$W,$AA150,$Z:$Z,AB$1)</f>
        <v>0</v>
      </c>
      <c r="AC150">
        <f>SUMIFS($Y:$Y,$W:$W,$AA150,$Z:$Z,AC$1)</f>
        <v>0</v>
      </c>
      <c r="AD150">
        <f>SUMIFS($Y:$Y,$W:$W,$AA150,$Z:$Z,AD$1)</f>
        <v>0</v>
      </c>
      <c r="AE150">
        <f>SUMIFS($Y:$Y,$W:$W,$AA150,$Z:$Z,AE$1)</f>
        <v>0</v>
      </c>
      <c r="AF150">
        <f>SUMIFS($Y:$Y,$W:$W,$AA150,$Z:$Z,AF$1)</f>
        <v>0</v>
      </c>
      <c r="AG150">
        <f>SUMIFS($Y:$Y,$W:$W,$AA150,$Z:$Z,AG$1)</f>
        <v>0</v>
      </c>
      <c r="AH150">
        <f>SUMIFS($Y:$Y,$W:$W,$AA150,$Z:$Z,AH$1)</f>
        <v>52312</v>
      </c>
      <c r="AI150">
        <f>SUMIFS($Y:$Y,$W:$W,$AA150,$Z:$Z,AI$1)</f>
        <v>0</v>
      </c>
      <c r="AJ150">
        <f>SUMIFS($Y:$Y,$W:$W,$AA150,$Z:$Z,AJ$1)</f>
        <v>0</v>
      </c>
      <c r="AK150">
        <f>SUMIFS($Y:$Y,$W:$W,$AA150,$Z:$Z,AK$1)</f>
        <v>88880</v>
      </c>
      <c r="AL150">
        <f>SUMIFS($Y:$Y,$W:$W,$AA150,$Z:$Z,AL$1)</f>
        <v>0</v>
      </c>
      <c r="AM150">
        <f>SUMIFS($Y:$Y,$W:$W,$AA150,$Z:$Z,AM$1)</f>
        <v>16815</v>
      </c>
      <c r="AN150">
        <f>SUMIFS($Y:$Y,$W:$W,$AA150,$Z:$Z,AN$1)</f>
        <v>0</v>
      </c>
      <c r="AO150">
        <f>SUM(AB150:AN150)</f>
        <v>158007</v>
      </c>
      <c r="AP150" s="8">
        <f t="shared" si="27"/>
        <v>0.75252525252525249</v>
      </c>
      <c r="AQ150" s="8">
        <f t="shared" si="28"/>
        <v>2.8993941232031573E-3</v>
      </c>
      <c r="AR150" s="8">
        <f t="shared" si="33"/>
        <v>0.91766329535894764</v>
      </c>
      <c r="AS150" t="str">
        <f t="shared" si="29"/>
        <v>B</v>
      </c>
      <c r="AT150" s="8">
        <f t="shared" si="30"/>
        <v>2.1646096569485431</v>
      </c>
      <c r="AU150" t="str">
        <f t="shared" si="31"/>
        <v>Z</v>
      </c>
      <c r="AZ150" t="s">
        <v>21</v>
      </c>
      <c r="BA150" t="s">
        <v>471</v>
      </c>
      <c r="BB150" t="s">
        <v>472</v>
      </c>
      <c r="BC150">
        <v>96127</v>
      </c>
      <c r="BD150">
        <v>0</v>
      </c>
      <c r="BE150">
        <v>15568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43792</v>
      </c>
      <c r="BL150">
        <v>111715</v>
      </c>
      <c r="BM150">
        <v>0</v>
      </c>
      <c r="BN150">
        <v>0</v>
      </c>
      <c r="BO150">
        <v>0</v>
      </c>
    </row>
    <row r="151" spans="1:67" x14ac:dyDescent="0.25">
      <c r="A151" t="s">
        <v>17</v>
      </c>
      <c r="B151" t="s">
        <v>26</v>
      </c>
      <c r="C151" t="s">
        <v>145</v>
      </c>
      <c r="D151" s="7">
        <v>89011</v>
      </c>
      <c r="E151">
        <v>6</v>
      </c>
      <c r="W151" t="s">
        <v>26</v>
      </c>
      <c r="X151" s="11" t="s">
        <v>145</v>
      </c>
      <c r="Y151" s="7">
        <v>89011</v>
      </c>
      <c r="Z151" s="11" t="str">
        <f t="shared" si="32"/>
        <v>2023-10</v>
      </c>
      <c r="AA151" t="s">
        <v>255</v>
      </c>
      <c r="AB151">
        <f>SUMIFS($Y:$Y,$W:$W,$AA151,$Z:$Z,AB$1)</f>
        <v>0</v>
      </c>
      <c r="AC151">
        <f>SUMIFS($Y:$Y,$W:$W,$AA151,$Z:$Z,AC$1)</f>
        <v>0</v>
      </c>
      <c r="AD151">
        <f>SUMIFS($Y:$Y,$W:$W,$AA151,$Z:$Z,AD$1)</f>
        <v>0</v>
      </c>
      <c r="AE151">
        <f>SUMIFS($Y:$Y,$W:$W,$AA151,$Z:$Z,AE$1)</f>
        <v>0</v>
      </c>
      <c r="AF151">
        <f>SUMIFS($Y:$Y,$W:$W,$AA151,$Z:$Z,AF$1)</f>
        <v>72863</v>
      </c>
      <c r="AG151">
        <f>SUMIFS($Y:$Y,$W:$W,$AA151,$Z:$Z,AG$1)</f>
        <v>0</v>
      </c>
      <c r="AH151">
        <f>SUMIFS($Y:$Y,$W:$W,$AA151,$Z:$Z,AH$1)</f>
        <v>0</v>
      </c>
      <c r="AI151">
        <f>SUMIFS($Y:$Y,$W:$W,$AA151,$Z:$Z,AI$1)</f>
        <v>38600</v>
      </c>
      <c r="AJ151">
        <f>SUMIFS($Y:$Y,$W:$W,$AA151,$Z:$Z,AJ$1)</f>
        <v>0</v>
      </c>
      <c r="AK151">
        <f>SUMIFS($Y:$Y,$W:$W,$AA151,$Z:$Z,AK$1)</f>
        <v>0</v>
      </c>
      <c r="AL151">
        <f>SUMIFS($Y:$Y,$W:$W,$AA151,$Z:$Z,AL$1)</f>
        <v>0</v>
      </c>
      <c r="AM151">
        <f>SUMIFS($Y:$Y,$W:$W,$AA151,$Z:$Z,AM$1)</f>
        <v>40600</v>
      </c>
      <c r="AN151">
        <f>SUMIFS($Y:$Y,$W:$W,$AA151,$Z:$Z,AN$1)</f>
        <v>0</v>
      </c>
      <c r="AO151">
        <f>SUM(AB151:AN151)</f>
        <v>152063</v>
      </c>
      <c r="AP151" s="8">
        <f t="shared" si="27"/>
        <v>0.75757575757575757</v>
      </c>
      <c r="AQ151" s="8">
        <f t="shared" si="28"/>
        <v>2.7903230145287341E-3</v>
      </c>
      <c r="AR151" s="8">
        <f t="shared" si="33"/>
        <v>0.92045361837347639</v>
      </c>
      <c r="AS151" t="str">
        <f t="shared" si="29"/>
        <v>B</v>
      </c>
      <c r="AT151" s="8">
        <f t="shared" si="30"/>
        <v>1.9362726587109969</v>
      </c>
      <c r="AU151" t="str">
        <f t="shared" si="31"/>
        <v>Z</v>
      </c>
      <c r="AZ151" t="s">
        <v>392</v>
      </c>
      <c r="BA151" t="s">
        <v>478</v>
      </c>
      <c r="BB151" t="s">
        <v>472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55148</v>
      </c>
      <c r="BM151">
        <v>36611</v>
      </c>
      <c r="BN151">
        <v>0</v>
      </c>
      <c r="BO151">
        <v>0</v>
      </c>
    </row>
    <row r="152" spans="1:67" x14ac:dyDescent="0.25">
      <c r="A152" t="s">
        <v>23</v>
      </c>
      <c r="B152" t="s">
        <v>103</v>
      </c>
      <c r="C152" t="s">
        <v>146</v>
      </c>
      <c r="D152" s="7">
        <v>74238</v>
      </c>
      <c r="E152">
        <v>7</v>
      </c>
      <c r="W152" t="s">
        <v>103</v>
      </c>
      <c r="X152" s="11" t="s">
        <v>146</v>
      </c>
      <c r="Y152" s="7">
        <v>74238</v>
      </c>
      <c r="Z152" s="11" t="str">
        <f t="shared" si="32"/>
        <v>2023-10</v>
      </c>
      <c r="AA152" t="s">
        <v>245</v>
      </c>
      <c r="AB152">
        <f>SUMIFS($Y:$Y,$W:$W,$AA152,$Z:$Z,AB$1)</f>
        <v>0</v>
      </c>
      <c r="AC152">
        <f>SUMIFS($Y:$Y,$W:$W,$AA152,$Z:$Z,AC$1)</f>
        <v>0</v>
      </c>
      <c r="AD152">
        <f>SUMIFS($Y:$Y,$W:$W,$AA152,$Z:$Z,AD$1)</f>
        <v>0</v>
      </c>
      <c r="AE152">
        <f>SUMIFS($Y:$Y,$W:$W,$AA152,$Z:$Z,AE$1)</f>
        <v>66502</v>
      </c>
      <c r="AF152">
        <f>SUMIFS($Y:$Y,$W:$W,$AA152,$Z:$Z,AF$1)</f>
        <v>0</v>
      </c>
      <c r="AG152">
        <f>SUMIFS($Y:$Y,$W:$W,$AA152,$Z:$Z,AG$1)</f>
        <v>40859</v>
      </c>
      <c r="AH152">
        <f>SUMIFS($Y:$Y,$W:$W,$AA152,$Z:$Z,AH$1)</f>
        <v>12836</v>
      </c>
      <c r="AI152">
        <f>SUMIFS($Y:$Y,$W:$W,$AA152,$Z:$Z,AI$1)</f>
        <v>31668</v>
      </c>
      <c r="AJ152">
        <f>SUMIFS($Y:$Y,$W:$W,$AA152,$Z:$Z,AJ$1)</f>
        <v>0</v>
      </c>
      <c r="AK152">
        <f>SUMIFS($Y:$Y,$W:$W,$AA152,$Z:$Z,AK$1)</f>
        <v>0</v>
      </c>
      <c r="AL152">
        <f>SUMIFS($Y:$Y,$W:$W,$AA152,$Z:$Z,AL$1)</f>
        <v>0</v>
      </c>
      <c r="AM152">
        <f>SUMIFS($Y:$Y,$W:$W,$AA152,$Z:$Z,AM$1)</f>
        <v>0</v>
      </c>
      <c r="AN152">
        <f>SUMIFS($Y:$Y,$W:$W,$AA152,$Z:$Z,AN$1)</f>
        <v>0</v>
      </c>
      <c r="AO152">
        <f>SUM(AB152:AN152)</f>
        <v>151865</v>
      </c>
      <c r="AP152" s="8">
        <f t="shared" si="27"/>
        <v>0.76262626262626265</v>
      </c>
      <c r="AQ152" s="8">
        <f t="shared" si="28"/>
        <v>2.7866897575439535E-3</v>
      </c>
      <c r="AR152" s="8">
        <f t="shared" si="33"/>
        <v>0.92324030813102032</v>
      </c>
      <c r="AS152" t="str">
        <f t="shared" si="29"/>
        <v>B</v>
      </c>
      <c r="AT152" s="8">
        <f t="shared" si="30"/>
        <v>1.7584216887864723</v>
      </c>
      <c r="AU152" t="str">
        <f t="shared" si="31"/>
        <v>Z</v>
      </c>
      <c r="AZ152" t="s">
        <v>42</v>
      </c>
      <c r="BA152" t="s">
        <v>471</v>
      </c>
      <c r="BB152" t="s">
        <v>472</v>
      </c>
      <c r="BC152">
        <v>14427</v>
      </c>
      <c r="BD152">
        <v>0</v>
      </c>
      <c r="BE152">
        <v>46700</v>
      </c>
      <c r="BF152">
        <v>0</v>
      </c>
      <c r="BG152">
        <v>96261</v>
      </c>
      <c r="BH152">
        <v>34584</v>
      </c>
      <c r="BI152">
        <v>0</v>
      </c>
      <c r="BJ152">
        <v>0</v>
      </c>
      <c r="BK152">
        <v>84838</v>
      </c>
      <c r="BL152">
        <v>26537</v>
      </c>
      <c r="BM152">
        <v>0</v>
      </c>
      <c r="BN152">
        <v>27053</v>
      </c>
      <c r="BO152">
        <v>0</v>
      </c>
    </row>
    <row r="153" spans="1:67" x14ac:dyDescent="0.25">
      <c r="A153" t="s">
        <v>14</v>
      </c>
      <c r="B153" t="s">
        <v>30</v>
      </c>
      <c r="C153" t="s">
        <v>146</v>
      </c>
      <c r="D153" s="7">
        <v>73879</v>
      </c>
      <c r="E153">
        <v>6</v>
      </c>
      <c r="W153" t="s">
        <v>30</v>
      </c>
      <c r="X153" s="11" t="s">
        <v>146</v>
      </c>
      <c r="Y153" s="7">
        <v>73879</v>
      </c>
      <c r="Z153" s="11" t="str">
        <f t="shared" si="32"/>
        <v>2023-10</v>
      </c>
      <c r="AA153" t="s">
        <v>95</v>
      </c>
      <c r="AB153">
        <f>SUMIFS($Y:$Y,$W:$W,$AA153,$Z:$Z,AB$1)</f>
        <v>40487</v>
      </c>
      <c r="AC153">
        <f>SUMIFS($Y:$Y,$W:$W,$AA153,$Z:$Z,AC$1)</f>
        <v>64149</v>
      </c>
      <c r="AD153">
        <f>SUMIFS($Y:$Y,$W:$W,$AA153,$Z:$Z,AD$1)</f>
        <v>0</v>
      </c>
      <c r="AE153">
        <f>SUMIFS($Y:$Y,$W:$W,$AA153,$Z:$Z,AE$1)</f>
        <v>0</v>
      </c>
      <c r="AF153">
        <f>SUMIFS($Y:$Y,$W:$W,$AA153,$Z:$Z,AF$1)</f>
        <v>18518</v>
      </c>
      <c r="AG153">
        <f>SUMIFS($Y:$Y,$W:$W,$AA153,$Z:$Z,AG$1)</f>
        <v>0</v>
      </c>
      <c r="AH153">
        <f>SUMIFS($Y:$Y,$W:$W,$AA153,$Z:$Z,AH$1)</f>
        <v>24089</v>
      </c>
      <c r="AI153">
        <f>SUMIFS($Y:$Y,$W:$W,$AA153,$Z:$Z,AI$1)</f>
        <v>0</v>
      </c>
      <c r="AJ153">
        <f>SUMIFS($Y:$Y,$W:$W,$AA153,$Z:$Z,AJ$1)</f>
        <v>0</v>
      </c>
      <c r="AK153">
        <f>SUMIFS($Y:$Y,$W:$W,$AA153,$Z:$Z,AK$1)</f>
        <v>0</v>
      </c>
      <c r="AL153">
        <f>SUMIFS($Y:$Y,$W:$W,$AA153,$Z:$Z,AL$1)</f>
        <v>0</v>
      </c>
      <c r="AM153">
        <f>SUMIFS($Y:$Y,$W:$W,$AA153,$Z:$Z,AM$1)</f>
        <v>0</v>
      </c>
      <c r="AN153">
        <f>SUMIFS($Y:$Y,$W:$W,$AA153,$Z:$Z,AN$1)</f>
        <v>0</v>
      </c>
      <c r="AO153">
        <f>SUM(AB153:AN153)</f>
        <v>147243</v>
      </c>
      <c r="AP153" s="8">
        <f t="shared" si="27"/>
        <v>0.76767676767676762</v>
      </c>
      <c r="AQ153" s="8">
        <f t="shared" si="28"/>
        <v>2.7018770616669039E-3</v>
      </c>
      <c r="AR153" s="8">
        <f t="shared" si="33"/>
        <v>0.92594218519268723</v>
      </c>
      <c r="AS153" t="str">
        <f t="shared" si="29"/>
        <v>B</v>
      </c>
      <c r="AT153" s="8">
        <f t="shared" si="30"/>
        <v>1.7331866650765639</v>
      </c>
      <c r="AU153" t="str">
        <f t="shared" si="31"/>
        <v>Z</v>
      </c>
      <c r="AZ153" t="s">
        <v>116</v>
      </c>
      <c r="BA153" t="s">
        <v>471</v>
      </c>
      <c r="BB153" t="s">
        <v>472</v>
      </c>
      <c r="BC153">
        <v>0</v>
      </c>
      <c r="BD153">
        <v>54276</v>
      </c>
      <c r="BE153">
        <v>42285</v>
      </c>
      <c r="BF153">
        <v>0</v>
      </c>
      <c r="BG153">
        <v>66111</v>
      </c>
      <c r="BH153">
        <v>0</v>
      </c>
      <c r="BI153">
        <v>103903</v>
      </c>
      <c r="BJ153">
        <v>85187</v>
      </c>
      <c r="BK153">
        <v>65887</v>
      </c>
      <c r="BL153">
        <v>0</v>
      </c>
      <c r="BM153">
        <v>0</v>
      </c>
      <c r="BN153">
        <v>0</v>
      </c>
      <c r="BO153">
        <v>0</v>
      </c>
    </row>
    <row r="154" spans="1:67" x14ac:dyDescent="0.25">
      <c r="A154" t="s">
        <v>17</v>
      </c>
      <c r="B154" t="s">
        <v>147</v>
      </c>
      <c r="C154" t="s">
        <v>146</v>
      </c>
      <c r="D154" s="7">
        <v>63853</v>
      </c>
      <c r="E154">
        <v>8</v>
      </c>
      <c r="W154" t="s">
        <v>147</v>
      </c>
      <c r="X154" s="11" t="s">
        <v>146</v>
      </c>
      <c r="Y154" s="7">
        <v>63853</v>
      </c>
      <c r="Z154" s="11" t="str">
        <f t="shared" si="32"/>
        <v>2023-10</v>
      </c>
      <c r="AA154" t="s">
        <v>150</v>
      </c>
      <c r="AB154">
        <f>SUMIFS($Y:$Y,$W:$W,$AA154,$Z:$Z,AB$1)</f>
        <v>0</v>
      </c>
      <c r="AC154">
        <f>SUMIFS($Y:$Y,$W:$W,$AA154,$Z:$Z,AC$1)</f>
        <v>90008</v>
      </c>
      <c r="AD154">
        <f>SUMIFS($Y:$Y,$W:$W,$AA154,$Z:$Z,AD$1)</f>
        <v>0</v>
      </c>
      <c r="AE154">
        <f>SUMIFS($Y:$Y,$W:$W,$AA154,$Z:$Z,AE$1)</f>
        <v>0</v>
      </c>
      <c r="AF154">
        <f>SUMIFS($Y:$Y,$W:$W,$AA154,$Z:$Z,AF$1)</f>
        <v>0</v>
      </c>
      <c r="AG154">
        <f>SUMIFS($Y:$Y,$W:$W,$AA154,$Z:$Z,AG$1)</f>
        <v>0</v>
      </c>
      <c r="AH154">
        <f>SUMIFS($Y:$Y,$W:$W,$AA154,$Z:$Z,AH$1)</f>
        <v>54946</v>
      </c>
      <c r="AI154">
        <f>SUMIFS($Y:$Y,$W:$W,$AA154,$Z:$Z,AI$1)</f>
        <v>0</v>
      </c>
      <c r="AJ154">
        <f>SUMIFS($Y:$Y,$W:$W,$AA154,$Z:$Z,AJ$1)</f>
        <v>0</v>
      </c>
      <c r="AK154">
        <f>SUMIFS($Y:$Y,$W:$W,$AA154,$Z:$Z,AK$1)</f>
        <v>0</v>
      </c>
      <c r="AL154">
        <f>SUMIFS($Y:$Y,$W:$W,$AA154,$Z:$Z,AL$1)</f>
        <v>0</v>
      </c>
      <c r="AM154">
        <f>SUMIFS($Y:$Y,$W:$W,$AA154,$Z:$Z,AM$1)</f>
        <v>0</v>
      </c>
      <c r="AN154">
        <f>SUMIFS($Y:$Y,$W:$W,$AA154,$Z:$Z,AN$1)</f>
        <v>0</v>
      </c>
      <c r="AO154">
        <f>SUM(AB154:AN154)</f>
        <v>144954</v>
      </c>
      <c r="AP154" s="8">
        <f t="shared" si="27"/>
        <v>0.77272727272727271</v>
      </c>
      <c r="AQ154" s="8">
        <f t="shared" si="28"/>
        <v>2.6598744089489103E-3</v>
      </c>
      <c r="AR154" s="8">
        <f t="shared" si="33"/>
        <v>0.92860205960163611</v>
      </c>
      <c r="AS154" t="str">
        <f t="shared" si="29"/>
        <v>B</v>
      </c>
      <c r="AT154" s="8">
        <f t="shared" si="30"/>
        <v>2.4249329876195009</v>
      </c>
      <c r="AU154" t="str">
        <f t="shared" si="31"/>
        <v>Z</v>
      </c>
      <c r="AZ154" t="s">
        <v>186</v>
      </c>
      <c r="BA154" t="s">
        <v>474</v>
      </c>
      <c r="BB154" t="s">
        <v>472</v>
      </c>
      <c r="BC154">
        <v>0</v>
      </c>
      <c r="BD154">
        <v>0</v>
      </c>
      <c r="BE154">
        <v>72508</v>
      </c>
      <c r="BF154">
        <v>0</v>
      </c>
      <c r="BG154">
        <v>0</v>
      </c>
      <c r="BH154">
        <v>0</v>
      </c>
      <c r="BI154">
        <v>0</v>
      </c>
      <c r="BJ154">
        <v>90177</v>
      </c>
      <c r="BK154">
        <v>0</v>
      </c>
      <c r="BL154">
        <v>0</v>
      </c>
      <c r="BM154">
        <v>0</v>
      </c>
      <c r="BN154">
        <v>0</v>
      </c>
      <c r="BO154">
        <v>0</v>
      </c>
    </row>
    <row r="155" spans="1:67" x14ac:dyDescent="0.25">
      <c r="A155" t="s">
        <v>27</v>
      </c>
      <c r="B155" t="s">
        <v>148</v>
      </c>
      <c r="C155" t="s">
        <v>149</v>
      </c>
      <c r="D155" s="7">
        <v>48754</v>
      </c>
      <c r="E155">
        <v>6</v>
      </c>
      <c r="W155" t="s">
        <v>148</v>
      </c>
      <c r="X155" s="11" t="s">
        <v>149</v>
      </c>
      <c r="Y155" s="7">
        <v>48754</v>
      </c>
      <c r="Z155" s="11" t="str">
        <f t="shared" si="32"/>
        <v>2023-10</v>
      </c>
      <c r="AA155" t="s">
        <v>148</v>
      </c>
      <c r="AB155">
        <f>SUMIFS($Y:$Y,$W:$W,$AA155,$Z:$Z,AB$1)</f>
        <v>0</v>
      </c>
      <c r="AC155">
        <f>SUMIFS($Y:$Y,$W:$W,$AA155,$Z:$Z,AC$1)</f>
        <v>48754</v>
      </c>
      <c r="AD155">
        <f>SUMIFS($Y:$Y,$W:$W,$AA155,$Z:$Z,AD$1)</f>
        <v>0</v>
      </c>
      <c r="AE155">
        <f>SUMIFS($Y:$Y,$W:$W,$AA155,$Z:$Z,AE$1)</f>
        <v>0</v>
      </c>
      <c r="AF155">
        <f>SUMIFS($Y:$Y,$W:$W,$AA155,$Z:$Z,AF$1)</f>
        <v>39487</v>
      </c>
      <c r="AG155">
        <f>SUMIFS($Y:$Y,$W:$W,$AA155,$Z:$Z,AG$1)</f>
        <v>0</v>
      </c>
      <c r="AH155">
        <f>SUMIFS($Y:$Y,$W:$W,$AA155,$Z:$Z,AH$1)</f>
        <v>0</v>
      </c>
      <c r="AI155">
        <f>SUMIFS($Y:$Y,$W:$W,$AA155,$Z:$Z,AI$1)</f>
        <v>0</v>
      </c>
      <c r="AJ155">
        <f>SUMIFS($Y:$Y,$W:$W,$AA155,$Z:$Z,AJ$1)</f>
        <v>54729</v>
      </c>
      <c r="AK155">
        <f>SUMIFS($Y:$Y,$W:$W,$AA155,$Z:$Z,AK$1)</f>
        <v>0</v>
      </c>
      <c r="AL155">
        <f>SUMIFS($Y:$Y,$W:$W,$AA155,$Z:$Z,AL$1)</f>
        <v>0</v>
      </c>
      <c r="AM155">
        <f>SUMIFS($Y:$Y,$W:$W,$AA155,$Z:$Z,AM$1)</f>
        <v>0</v>
      </c>
      <c r="AN155">
        <f>SUMIFS($Y:$Y,$W:$W,$AA155,$Z:$Z,AN$1)</f>
        <v>0</v>
      </c>
      <c r="AO155">
        <f>SUM(AB155:AN155)</f>
        <v>142970</v>
      </c>
      <c r="AP155" s="8">
        <f t="shared" si="27"/>
        <v>0.77777777777777779</v>
      </c>
      <c r="AQ155" s="8">
        <f t="shared" si="28"/>
        <v>2.6234684399700989E-3</v>
      </c>
      <c r="AR155" s="8">
        <f t="shared" si="33"/>
        <v>0.93122552804160619</v>
      </c>
      <c r="AS155" t="str">
        <f t="shared" si="29"/>
        <v>B</v>
      </c>
      <c r="AT155" s="8">
        <f t="shared" si="30"/>
        <v>1.8461740885291256</v>
      </c>
      <c r="AU155" t="str">
        <f t="shared" si="31"/>
        <v>Z</v>
      </c>
      <c r="AZ155" t="s">
        <v>286</v>
      </c>
      <c r="BA155" t="s">
        <v>471</v>
      </c>
      <c r="BB155" t="s">
        <v>472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43744</v>
      </c>
      <c r="BI155">
        <v>27568</v>
      </c>
      <c r="BJ155">
        <v>87904</v>
      </c>
      <c r="BK155">
        <v>0</v>
      </c>
      <c r="BL155">
        <v>0</v>
      </c>
      <c r="BM155">
        <v>65539</v>
      </c>
      <c r="BN155">
        <v>0</v>
      </c>
      <c r="BO155">
        <v>0</v>
      </c>
    </row>
    <row r="156" spans="1:67" x14ac:dyDescent="0.25">
      <c r="A156" t="s">
        <v>12</v>
      </c>
      <c r="B156" t="s">
        <v>150</v>
      </c>
      <c r="C156" t="s">
        <v>149</v>
      </c>
      <c r="D156" s="7">
        <v>90008</v>
      </c>
      <c r="E156">
        <v>2</v>
      </c>
      <c r="W156" t="s">
        <v>150</v>
      </c>
      <c r="X156" s="11" t="s">
        <v>149</v>
      </c>
      <c r="Y156" s="7">
        <v>90008</v>
      </c>
      <c r="Z156" s="11" t="str">
        <f t="shared" si="32"/>
        <v>2023-10</v>
      </c>
      <c r="AA156" t="s">
        <v>341</v>
      </c>
      <c r="AB156">
        <f>SUMIFS($Y:$Y,$W:$W,$AA156,$Z:$Z,AB$1)</f>
        <v>0</v>
      </c>
      <c r="AC156">
        <f>SUMIFS($Y:$Y,$W:$W,$AA156,$Z:$Z,AC$1)</f>
        <v>0</v>
      </c>
      <c r="AD156">
        <f>SUMIFS($Y:$Y,$W:$W,$AA156,$Z:$Z,AD$1)</f>
        <v>0</v>
      </c>
      <c r="AE156">
        <f>SUMIFS($Y:$Y,$W:$W,$AA156,$Z:$Z,AE$1)</f>
        <v>0</v>
      </c>
      <c r="AF156">
        <f>SUMIFS($Y:$Y,$W:$W,$AA156,$Z:$Z,AF$1)</f>
        <v>0</v>
      </c>
      <c r="AG156">
        <f>SUMIFS($Y:$Y,$W:$W,$AA156,$Z:$Z,AG$1)</f>
        <v>0</v>
      </c>
      <c r="AH156">
        <f>SUMIFS($Y:$Y,$W:$W,$AA156,$Z:$Z,AH$1)</f>
        <v>0</v>
      </c>
      <c r="AI156">
        <f>SUMIFS($Y:$Y,$W:$W,$AA156,$Z:$Z,AI$1)</f>
        <v>54839</v>
      </c>
      <c r="AJ156">
        <f>SUMIFS($Y:$Y,$W:$W,$AA156,$Z:$Z,AJ$1)</f>
        <v>0</v>
      </c>
      <c r="AK156">
        <f>SUMIFS($Y:$Y,$W:$W,$AA156,$Z:$Z,AK$1)</f>
        <v>0</v>
      </c>
      <c r="AL156">
        <f>SUMIFS($Y:$Y,$W:$W,$AA156,$Z:$Z,AL$1)</f>
        <v>85130</v>
      </c>
      <c r="AM156">
        <f>SUMIFS($Y:$Y,$W:$W,$AA156,$Z:$Z,AM$1)</f>
        <v>0</v>
      </c>
      <c r="AN156">
        <f>SUMIFS($Y:$Y,$W:$W,$AA156,$Z:$Z,AN$1)</f>
        <v>0</v>
      </c>
      <c r="AO156">
        <f>SUM(AB156:AN156)</f>
        <v>139969</v>
      </c>
      <c r="AP156" s="8">
        <f t="shared" si="27"/>
        <v>0.78282828282828287</v>
      </c>
      <c r="AQ156" s="8">
        <f t="shared" si="28"/>
        <v>2.5684007419330959E-3</v>
      </c>
      <c r="AR156" s="8">
        <f t="shared" si="33"/>
        <v>0.93379392878353928</v>
      </c>
      <c r="AS156" t="str">
        <f t="shared" si="29"/>
        <v>B</v>
      </c>
      <c r="AT156" s="8">
        <f t="shared" si="30"/>
        <v>2.4092369285002206</v>
      </c>
      <c r="AU156" t="str">
        <f t="shared" si="31"/>
        <v>Z</v>
      </c>
      <c r="AZ156" t="s">
        <v>26</v>
      </c>
      <c r="BA156" t="s">
        <v>471</v>
      </c>
      <c r="BB156" t="s">
        <v>472</v>
      </c>
      <c r="BC156">
        <v>81333</v>
      </c>
      <c r="BD156">
        <v>209758</v>
      </c>
      <c r="BE156">
        <v>43730</v>
      </c>
      <c r="BF156">
        <v>88120</v>
      </c>
      <c r="BG156">
        <v>0</v>
      </c>
      <c r="BH156">
        <v>82646</v>
      </c>
      <c r="BI156">
        <v>0</v>
      </c>
      <c r="BJ156">
        <v>0</v>
      </c>
      <c r="BK156">
        <v>0</v>
      </c>
      <c r="BL156">
        <v>28153</v>
      </c>
      <c r="BM156">
        <v>0</v>
      </c>
      <c r="BN156">
        <v>20720</v>
      </c>
      <c r="BO156">
        <v>0</v>
      </c>
    </row>
    <row r="157" spans="1:67" x14ac:dyDescent="0.25">
      <c r="A157" t="s">
        <v>33</v>
      </c>
      <c r="B157" t="s">
        <v>151</v>
      </c>
      <c r="C157" t="s">
        <v>149</v>
      </c>
      <c r="D157" s="7">
        <v>26006</v>
      </c>
      <c r="E157">
        <v>10</v>
      </c>
      <c r="W157" t="s">
        <v>151</v>
      </c>
      <c r="X157" s="11" t="s">
        <v>149</v>
      </c>
      <c r="Y157" s="7">
        <v>26006</v>
      </c>
      <c r="Z157" s="11" t="str">
        <f t="shared" si="32"/>
        <v>2023-10</v>
      </c>
      <c r="AA157" t="s">
        <v>84</v>
      </c>
      <c r="AB157">
        <f>SUMIFS($Y:$Y,$W:$W,$AA157,$Z:$Z,AB$1)</f>
        <v>31254</v>
      </c>
      <c r="AC157">
        <f>SUMIFS($Y:$Y,$W:$W,$AA157,$Z:$Z,AC$1)</f>
        <v>0</v>
      </c>
      <c r="AD157">
        <f>SUMIFS($Y:$Y,$W:$W,$AA157,$Z:$Z,AD$1)</f>
        <v>0</v>
      </c>
      <c r="AE157">
        <f>SUMIFS($Y:$Y,$W:$W,$AA157,$Z:$Z,AE$1)</f>
        <v>0</v>
      </c>
      <c r="AF157">
        <f>SUMIFS($Y:$Y,$W:$W,$AA157,$Z:$Z,AF$1)</f>
        <v>91876</v>
      </c>
      <c r="AG157">
        <f>SUMIFS($Y:$Y,$W:$W,$AA157,$Z:$Z,AG$1)</f>
        <v>0</v>
      </c>
      <c r="AH157">
        <f>SUMIFS($Y:$Y,$W:$W,$AA157,$Z:$Z,AH$1)</f>
        <v>13240</v>
      </c>
      <c r="AI157">
        <f>SUMIFS($Y:$Y,$W:$W,$AA157,$Z:$Z,AI$1)</f>
        <v>0</v>
      </c>
      <c r="AJ157">
        <f>SUMIFS($Y:$Y,$W:$W,$AA157,$Z:$Z,AJ$1)</f>
        <v>0</v>
      </c>
      <c r="AK157">
        <f>SUMIFS($Y:$Y,$W:$W,$AA157,$Z:$Z,AK$1)</f>
        <v>0</v>
      </c>
      <c r="AL157">
        <f>SUMIFS($Y:$Y,$W:$W,$AA157,$Z:$Z,AL$1)</f>
        <v>0</v>
      </c>
      <c r="AM157">
        <f>SUMIFS($Y:$Y,$W:$W,$AA157,$Z:$Z,AM$1)</f>
        <v>0</v>
      </c>
      <c r="AN157">
        <f>SUMIFS($Y:$Y,$W:$W,$AA157,$Z:$Z,AN$1)</f>
        <v>0</v>
      </c>
      <c r="AO157">
        <f>SUM(AB157:AN157)</f>
        <v>136370</v>
      </c>
      <c r="AP157" s="8">
        <f t="shared" si="27"/>
        <v>0.78787878787878785</v>
      </c>
      <c r="AQ157" s="8">
        <f t="shared" si="28"/>
        <v>2.502359873810746E-3</v>
      </c>
      <c r="AR157" s="8">
        <f t="shared" si="33"/>
        <v>0.93629628865735004</v>
      </c>
      <c r="AS157" t="str">
        <f t="shared" si="29"/>
        <v>B</v>
      </c>
      <c r="AT157" s="8">
        <f t="shared" si="30"/>
        <v>2.3887576970053748</v>
      </c>
      <c r="AU157" t="str">
        <f t="shared" si="31"/>
        <v>Z</v>
      </c>
      <c r="AZ157" t="s">
        <v>89</v>
      </c>
      <c r="BA157" t="s">
        <v>471</v>
      </c>
      <c r="BB157" t="s">
        <v>472</v>
      </c>
      <c r="BC157">
        <v>21510</v>
      </c>
      <c r="BD157">
        <v>0</v>
      </c>
      <c r="BE157">
        <v>158496</v>
      </c>
      <c r="BF157">
        <v>162836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23001</v>
      </c>
      <c r="BM157">
        <v>94599</v>
      </c>
      <c r="BN157">
        <v>0</v>
      </c>
      <c r="BO157">
        <v>0</v>
      </c>
    </row>
    <row r="158" spans="1:67" x14ac:dyDescent="0.25">
      <c r="A158" t="s">
        <v>12</v>
      </c>
      <c r="B158" t="s">
        <v>152</v>
      </c>
      <c r="C158" t="s">
        <v>153</v>
      </c>
      <c r="D158" s="7">
        <v>40254</v>
      </c>
      <c r="E158">
        <v>5</v>
      </c>
      <c r="W158" t="s">
        <v>152</v>
      </c>
      <c r="X158" s="11" t="s">
        <v>153</v>
      </c>
      <c r="Y158" s="7">
        <v>40254</v>
      </c>
      <c r="Z158" s="11" t="str">
        <f t="shared" si="32"/>
        <v>2023-10</v>
      </c>
      <c r="AA158" t="s">
        <v>97</v>
      </c>
      <c r="AB158">
        <f>SUMIFS($Y:$Y,$W:$W,$AA158,$Z:$Z,AB$1)</f>
        <v>95253</v>
      </c>
      <c r="AC158">
        <f>SUMIFS($Y:$Y,$W:$W,$AA158,$Z:$Z,AC$1)</f>
        <v>0</v>
      </c>
      <c r="AD158">
        <f>SUMIFS($Y:$Y,$W:$W,$AA158,$Z:$Z,AD$1)</f>
        <v>0</v>
      </c>
      <c r="AE158">
        <f>SUMIFS($Y:$Y,$W:$W,$AA158,$Z:$Z,AE$1)</f>
        <v>0</v>
      </c>
      <c r="AF158">
        <f>SUMIFS($Y:$Y,$W:$W,$AA158,$Z:$Z,AF$1)</f>
        <v>0</v>
      </c>
      <c r="AG158">
        <f>SUMIFS($Y:$Y,$W:$W,$AA158,$Z:$Z,AG$1)</f>
        <v>38875</v>
      </c>
      <c r="AH158">
        <f>SUMIFS($Y:$Y,$W:$W,$AA158,$Z:$Z,AH$1)</f>
        <v>0</v>
      </c>
      <c r="AI158">
        <f>SUMIFS($Y:$Y,$W:$W,$AA158,$Z:$Z,AI$1)</f>
        <v>0</v>
      </c>
      <c r="AJ158">
        <f>SUMIFS($Y:$Y,$W:$W,$AA158,$Z:$Z,AJ$1)</f>
        <v>0</v>
      </c>
      <c r="AK158">
        <f>SUMIFS($Y:$Y,$W:$W,$AA158,$Z:$Z,AK$1)</f>
        <v>0</v>
      </c>
      <c r="AL158">
        <f>SUMIFS($Y:$Y,$W:$W,$AA158,$Z:$Z,AL$1)</f>
        <v>0</v>
      </c>
      <c r="AM158">
        <f>SUMIFS($Y:$Y,$W:$W,$AA158,$Z:$Z,AM$1)</f>
        <v>0</v>
      </c>
      <c r="AN158">
        <f>SUMIFS($Y:$Y,$W:$W,$AA158,$Z:$Z,AN$1)</f>
        <v>0</v>
      </c>
      <c r="AO158">
        <f>SUM(AB158:AN158)</f>
        <v>134128</v>
      </c>
      <c r="AP158" s="8">
        <f t="shared" si="27"/>
        <v>0.79292929292929293</v>
      </c>
      <c r="AQ158" s="8">
        <f t="shared" si="28"/>
        <v>2.4612196608820689E-3</v>
      </c>
      <c r="AR158" s="8">
        <f t="shared" si="33"/>
        <v>0.93875750831823213</v>
      </c>
      <c r="AS158" t="str">
        <f t="shared" si="29"/>
        <v>B</v>
      </c>
      <c r="AT158" s="8">
        <f t="shared" si="30"/>
        <v>2.5784494569036305</v>
      </c>
      <c r="AU158" t="str">
        <f t="shared" si="31"/>
        <v>Z</v>
      </c>
      <c r="AZ158" t="s">
        <v>173</v>
      </c>
      <c r="BA158" t="s">
        <v>471</v>
      </c>
      <c r="BB158" t="s">
        <v>472</v>
      </c>
      <c r="BC158">
        <v>0</v>
      </c>
      <c r="BD158">
        <v>0</v>
      </c>
      <c r="BE158">
        <v>93535</v>
      </c>
      <c r="BF158">
        <v>72215</v>
      </c>
      <c r="BG158">
        <v>162100</v>
      </c>
      <c r="BH158">
        <v>54038</v>
      </c>
      <c r="BI158">
        <v>31461</v>
      </c>
      <c r="BJ158">
        <v>176184</v>
      </c>
      <c r="BK158">
        <v>275866</v>
      </c>
      <c r="BL158">
        <v>0</v>
      </c>
      <c r="BM158">
        <v>238062</v>
      </c>
      <c r="BN158">
        <v>132053</v>
      </c>
      <c r="BO158">
        <v>0</v>
      </c>
    </row>
    <row r="159" spans="1:67" x14ac:dyDescent="0.25">
      <c r="A159" t="s">
        <v>23</v>
      </c>
      <c r="B159" t="s">
        <v>154</v>
      </c>
      <c r="C159" t="s">
        <v>153</v>
      </c>
      <c r="D159" s="7">
        <v>90135</v>
      </c>
      <c r="E159">
        <v>6</v>
      </c>
      <c r="W159" t="s">
        <v>154</v>
      </c>
      <c r="X159" s="11" t="s">
        <v>153</v>
      </c>
      <c r="Y159" s="7">
        <v>90135</v>
      </c>
      <c r="Z159" s="11" t="str">
        <f t="shared" si="32"/>
        <v>2023-10</v>
      </c>
      <c r="AA159" t="s">
        <v>124</v>
      </c>
      <c r="AB159">
        <f>SUMIFS($Y:$Y,$W:$W,$AA159,$Z:$Z,AB$1)</f>
        <v>0</v>
      </c>
      <c r="AC159">
        <f>SUMIFS($Y:$Y,$W:$W,$AA159,$Z:$Z,AC$1)</f>
        <v>43653</v>
      </c>
      <c r="AD159">
        <f>SUMIFS($Y:$Y,$W:$W,$AA159,$Z:$Z,AD$1)</f>
        <v>0</v>
      </c>
      <c r="AE159">
        <f>SUMIFS($Y:$Y,$W:$W,$AA159,$Z:$Z,AE$1)</f>
        <v>0</v>
      </c>
      <c r="AF159">
        <f>SUMIFS($Y:$Y,$W:$W,$AA159,$Z:$Z,AF$1)</f>
        <v>0</v>
      </c>
      <c r="AG159">
        <f>SUMIFS($Y:$Y,$W:$W,$AA159,$Z:$Z,AG$1)</f>
        <v>47010</v>
      </c>
      <c r="AH159">
        <f>SUMIFS($Y:$Y,$W:$W,$AA159,$Z:$Z,AH$1)</f>
        <v>0</v>
      </c>
      <c r="AI159">
        <f>SUMIFS($Y:$Y,$W:$W,$AA159,$Z:$Z,AI$1)</f>
        <v>0</v>
      </c>
      <c r="AJ159">
        <f>SUMIFS($Y:$Y,$W:$W,$AA159,$Z:$Z,AJ$1)</f>
        <v>0</v>
      </c>
      <c r="AK159">
        <f>SUMIFS($Y:$Y,$W:$W,$AA159,$Z:$Z,AK$1)</f>
        <v>0</v>
      </c>
      <c r="AL159">
        <f>SUMIFS($Y:$Y,$W:$W,$AA159,$Z:$Z,AL$1)</f>
        <v>0</v>
      </c>
      <c r="AM159">
        <f>SUMIFS($Y:$Y,$W:$W,$AA159,$Z:$Z,AM$1)</f>
        <v>40198</v>
      </c>
      <c r="AN159">
        <f>SUMIFS($Y:$Y,$W:$W,$AA159,$Z:$Z,AN$1)</f>
        <v>0</v>
      </c>
      <c r="AO159">
        <f>SUM(AB159:AN159)</f>
        <v>130861</v>
      </c>
      <c r="AP159" s="8">
        <f t="shared" si="27"/>
        <v>0.79797979797979801</v>
      </c>
      <c r="AQ159" s="8">
        <f t="shared" si="28"/>
        <v>2.4012709206331895E-3</v>
      </c>
      <c r="AR159" s="8">
        <f t="shared" si="33"/>
        <v>0.94115877923886526</v>
      </c>
      <c r="AS159" t="str">
        <f t="shared" si="29"/>
        <v>B</v>
      </c>
      <c r="AT159" s="8">
        <f t="shared" si="30"/>
        <v>1.8305594518075807</v>
      </c>
      <c r="AU159" t="str">
        <f t="shared" si="31"/>
        <v>Z</v>
      </c>
      <c r="AZ159" t="s">
        <v>188</v>
      </c>
      <c r="BA159" t="s">
        <v>471</v>
      </c>
      <c r="BB159" t="s">
        <v>472</v>
      </c>
      <c r="BC159">
        <v>0</v>
      </c>
      <c r="BD159">
        <v>0</v>
      </c>
      <c r="BE159">
        <v>82828</v>
      </c>
      <c r="BF159">
        <v>0</v>
      </c>
      <c r="BG159">
        <v>0</v>
      </c>
      <c r="BH159">
        <v>0</v>
      </c>
      <c r="BI159">
        <v>43681</v>
      </c>
      <c r="BJ159">
        <v>86335</v>
      </c>
      <c r="BK159">
        <v>0</v>
      </c>
      <c r="BL159">
        <v>57544</v>
      </c>
      <c r="BM159">
        <v>68619</v>
      </c>
      <c r="BN159">
        <v>0</v>
      </c>
      <c r="BO159">
        <v>0</v>
      </c>
    </row>
    <row r="160" spans="1:67" x14ac:dyDescent="0.25">
      <c r="A160" t="s">
        <v>33</v>
      </c>
      <c r="B160" t="s">
        <v>155</v>
      </c>
      <c r="C160" t="s">
        <v>153</v>
      </c>
      <c r="D160" s="7">
        <v>24736</v>
      </c>
      <c r="E160">
        <v>3</v>
      </c>
      <c r="W160" t="s">
        <v>155</v>
      </c>
      <c r="X160" s="11" t="s">
        <v>153</v>
      </c>
      <c r="Y160" s="7">
        <v>24736</v>
      </c>
      <c r="Z160" s="11" t="str">
        <f t="shared" si="32"/>
        <v>2023-10</v>
      </c>
      <c r="AA160" t="s">
        <v>155</v>
      </c>
      <c r="AB160">
        <f>SUMIFS($Y:$Y,$W:$W,$AA160,$Z:$Z,AB$1)</f>
        <v>0</v>
      </c>
      <c r="AC160">
        <f>SUMIFS($Y:$Y,$W:$W,$AA160,$Z:$Z,AC$1)</f>
        <v>24736</v>
      </c>
      <c r="AD160">
        <f>SUMIFS($Y:$Y,$W:$W,$AA160,$Z:$Z,AD$1)</f>
        <v>0</v>
      </c>
      <c r="AE160">
        <f>SUMIFS($Y:$Y,$W:$W,$AA160,$Z:$Z,AE$1)</f>
        <v>0</v>
      </c>
      <c r="AF160">
        <f>SUMIFS($Y:$Y,$W:$W,$AA160,$Z:$Z,AF$1)</f>
        <v>0</v>
      </c>
      <c r="AG160">
        <f>SUMIFS($Y:$Y,$W:$W,$AA160,$Z:$Z,AG$1)</f>
        <v>63914</v>
      </c>
      <c r="AH160">
        <f>SUMIFS($Y:$Y,$W:$W,$AA160,$Z:$Z,AH$1)</f>
        <v>21362</v>
      </c>
      <c r="AI160">
        <f>SUMIFS($Y:$Y,$W:$W,$AA160,$Z:$Z,AI$1)</f>
        <v>0</v>
      </c>
      <c r="AJ160">
        <f>SUMIFS($Y:$Y,$W:$W,$AA160,$Z:$Z,AJ$1)</f>
        <v>13149</v>
      </c>
      <c r="AK160">
        <f>SUMIFS($Y:$Y,$W:$W,$AA160,$Z:$Z,AK$1)</f>
        <v>0</v>
      </c>
      <c r="AL160">
        <f>SUMIFS($Y:$Y,$W:$W,$AA160,$Z:$Z,AL$1)</f>
        <v>0</v>
      </c>
      <c r="AM160">
        <f>SUMIFS($Y:$Y,$W:$W,$AA160,$Z:$Z,AM$1)</f>
        <v>0</v>
      </c>
      <c r="AN160">
        <f>SUMIFS($Y:$Y,$W:$W,$AA160,$Z:$Z,AN$1)</f>
        <v>0</v>
      </c>
      <c r="AO160">
        <f>SUM(AB160:AN160)</f>
        <v>123161</v>
      </c>
      <c r="AP160" s="8">
        <f t="shared" si="27"/>
        <v>0.80303030303030298</v>
      </c>
      <c r="AQ160" s="8">
        <f t="shared" si="28"/>
        <v>2.2599775934472777E-3</v>
      </c>
      <c r="AR160" s="8">
        <f t="shared" si="33"/>
        <v>0.94341875683231258</v>
      </c>
      <c r="AS160" t="str">
        <f t="shared" si="29"/>
        <v>B</v>
      </c>
      <c r="AT160" s="8">
        <f t="shared" si="30"/>
        <v>1.8880247316478462</v>
      </c>
      <c r="AU160" t="str">
        <f t="shared" si="31"/>
        <v>Z</v>
      </c>
      <c r="AZ160" t="s">
        <v>125</v>
      </c>
      <c r="BA160" t="s">
        <v>474</v>
      </c>
      <c r="BB160" t="s">
        <v>472</v>
      </c>
      <c r="BC160">
        <v>0</v>
      </c>
      <c r="BD160">
        <v>42835</v>
      </c>
      <c r="BE160">
        <v>0</v>
      </c>
      <c r="BF160">
        <v>0</v>
      </c>
      <c r="BG160">
        <v>15123</v>
      </c>
      <c r="BH160">
        <v>39452</v>
      </c>
      <c r="BI160">
        <v>0</v>
      </c>
      <c r="BJ160">
        <v>0</v>
      </c>
      <c r="BK160">
        <v>71179</v>
      </c>
      <c r="BL160">
        <v>0</v>
      </c>
      <c r="BM160">
        <v>0</v>
      </c>
      <c r="BN160">
        <v>0</v>
      </c>
      <c r="BO160">
        <v>0</v>
      </c>
    </row>
    <row r="161" spans="1:67" x14ac:dyDescent="0.25">
      <c r="A161" t="s">
        <v>36</v>
      </c>
      <c r="B161" t="s">
        <v>156</v>
      </c>
      <c r="C161" t="s">
        <v>153</v>
      </c>
      <c r="D161" s="7">
        <v>34160</v>
      </c>
      <c r="E161">
        <v>3</v>
      </c>
      <c r="W161" t="s">
        <v>156</v>
      </c>
      <c r="X161" s="11" t="s">
        <v>153</v>
      </c>
      <c r="Y161" s="7">
        <v>34160</v>
      </c>
      <c r="Z161" s="11" t="str">
        <f t="shared" si="32"/>
        <v>2023-10</v>
      </c>
      <c r="AA161" t="s">
        <v>308</v>
      </c>
      <c r="AB161">
        <f>SUMIFS($Y:$Y,$W:$W,$AA161,$Z:$Z,AB$1)</f>
        <v>0</v>
      </c>
      <c r="AC161">
        <f>SUMIFS($Y:$Y,$W:$W,$AA161,$Z:$Z,AC$1)</f>
        <v>0</v>
      </c>
      <c r="AD161">
        <f>SUMIFS($Y:$Y,$W:$W,$AA161,$Z:$Z,AD$1)</f>
        <v>0</v>
      </c>
      <c r="AE161">
        <f>SUMIFS($Y:$Y,$W:$W,$AA161,$Z:$Z,AE$1)</f>
        <v>0</v>
      </c>
      <c r="AF161">
        <f>SUMIFS($Y:$Y,$W:$W,$AA161,$Z:$Z,AF$1)</f>
        <v>0</v>
      </c>
      <c r="AG161">
        <f>SUMIFS($Y:$Y,$W:$W,$AA161,$Z:$Z,AG$1)</f>
        <v>77177</v>
      </c>
      <c r="AH161">
        <f>SUMIFS($Y:$Y,$W:$W,$AA161,$Z:$Z,AH$1)</f>
        <v>0</v>
      </c>
      <c r="AI161">
        <f>SUMIFS($Y:$Y,$W:$W,$AA161,$Z:$Z,AI$1)</f>
        <v>0</v>
      </c>
      <c r="AJ161">
        <f>SUMIFS($Y:$Y,$W:$W,$AA161,$Z:$Z,AJ$1)</f>
        <v>0</v>
      </c>
      <c r="AK161">
        <f>SUMIFS($Y:$Y,$W:$W,$AA161,$Z:$Z,AK$1)</f>
        <v>44493</v>
      </c>
      <c r="AL161">
        <f>SUMIFS($Y:$Y,$W:$W,$AA161,$Z:$Z,AL$1)</f>
        <v>0</v>
      </c>
      <c r="AM161">
        <f>SUMIFS($Y:$Y,$W:$W,$AA161,$Z:$Z,AM$1)</f>
        <v>0</v>
      </c>
      <c r="AN161">
        <f>SUMIFS($Y:$Y,$W:$W,$AA161,$Z:$Z,AN$1)</f>
        <v>0</v>
      </c>
      <c r="AO161">
        <f>SUM(AB161:AN161)</f>
        <v>121670</v>
      </c>
      <c r="AP161" s="8">
        <f t="shared" si="27"/>
        <v>0.80808080808080807</v>
      </c>
      <c r="AQ161" s="8">
        <f t="shared" si="28"/>
        <v>2.2326180673649149E-3</v>
      </c>
      <c r="AR161" s="8">
        <f t="shared" si="33"/>
        <v>0.94565137489967754</v>
      </c>
      <c r="AS161" t="str">
        <f t="shared" si="29"/>
        <v>B</v>
      </c>
      <c r="AT161" s="8">
        <f t="shared" si="30"/>
        <v>2.4431634026697369</v>
      </c>
      <c r="AU161" t="str">
        <f t="shared" si="31"/>
        <v>Z</v>
      </c>
      <c r="AZ161" t="s">
        <v>15</v>
      </c>
      <c r="BA161" t="s">
        <v>471</v>
      </c>
      <c r="BB161" t="s">
        <v>472</v>
      </c>
      <c r="BC161">
        <v>67588</v>
      </c>
      <c r="BD161">
        <v>0</v>
      </c>
      <c r="BE161">
        <v>0</v>
      </c>
      <c r="BF161">
        <v>43448</v>
      </c>
      <c r="BG161">
        <v>0</v>
      </c>
      <c r="BH161">
        <v>0</v>
      </c>
      <c r="BI161">
        <v>0</v>
      </c>
      <c r="BJ161">
        <v>74519</v>
      </c>
      <c r="BK161">
        <v>0</v>
      </c>
      <c r="BL161">
        <v>0</v>
      </c>
      <c r="BM161">
        <v>162740</v>
      </c>
      <c r="BN161">
        <v>0</v>
      </c>
      <c r="BO161">
        <v>0</v>
      </c>
    </row>
    <row r="162" spans="1:67" x14ac:dyDescent="0.25">
      <c r="A162" t="s">
        <v>8</v>
      </c>
      <c r="B162" t="s">
        <v>157</v>
      </c>
      <c r="C162" t="s">
        <v>153</v>
      </c>
      <c r="D162" s="7">
        <v>98169</v>
      </c>
      <c r="E162">
        <v>1</v>
      </c>
      <c r="W162" t="s">
        <v>157</v>
      </c>
      <c r="X162" s="11" t="s">
        <v>153</v>
      </c>
      <c r="Y162" s="7">
        <v>98169</v>
      </c>
      <c r="Z162" s="11" t="str">
        <f t="shared" si="32"/>
        <v>2023-10</v>
      </c>
      <c r="AA162" t="s">
        <v>249</v>
      </c>
      <c r="AB162">
        <f>SUMIFS($Y:$Y,$W:$W,$AA162,$Z:$Z,AB$1)</f>
        <v>0</v>
      </c>
      <c r="AC162">
        <f>SUMIFS($Y:$Y,$W:$W,$AA162,$Z:$Z,AC$1)</f>
        <v>0</v>
      </c>
      <c r="AD162">
        <f>SUMIFS($Y:$Y,$W:$W,$AA162,$Z:$Z,AD$1)</f>
        <v>0</v>
      </c>
      <c r="AE162">
        <f>SUMIFS($Y:$Y,$W:$W,$AA162,$Z:$Z,AE$1)</f>
        <v>22947</v>
      </c>
      <c r="AF162">
        <f>SUMIFS($Y:$Y,$W:$W,$AA162,$Z:$Z,AF$1)</f>
        <v>0</v>
      </c>
      <c r="AG162">
        <f>SUMIFS($Y:$Y,$W:$W,$AA162,$Z:$Z,AG$1)</f>
        <v>26909</v>
      </c>
      <c r="AH162">
        <f>SUMIFS($Y:$Y,$W:$W,$AA162,$Z:$Z,AH$1)</f>
        <v>0</v>
      </c>
      <c r="AI162">
        <f>SUMIFS($Y:$Y,$W:$W,$AA162,$Z:$Z,AI$1)</f>
        <v>0</v>
      </c>
      <c r="AJ162">
        <f>SUMIFS($Y:$Y,$W:$W,$AA162,$Z:$Z,AJ$1)</f>
        <v>57900</v>
      </c>
      <c r="AK162">
        <f>SUMIFS($Y:$Y,$W:$W,$AA162,$Z:$Z,AK$1)</f>
        <v>13859</v>
      </c>
      <c r="AL162">
        <f>SUMIFS($Y:$Y,$W:$W,$AA162,$Z:$Z,AL$1)</f>
        <v>0</v>
      </c>
      <c r="AM162">
        <f>SUMIFS($Y:$Y,$W:$W,$AA162,$Z:$Z,AM$1)</f>
        <v>0</v>
      </c>
      <c r="AN162">
        <f>SUMIFS($Y:$Y,$W:$W,$AA162,$Z:$Z,AN$1)</f>
        <v>0</v>
      </c>
      <c r="AO162">
        <f>SUM(AB162:AN162)</f>
        <v>121615</v>
      </c>
      <c r="AP162" s="8">
        <f t="shared" ref="AP162:AP193" si="34">(ROW()-1) / 198</f>
        <v>0.81313131313131315</v>
      </c>
      <c r="AQ162" s="8">
        <f t="shared" ref="AQ162:AQ193" si="35">AO162/$AO$1</f>
        <v>2.2316088293135869E-3</v>
      </c>
      <c r="AR162" s="8">
        <f t="shared" si="33"/>
        <v>0.94788298372899116</v>
      </c>
      <c r="AS162" t="str">
        <f t="shared" ref="AS162:AS193" si="36">IF(AR162&lt;80%,"A",IF(AR162&lt;95.0000001%,"B","C"))</f>
        <v>B</v>
      </c>
      <c r="AT162" s="8">
        <f t="shared" ref="AT162:AT193" si="37">_xlfn.STDEV.P(AB162:AN162)/AVERAGE(AB162:AN162)</f>
        <v>1.7929686687230277</v>
      </c>
      <c r="AU162" t="str">
        <f t="shared" ref="AU162:AU193" si="38">IF(AT162&lt;10%,"X",IF(AT162&lt;25%,"Y","Z"))</f>
        <v>Z</v>
      </c>
      <c r="AZ162" t="s">
        <v>279</v>
      </c>
      <c r="BA162" t="s">
        <v>471</v>
      </c>
      <c r="BB162" t="s">
        <v>472</v>
      </c>
      <c r="BC162">
        <v>0</v>
      </c>
      <c r="BD162">
        <v>0</v>
      </c>
      <c r="BE162">
        <v>0</v>
      </c>
      <c r="BF162">
        <v>0</v>
      </c>
      <c r="BG162">
        <v>76727</v>
      </c>
      <c r="BH162">
        <v>0</v>
      </c>
      <c r="BI162">
        <v>0</v>
      </c>
      <c r="BJ162">
        <v>68259</v>
      </c>
      <c r="BK162">
        <v>67515</v>
      </c>
      <c r="BL162">
        <v>0</v>
      </c>
      <c r="BM162">
        <v>0</v>
      </c>
      <c r="BN162">
        <v>30425</v>
      </c>
      <c r="BO162">
        <v>0</v>
      </c>
    </row>
    <row r="163" spans="1:67" x14ac:dyDescent="0.25">
      <c r="A163" t="s">
        <v>12</v>
      </c>
      <c r="B163" t="s">
        <v>18</v>
      </c>
      <c r="C163" t="s">
        <v>153</v>
      </c>
      <c r="D163" s="7">
        <v>27392</v>
      </c>
      <c r="E163">
        <v>8</v>
      </c>
      <c r="W163" t="s">
        <v>18</v>
      </c>
      <c r="X163" s="11" t="s">
        <v>153</v>
      </c>
      <c r="Y163" s="7">
        <v>27392</v>
      </c>
      <c r="Z163" s="11" t="str">
        <f t="shared" si="32"/>
        <v>2023-10</v>
      </c>
      <c r="AA163" t="s">
        <v>100</v>
      </c>
      <c r="AB163">
        <f>SUMIFS($Y:$Y,$W:$W,$AA163,$Z:$Z,AB$1)</f>
        <v>41208</v>
      </c>
      <c r="AC163">
        <f>SUMIFS($Y:$Y,$W:$W,$AA163,$Z:$Z,AC$1)</f>
        <v>0</v>
      </c>
      <c r="AD163">
        <f>SUMIFS($Y:$Y,$W:$W,$AA163,$Z:$Z,AD$1)</f>
        <v>24896</v>
      </c>
      <c r="AE163">
        <f>SUMIFS($Y:$Y,$W:$W,$AA163,$Z:$Z,AE$1)</f>
        <v>0</v>
      </c>
      <c r="AF163">
        <f>SUMIFS($Y:$Y,$W:$W,$AA163,$Z:$Z,AF$1)</f>
        <v>0</v>
      </c>
      <c r="AG163">
        <f>SUMIFS($Y:$Y,$W:$W,$AA163,$Z:$Z,AG$1)</f>
        <v>0</v>
      </c>
      <c r="AH163">
        <f>SUMIFS($Y:$Y,$W:$W,$AA163,$Z:$Z,AH$1)</f>
        <v>0</v>
      </c>
      <c r="AI163">
        <f>SUMIFS($Y:$Y,$W:$W,$AA163,$Z:$Z,AI$1)</f>
        <v>0</v>
      </c>
      <c r="AJ163">
        <f>SUMIFS($Y:$Y,$W:$W,$AA163,$Z:$Z,AJ$1)</f>
        <v>0</v>
      </c>
      <c r="AK163">
        <f>SUMIFS($Y:$Y,$W:$W,$AA163,$Z:$Z,AK$1)</f>
        <v>0</v>
      </c>
      <c r="AL163">
        <f>SUMIFS($Y:$Y,$W:$W,$AA163,$Z:$Z,AL$1)</f>
        <v>0</v>
      </c>
      <c r="AM163">
        <f>SUMIFS($Y:$Y,$W:$W,$AA163,$Z:$Z,AM$1)</f>
        <v>51783</v>
      </c>
      <c r="AN163">
        <f>SUMIFS($Y:$Y,$W:$W,$AA163,$Z:$Z,AN$1)</f>
        <v>0</v>
      </c>
      <c r="AO163">
        <f>SUM(AB163:AN163)</f>
        <v>117887</v>
      </c>
      <c r="AP163" s="8">
        <f t="shared" si="34"/>
        <v>0.81818181818181823</v>
      </c>
      <c r="AQ163" s="8">
        <f t="shared" si="35"/>
        <v>2.1632008392163042E-3</v>
      </c>
      <c r="AR163" s="8">
        <f t="shared" ref="AR163:AR194" si="39">AR162+AQ163</f>
        <v>0.95004618456820744</v>
      </c>
      <c r="AS163" t="str">
        <f t="shared" si="36"/>
        <v>C</v>
      </c>
      <c r="AT163" s="8">
        <f t="shared" si="37"/>
        <v>1.917441276899555</v>
      </c>
      <c r="AU163" t="str">
        <f t="shared" si="38"/>
        <v>Z</v>
      </c>
      <c r="AZ163" t="s">
        <v>131</v>
      </c>
      <c r="BA163" t="s">
        <v>471</v>
      </c>
      <c r="BB163" t="s">
        <v>472</v>
      </c>
      <c r="BC163">
        <v>0</v>
      </c>
      <c r="BD163">
        <v>92661</v>
      </c>
      <c r="BE163">
        <v>0</v>
      </c>
      <c r="BF163">
        <v>0</v>
      </c>
      <c r="BG163">
        <v>0</v>
      </c>
      <c r="BH163">
        <v>17012</v>
      </c>
      <c r="BI163">
        <v>13226</v>
      </c>
      <c r="BJ163">
        <v>0</v>
      </c>
      <c r="BK163">
        <v>0</v>
      </c>
      <c r="BL163">
        <v>69262</v>
      </c>
      <c r="BM163">
        <v>53285</v>
      </c>
      <c r="BN163">
        <v>137000</v>
      </c>
      <c r="BO163">
        <v>0</v>
      </c>
    </row>
    <row r="164" spans="1:67" x14ac:dyDescent="0.25">
      <c r="A164" t="s">
        <v>17</v>
      </c>
      <c r="B164" t="s">
        <v>158</v>
      </c>
      <c r="C164" t="s">
        <v>153</v>
      </c>
      <c r="D164" s="7">
        <v>87546</v>
      </c>
      <c r="E164">
        <v>9</v>
      </c>
      <c r="W164" t="s">
        <v>158</v>
      </c>
      <c r="X164" s="11" t="s">
        <v>153</v>
      </c>
      <c r="Y164" s="7">
        <v>87546</v>
      </c>
      <c r="Z164" s="11" t="str">
        <f t="shared" si="32"/>
        <v>2023-10</v>
      </c>
      <c r="AA164" t="s">
        <v>303</v>
      </c>
      <c r="AB164">
        <f>SUMIFS($Y:$Y,$W:$W,$AA164,$Z:$Z,AB$1)</f>
        <v>0</v>
      </c>
      <c r="AC164">
        <f>SUMIFS($Y:$Y,$W:$W,$AA164,$Z:$Z,AC$1)</f>
        <v>0</v>
      </c>
      <c r="AD164">
        <f>SUMIFS($Y:$Y,$W:$W,$AA164,$Z:$Z,AD$1)</f>
        <v>0</v>
      </c>
      <c r="AE164">
        <f>SUMIFS($Y:$Y,$W:$W,$AA164,$Z:$Z,AE$1)</f>
        <v>0</v>
      </c>
      <c r="AF164">
        <f>SUMIFS($Y:$Y,$W:$W,$AA164,$Z:$Z,AF$1)</f>
        <v>0</v>
      </c>
      <c r="AG164">
        <f>SUMIFS($Y:$Y,$W:$W,$AA164,$Z:$Z,AG$1)</f>
        <v>81393</v>
      </c>
      <c r="AH164">
        <f>SUMIFS($Y:$Y,$W:$W,$AA164,$Z:$Z,AH$1)</f>
        <v>29176</v>
      </c>
      <c r="AI164">
        <f>SUMIFS($Y:$Y,$W:$W,$AA164,$Z:$Z,AI$1)</f>
        <v>0</v>
      </c>
      <c r="AJ164">
        <f>SUMIFS($Y:$Y,$W:$W,$AA164,$Z:$Z,AJ$1)</f>
        <v>0</v>
      </c>
      <c r="AK164">
        <f>SUMIFS($Y:$Y,$W:$W,$AA164,$Z:$Z,AK$1)</f>
        <v>0</v>
      </c>
      <c r="AL164">
        <f>SUMIFS($Y:$Y,$W:$W,$AA164,$Z:$Z,AL$1)</f>
        <v>0</v>
      </c>
      <c r="AM164">
        <f>SUMIFS($Y:$Y,$W:$W,$AA164,$Z:$Z,AM$1)</f>
        <v>0</v>
      </c>
      <c r="AN164">
        <f>SUMIFS($Y:$Y,$W:$W,$AA164,$Z:$Z,AN$1)</f>
        <v>0</v>
      </c>
      <c r="AO164">
        <f>SUM(AB164:AN164)</f>
        <v>110569</v>
      </c>
      <c r="AP164" s="8">
        <f t="shared" si="34"/>
        <v>0.8232323232323232</v>
      </c>
      <c r="AQ164" s="8">
        <f t="shared" si="35"/>
        <v>2.0289171290414341E-3</v>
      </c>
      <c r="AR164" s="8">
        <f t="shared" si="39"/>
        <v>0.95207510169724885</v>
      </c>
      <c r="AS164" t="str">
        <f t="shared" si="36"/>
        <v>C</v>
      </c>
      <c r="AT164" s="8">
        <f t="shared" si="37"/>
        <v>2.6362234838459582</v>
      </c>
      <c r="AU164" t="str">
        <f t="shared" si="38"/>
        <v>Z</v>
      </c>
      <c r="AZ164" t="s">
        <v>242</v>
      </c>
      <c r="BA164" t="s">
        <v>471</v>
      </c>
      <c r="BB164" t="s">
        <v>472</v>
      </c>
      <c r="BC164">
        <v>0</v>
      </c>
      <c r="BD164">
        <v>0</v>
      </c>
      <c r="BE164">
        <v>0</v>
      </c>
      <c r="BF164">
        <v>42924</v>
      </c>
      <c r="BG164">
        <v>0</v>
      </c>
      <c r="BH164">
        <v>0</v>
      </c>
      <c r="BI164">
        <v>0</v>
      </c>
      <c r="BJ164">
        <v>0</v>
      </c>
      <c r="BK164">
        <v>24417</v>
      </c>
      <c r="BL164">
        <v>0</v>
      </c>
      <c r="BM164">
        <v>113313</v>
      </c>
      <c r="BN164">
        <v>84158</v>
      </c>
      <c r="BO164">
        <v>0</v>
      </c>
    </row>
    <row r="165" spans="1:67" x14ac:dyDescent="0.25">
      <c r="A165" t="s">
        <v>14</v>
      </c>
      <c r="B165" t="s">
        <v>50</v>
      </c>
      <c r="C165" t="s">
        <v>159</v>
      </c>
      <c r="D165" s="7">
        <v>53224</v>
      </c>
      <c r="E165">
        <v>2</v>
      </c>
      <c r="W165" t="s">
        <v>50</v>
      </c>
      <c r="X165" s="11" t="s">
        <v>159</v>
      </c>
      <c r="Y165" s="7">
        <v>53224</v>
      </c>
      <c r="Z165" s="11" t="str">
        <f t="shared" si="32"/>
        <v>2023-10</v>
      </c>
      <c r="AA165" t="s">
        <v>203</v>
      </c>
      <c r="AB165">
        <f>SUMIFS($Y:$Y,$W:$W,$AA165,$Z:$Z,AB$1)</f>
        <v>0</v>
      </c>
      <c r="AC165">
        <f>SUMIFS($Y:$Y,$W:$W,$AA165,$Z:$Z,AC$1)</f>
        <v>0</v>
      </c>
      <c r="AD165">
        <f>SUMIFS($Y:$Y,$W:$W,$AA165,$Z:$Z,AD$1)</f>
        <v>32316</v>
      </c>
      <c r="AE165">
        <f>SUMIFS($Y:$Y,$W:$W,$AA165,$Z:$Z,AE$1)</f>
        <v>0</v>
      </c>
      <c r="AF165">
        <f>SUMIFS($Y:$Y,$W:$W,$AA165,$Z:$Z,AF$1)</f>
        <v>0</v>
      </c>
      <c r="AG165">
        <f>SUMIFS($Y:$Y,$W:$W,$AA165,$Z:$Z,AG$1)</f>
        <v>28193</v>
      </c>
      <c r="AH165">
        <f>SUMIFS($Y:$Y,$W:$W,$AA165,$Z:$Z,AH$1)</f>
        <v>0</v>
      </c>
      <c r="AI165">
        <f>SUMIFS($Y:$Y,$W:$W,$AA165,$Z:$Z,AI$1)</f>
        <v>0</v>
      </c>
      <c r="AJ165">
        <f>SUMIFS($Y:$Y,$W:$W,$AA165,$Z:$Z,AJ$1)</f>
        <v>49499</v>
      </c>
      <c r="AK165">
        <f>SUMIFS($Y:$Y,$W:$W,$AA165,$Z:$Z,AK$1)</f>
        <v>0</v>
      </c>
      <c r="AL165">
        <f>SUMIFS($Y:$Y,$W:$W,$AA165,$Z:$Z,AL$1)</f>
        <v>0</v>
      </c>
      <c r="AM165">
        <f>SUMIFS($Y:$Y,$W:$W,$AA165,$Z:$Z,AM$1)</f>
        <v>0</v>
      </c>
      <c r="AN165">
        <f>SUMIFS($Y:$Y,$W:$W,$AA165,$Z:$Z,AN$1)</f>
        <v>0</v>
      </c>
      <c r="AO165">
        <f>SUM(AB165:AN165)</f>
        <v>110008</v>
      </c>
      <c r="AP165" s="8">
        <f t="shared" si="34"/>
        <v>0.82828282828282829</v>
      </c>
      <c r="AQ165" s="8">
        <f t="shared" si="35"/>
        <v>2.0186229009178892E-3</v>
      </c>
      <c r="AR165" s="8">
        <f t="shared" si="39"/>
        <v>0.95409372459816677</v>
      </c>
      <c r="AS165" t="str">
        <f t="shared" si="36"/>
        <v>C</v>
      </c>
      <c r="AT165" s="8">
        <f t="shared" si="37"/>
        <v>1.8993920634261841</v>
      </c>
      <c r="AU165" t="str">
        <f t="shared" si="38"/>
        <v>Z</v>
      </c>
      <c r="AZ165" t="s">
        <v>77</v>
      </c>
      <c r="BA165" t="s">
        <v>471</v>
      </c>
      <c r="BB165" t="s">
        <v>472</v>
      </c>
      <c r="BC165">
        <v>53543</v>
      </c>
      <c r="BD165">
        <v>0</v>
      </c>
      <c r="BE165">
        <v>0</v>
      </c>
      <c r="BF165">
        <v>98688</v>
      </c>
      <c r="BG165">
        <v>0</v>
      </c>
      <c r="BH165">
        <v>0</v>
      </c>
      <c r="BI165">
        <v>0</v>
      </c>
      <c r="BJ165">
        <v>41241</v>
      </c>
      <c r="BK165">
        <v>0</v>
      </c>
      <c r="BL165">
        <v>62698</v>
      </c>
      <c r="BM165">
        <v>0</v>
      </c>
      <c r="BN165">
        <v>0</v>
      </c>
      <c r="BO165">
        <v>0</v>
      </c>
    </row>
    <row r="166" spans="1:67" x14ac:dyDescent="0.25">
      <c r="A166" t="s">
        <v>12</v>
      </c>
      <c r="B166" t="s">
        <v>67</v>
      </c>
      <c r="C166" t="s">
        <v>159</v>
      </c>
      <c r="D166" s="7">
        <v>50047</v>
      </c>
      <c r="E166">
        <v>6</v>
      </c>
      <c r="W166" t="s">
        <v>67</v>
      </c>
      <c r="X166" s="11" t="s">
        <v>159</v>
      </c>
      <c r="Y166" s="7">
        <v>50047</v>
      </c>
      <c r="Z166" s="11" t="str">
        <f t="shared" si="32"/>
        <v>2023-10</v>
      </c>
      <c r="AA166" t="s">
        <v>109</v>
      </c>
      <c r="AB166">
        <f>SUMIFS($Y:$Y,$W:$W,$AA166,$Z:$Z,AB$1)</f>
        <v>0</v>
      </c>
      <c r="AC166">
        <f>SUMIFS($Y:$Y,$W:$W,$AA166,$Z:$Z,AC$1)</f>
        <v>15831</v>
      </c>
      <c r="AD166">
        <f>SUMIFS($Y:$Y,$W:$W,$AA166,$Z:$Z,AD$1)</f>
        <v>0</v>
      </c>
      <c r="AE166">
        <f>SUMIFS($Y:$Y,$W:$W,$AA166,$Z:$Z,AE$1)</f>
        <v>0</v>
      </c>
      <c r="AF166">
        <f>SUMIFS($Y:$Y,$W:$W,$AA166,$Z:$Z,AF$1)</f>
        <v>0</v>
      </c>
      <c r="AG166">
        <f>SUMIFS($Y:$Y,$W:$W,$AA166,$Z:$Z,AG$1)</f>
        <v>0</v>
      </c>
      <c r="AH166">
        <f>SUMIFS($Y:$Y,$W:$W,$AA166,$Z:$Z,AH$1)</f>
        <v>0</v>
      </c>
      <c r="AI166">
        <f>SUMIFS($Y:$Y,$W:$W,$AA166,$Z:$Z,AI$1)</f>
        <v>0</v>
      </c>
      <c r="AJ166">
        <f>SUMIFS($Y:$Y,$W:$W,$AA166,$Z:$Z,AJ$1)</f>
        <v>0</v>
      </c>
      <c r="AK166">
        <f>SUMIFS($Y:$Y,$W:$W,$AA166,$Z:$Z,AK$1)</f>
        <v>0</v>
      </c>
      <c r="AL166">
        <f>SUMIFS($Y:$Y,$W:$W,$AA166,$Z:$Z,AL$1)</f>
        <v>0</v>
      </c>
      <c r="AM166">
        <f>SUMIFS($Y:$Y,$W:$W,$AA166,$Z:$Z,AM$1)</f>
        <v>90950</v>
      </c>
      <c r="AN166">
        <f>SUMIFS($Y:$Y,$W:$W,$AA166,$Z:$Z,AN$1)</f>
        <v>0</v>
      </c>
      <c r="AO166">
        <f>SUM(AB166:AN166)</f>
        <v>106781</v>
      </c>
      <c r="AP166" s="8">
        <f t="shared" si="34"/>
        <v>0.83333333333333337</v>
      </c>
      <c r="AQ166" s="8">
        <f t="shared" si="35"/>
        <v>1.9594081519790662E-3</v>
      </c>
      <c r="AR166" s="8">
        <f t="shared" si="39"/>
        <v>0.95605313275014581</v>
      </c>
      <c r="AS166" t="str">
        <f t="shared" si="36"/>
        <v>C</v>
      </c>
      <c r="AT166" s="8">
        <f t="shared" si="37"/>
        <v>2.9524238941630951</v>
      </c>
      <c r="AU166" t="str">
        <f t="shared" si="38"/>
        <v>Z</v>
      </c>
      <c r="AZ166" t="s">
        <v>237</v>
      </c>
      <c r="BA166" t="s">
        <v>474</v>
      </c>
      <c r="BB166" t="s">
        <v>472</v>
      </c>
      <c r="BC166">
        <v>0</v>
      </c>
      <c r="BD166">
        <v>0</v>
      </c>
      <c r="BE166">
        <v>0</v>
      </c>
      <c r="BF166">
        <v>26961</v>
      </c>
      <c r="BG166">
        <v>0</v>
      </c>
      <c r="BH166">
        <v>0</v>
      </c>
      <c r="BI166">
        <v>67201</v>
      </c>
      <c r="BJ166">
        <v>0</v>
      </c>
      <c r="BK166">
        <v>0</v>
      </c>
      <c r="BL166">
        <v>0</v>
      </c>
      <c r="BM166">
        <v>22186</v>
      </c>
      <c r="BN166">
        <v>72366</v>
      </c>
      <c r="BO166">
        <v>0</v>
      </c>
    </row>
    <row r="167" spans="1:67" x14ac:dyDescent="0.25">
      <c r="A167" t="s">
        <v>36</v>
      </c>
      <c r="B167" t="s">
        <v>91</v>
      </c>
      <c r="C167" t="s">
        <v>159</v>
      </c>
      <c r="D167" s="7">
        <v>60470</v>
      </c>
      <c r="E167">
        <v>5</v>
      </c>
      <c r="W167" t="s">
        <v>91</v>
      </c>
      <c r="X167" s="11" t="s">
        <v>159</v>
      </c>
      <c r="Y167" s="7">
        <v>60470</v>
      </c>
      <c r="Z167" s="11" t="str">
        <f t="shared" si="32"/>
        <v>2023-10</v>
      </c>
      <c r="AA167" t="s">
        <v>236</v>
      </c>
      <c r="AB167">
        <f>SUMIFS($Y:$Y,$W:$W,$AA167,$Z:$Z,AB$1)</f>
        <v>0</v>
      </c>
      <c r="AC167">
        <f>SUMIFS($Y:$Y,$W:$W,$AA167,$Z:$Z,AC$1)</f>
        <v>0</v>
      </c>
      <c r="AD167">
        <f>SUMIFS($Y:$Y,$W:$W,$AA167,$Z:$Z,AD$1)</f>
        <v>0</v>
      </c>
      <c r="AE167">
        <f>SUMIFS($Y:$Y,$W:$W,$AA167,$Z:$Z,AE$1)</f>
        <v>19599</v>
      </c>
      <c r="AF167">
        <f>SUMIFS($Y:$Y,$W:$W,$AA167,$Z:$Z,AF$1)</f>
        <v>0</v>
      </c>
      <c r="AG167">
        <f>SUMIFS($Y:$Y,$W:$W,$AA167,$Z:$Z,AG$1)</f>
        <v>0</v>
      </c>
      <c r="AH167">
        <f>SUMIFS($Y:$Y,$W:$W,$AA167,$Z:$Z,AH$1)</f>
        <v>32412</v>
      </c>
      <c r="AI167">
        <f>SUMIFS($Y:$Y,$W:$W,$AA167,$Z:$Z,AI$1)</f>
        <v>33850</v>
      </c>
      <c r="AJ167">
        <f>SUMIFS($Y:$Y,$W:$W,$AA167,$Z:$Z,AJ$1)</f>
        <v>17328</v>
      </c>
      <c r="AK167">
        <f>SUMIFS($Y:$Y,$W:$W,$AA167,$Z:$Z,AK$1)</f>
        <v>0</v>
      </c>
      <c r="AL167">
        <f>SUMIFS($Y:$Y,$W:$W,$AA167,$Z:$Z,AL$1)</f>
        <v>0</v>
      </c>
      <c r="AM167">
        <f>SUMIFS($Y:$Y,$W:$W,$AA167,$Z:$Z,AM$1)</f>
        <v>0</v>
      </c>
      <c r="AN167">
        <f>SUMIFS($Y:$Y,$W:$W,$AA167,$Z:$Z,AN$1)</f>
        <v>0</v>
      </c>
      <c r="AO167">
        <f>SUM(AB167:AN167)</f>
        <v>103189</v>
      </c>
      <c r="AP167" s="8">
        <f t="shared" si="34"/>
        <v>0.83838383838383834</v>
      </c>
      <c r="AQ167" s="8">
        <f t="shared" si="35"/>
        <v>1.8934957323359762E-3</v>
      </c>
      <c r="AR167" s="8">
        <f t="shared" si="39"/>
        <v>0.9579466284824818</v>
      </c>
      <c r="AS167" t="str">
        <f t="shared" si="36"/>
        <v>C</v>
      </c>
      <c r="AT167" s="8">
        <f t="shared" si="37"/>
        <v>1.586526865027162</v>
      </c>
      <c r="AU167" t="str">
        <f t="shared" si="38"/>
        <v>Z</v>
      </c>
      <c r="AZ167" t="s">
        <v>90</v>
      </c>
      <c r="BA167" t="s">
        <v>471</v>
      </c>
      <c r="BB167" t="s">
        <v>472</v>
      </c>
      <c r="BC167">
        <v>23967</v>
      </c>
      <c r="BD167">
        <v>70450</v>
      </c>
      <c r="BE167">
        <v>57313</v>
      </c>
      <c r="BF167">
        <v>71491</v>
      </c>
      <c r="BG167">
        <v>0</v>
      </c>
      <c r="BH167">
        <v>0</v>
      </c>
      <c r="BI167">
        <v>0</v>
      </c>
      <c r="BJ167">
        <v>84086</v>
      </c>
      <c r="BK167">
        <v>248712</v>
      </c>
      <c r="BL167">
        <v>0</v>
      </c>
      <c r="BM167">
        <v>0</v>
      </c>
      <c r="BN167">
        <v>89010</v>
      </c>
      <c r="BO167">
        <v>0</v>
      </c>
    </row>
    <row r="168" spans="1:67" x14ac:dyDescent="0.25">
      <c r="A168" t="s">
        <v>27</v>
      </c>
      <c r="B168" t="s">
        <v>72</v>
      </c>
      <c r="C168" t="s">
        <v>160</v>
      </c>
      <c r="D168" s="7">
        <v>88844</v>
      </c>
      <c r="E168">
        <v>6</v>
      </c>
      <c r="W168" t="s">
        <v>72</v>
      </c>
      <c r="X168" s="11" t="s">
        <v>160</v>
      </c>
      <c r="Y168" s="7">
        <v>88844</v>
      </c>
      <c r="Z168" s="11" t="str">
        <f t="shared" si="32"/>
        <v>2023-11</v>
      </c>
      <c r="AA168" t="s">
        <v>283</v>
      </c>
      <c r="AB168">
        <f>SUMIFS($Y:$Y,$W:$W,$AA168,$Z:$Z,AB$1)</f>
        <v>0</v>
      </c>
      <c r="AC168">
        <f>SUMIFS($Y:$Y,$W:$W,$AA168,$Z:$Z,AC$1)</f>
        <v>0</v>
      </c>
      <c r="AD168">
        <f>SUMIFS($Y:$Y,$W:$W,$AA168,$Z:$Z,AD$1)</f>
        <v>0</v>
      </c>
      <c r="AE168">
        <f>SUMIFS($Y:$Y,$W:$W,$AA168,$Z:$Z,AE$1)</f>
        <v>0</v>
      </c>
      <c r="AF168">
        <f>SUMIFS($Y:$Y,$W:$W,$AA168,$Z:$Z,AF$1)</f>
        <v>34416</v>
      </c>
      <c r="AG168">
        <f>SUMIFS($Y:$Y,$W:$W,$AA168,$Z:$Z,AG$1)</f>
        <v>0</v>
      </c>
      <c r="AH168">
        <f>SUMIFS($Y:$Y,$W:$W,$AA168,$Z:$Z,AH$1)</f>
        <v>67464</v>
      </c>
      <c r="AI168">
        <f>SUMIFS($Y:$Y,$W:$W,$AA168,$Z:$Z,AI$1)</f>
        <v>0</v>
      </c>
      <c r="AJ168">
        <f>SUMIFS($Y:$Y,$W:$W,$AA168,$Z:$Z,AJ$1)</f>
        <v>0</v>
      </c>
      <c r="AK168">
        <f>SUMIFS($Y:$Y,$W:$W,$AA168,$Z:$Z,AK$1)</f>
        <v>0</v>
      </c>
      <c r="AL168">
        <f>SUMIFS($Y:$Y,$W:$W,$AA168,$Z:$Z,AL$1)</f>
        <v>0</v>
      </c>
      <c r="AM168">
        <f>SUMIFS($Y:$Y,$W:$W,$AA168,$Z:$Z,AM$1)</f>
        <v>0</v>
      </c>
      <c r="AN168">
        <f>SUMIFS($Y:$Y,$W:$W,$AA168,$Z:$Z,AN$1)</f>
        <v>0</v>
      </c>
      <c r="AO168">
        <f>SUM(AB168:AN168)</f>
        <v>101880</v>
      </c>
      <c r="AP168" s="8">
        <f t="shared" si="34"/>
        <v>0.84343434343434343</v>
      </c>
      <c r="AQ168" s="8">
        <f t="shared" si="35"/>
        <v>1.8694758667143713E-3</v>
      </c>
      <c r="AR168" s="8">
        <f t="shared" si="39"/>
        <v>0.95981610434919618</v>
      </c>
      <c r="AS168" t="str">
        <f t="shared" si="36"/>
        <v>C</v>
      </c>
      <c r="AT168" s="8">
        <f t="shared" si="37"/>
        <v>2.4867553866448704</v>
      </c>
      <c r="AU168" t="str">
        <f t="shared" si="38"/>
        <v>Z</v>
      </c>
      <c r="AZ168" t="s">
        <v>18</v>
      </c>
      <c r="BA168" t="s">
        <v>471</v>
      </c>
      <c r="BB168" t="s">
        <v>472</v>
      </c>
      <c r="BC168">
        <v>39172</v>
      </c>
      <c r="BD168">
        <v>78724</v>
      </c>
      <c r="BE168">
        <v>0</v>
      </c>
      <c r="BF168">
        <v>0</v>
      </c>
      <c r="BG168">
        <v>38841</v>
      </c>
      <c r="BH168">
        <v>0</v>
      </c>
      <c r="BI168">
        <v>29833</v>
      </c>
      <c r="BJ168">
        <v>42875</v>
      </c>
      <c r="BK168">
        <v>98644</v>
      </c>
      <c r="BL168">
        <v>53858</v>
      </c>
      <c r="BM168">
        <v>84357</v>
      </c>
      <c r="BN168">
        <v>87916</v>
      </c>
      <c r="BO168">
        <v>0</v>
      </c>
    </row>
    <row r="169" spans="1:67" x14ac:dyDescent="0.25">
      <c r="A169" t="s">
        <v>23</v>
      </c>
      <c r="B169" t="s">
        <v>161</v>
      </c>
      <c r="C169" t="s">
        <v>160</v>
      </c>
      <c r="D169" s="7">
        <v>86597</v>
      </c>
      <c r="E169">
        <v>4</v>
      </c>
      <c r="W169" t="s">
        <v>161</v>
      </c>
      <c r="X169" s="11" t="s">
        <v>160</v>
      </c>
      <c r="Y169" s="7">
        <v>86597</v>
      </c>
      <c r="Z169" s="11" t="str">
        <f t="shared" si="32"/>
        <v>2023-11</v>
      </c>
      <c r="AA169" t="s">
        <v>68</v>
      </c>
      <c r="AB169">
        <f>SUMIFS($Y:$Y,$W:$W,$AA169,$Z:$Z,AB$1)</f>
        <v>12642</v>
      </c>
      <c r="AC169">
        <f>SUMIFS($Y:$Y,$W:$W,$AA169,$Z:$Z,AC$1)</f>
        <v>0</v>
      </c>
      <c r="AD169">
        <f>SUMIFS($Y:$Y,$W:$W,$AA169,$Z:$Z,AD$1)</f>
        <v>0</v>
      </c>
      <c r="AE169">
        <f>SUMIFS($Y:$Y,$W:$W,$AA169,$Z:$Z,AE$1)</f>
        <v>0</v>
      </c>
      <c r="AF169">
        <f>SUMIFS($Y:$Y,$W:$W,$AA169,$Z:$Z,AF$1)</f>
        <v>0</v>
      </c>
      <c r="AG169">
        <f>SUMIFS($Y:$Y,$W:$W,$AA169,$Z:$Z,AG$1)</f>
        <v>0</v>
      </c>
      <c r="AH169">
        <f>SUMIFS($Y:$Y,$W:$W,$AA169,$Z:$Z,AH$1)</f>
        <v>0</v>
      </c>
      <c r="AI169">
        <f>SUMIFS($Y:$Y,$W:$W,$AA169,$Z:$Z,AI$1)</f>
        <v>86079</v>
      </c>
      <c r="AJ169">
        <f>SUMIFS($Y:$Y,$W:$W,$AA169,$Z:$Z,AJ$1)</f>
        <v>0</v>
      </c>
      <c r="AK169">
        <f>SUMIFS($Y:$Y,$W:$W,$AA169,$Z:$Z,AK$1)</f>
        <v>0</v>
      </c>
      <c r="AL169">
        <f>SUMIFS($Y:$Y,$W:$W,$AA169,$Z:$Z,AL$1)</f>
        <v>0</v>
      </c>
      <c r="AM169">
        <f>SUMIFS($Y:$Y,$W:$W,$AA169,$Z:$Z,AM$1)</f>
        <v>0</v>
      </c>
      <c r="AN169">
        <f>SUMIFS($Y:$Y,$W:$W,$AA169,$Z:$Z,AN$1)</f>
        <v>0</v>
      </c>
      <c r="AO169">
        <f>SUM(AB169:AN169)</f>
        <v>98721</v>
      </c>
      <c r="AP169" s="8">
        <f t="shared" si="34"/>
        <v>0.84848484848484851</v>
      </c>
      <c r="AQ169" s="8">
        <f t="shared" si="35"/>
        <v>1.8115089030026447E-3</v>
      </c>
      <c r="AR169" s="8">
        <f t="shared" si="39"/>
        <v>0.96162761325219881</v>
      </c>
      <c r="AS169" t="str">
        <f t="shared" si="36"/>
        <v>C</v>
      </c>
      <c r="AT169" s="8">
        <f t="shared" si="37"/>
        <v>3.0161009337597235</v>
      </c>
      <c r="AU169" t="str">
        <f t="shared" si="38"/>
        <v>Z</v>
      </c>
      <c r="AZ169" t="s">
        <v>72</v>
      </c>
      <c r="BA169" t="s">
        <v>471</v>
      </c>
      <c r="BB169" t="s">
        <v>472</v>
      </c>
      <c r="BC169">
        <v>91703</v>
      </c>
      <c r="BD169">
        <v>0</v>
      </c>
      <c r="BE169">
        <v>107118</v>
      </c>
      <c r="BF169">
        <v>36556</v>
      </c>
      <c r="BG169">
        <v>0</v>
      </c>
      <c r="BH169">
        <v>0</v>
      </c>
      <c r="BI169">
        <v>98460</v>
      </c>
      <c r="BJ169">
        <v>0</v>
      </c>
      <c r="BK169">
        <v>32787</v>
      </c>
      <c r="BL169">
        <v>133516</v>
      </c>
      <c r="BM169">
        <v>0</v>
      </c>
      <c r="BN169">
        <v>51331</v>
      </c>
      <c r="BO169">
        <v>0</v>
      </c>
    </row>
    <row r="170" spans="1:67" x14ac:dyDescent="0.25">
      <c r="A170" t="s">
        <v>12</v>
      </c>
      <c r="B170" t="s">
        <v>47</v>
      </c>
      <c r="C170" t="s">
        <v>160</v>
      </c>
      <c r="D170" s="7">
        <v>28243</v>
      </c>
      <c r="E170">
        <v>7</v>
      </c>
      <c r="W170" t="s">
        <v>47</v>
      </c>
      <c r="X170" s="11" t="s">
        <v>160</v>
      </c>
      <c r="Y170" s="7">
        <v>28243</v>
      </c>
      <c r="Z170" s="11" t="str">
        <f t="shared" si="32"/>
        <v>2023-11</v>
      </c>
      <c r="AA170" t="s">
        <v>294</v>
      </c>
      <c r="AB170">
        <f>SUMIFS($Y:$Y,$W:$W,$AA170,$Z:$Z,AB$1)</f>
        <v>0</v>
      </c>
      <c r="AC170">
        <f>SUMIFS($Y:$Y,$W:$W,$AA170,$Z:$Z,AC$1)</f>
        <v>0</v>
      </c>
      <c r="AD170">
        <f>SUMIFS($Y:$Y,$W:$W,$AA170,$Z:$Z,AD$1)</f>
        <v>0</v>
      </c>
      <c r="AE170">
        <f>SUMIFS($Y:$Y,$W:$W,$AA170,$Z:$Z,AE$1)</f>
        <v>0</v>
      </c>
      <c r="AF170">
        <f>SUMIFS($Y:$Y,$W:$W,$AA170,$Z:$Z,AF$1)</f>
        <v>0</v>
      </c>
      <c r="AG170">
        <f>SUMIFS($Y:$Y,$W:$W,$AA170,$Z:$Z,AG$1)</f>
        <v>11526</v>
      </c>
      <c r="AH170">
        <f>SUMIFS($Y:$Y,$W:$W,$AA170,$Z:$Z,AH$1)</f>
        <v>45832</v>
      </c>
      <c r="AI170">
        <f>SUMIFS($Y:$Y,$W:$W,$AA170,$Z:$Z,AI$1)</f>
        <v>0</v>
      </c>
      <c r="AJ170">
        <f>SUMIFS($Y:$Y,$W:$W,$AA170,$Z:$Z,AJ$1)</f>
        <v>0</v>
      </c>
      <c r="AK170">
        <f>SUMIFS($Y:$Y,$W:$W,$AA170,$Z:$Z,AK$1)</f>
        <v>38535</v>
      </c>
      <c r="AL170">
        <f>SUMIFS($Y:$Y,$W:$W,$AA170,$Z:$Z,AL$1)</f>
        <v>0</v>
      </c>
      <c r="AM170">
        <f>SUMIFS($Y:$Y,$W:$W,$AA170,$Z:$Z,AM$1)</f>
        <v>0</v>
      </c>
      <c r="AN170">
        <f>SUMIFS($Y:$Y,$W:$W,$AA170,$Z:$Z,AN$1)</f>
        <v>0</v>
      </c>
      <c r="AO170">
        <f>SUM(AB170:AN170)</f>
        <v>95893</v>
      </c>
      <c r="AP170" s="8">
        <f t="shared" si="34"/>
        <v>0.85353535353535348</v>
      </c>
      <c r="AQ170" s="8">
        <f t="shared" si="35"/>
        <v>1.7596157173816371E-3</v>
      </c>
      <c r="AR170" s="8">
        <f t="shared" si="39"/>
        <v>0.9633872289695804</v>
      </c>
      <c r="AS170" t="str">
        <f t="shared" si="36"/>
        <v>C</v>
      </c>
      <c r="AT170" s="8">
        <f t="shared" si="37"/>
        <v>2.0632024326508698</v>
      </c>
      <c r="AU170" t="str">
        <f t="shared" si="38"/>
        <v>Z</v>
      </c>
      <c r="AZ170" t="s">
        <v>135</v>
      </c>
      <c r="BA170" t="s">
        <v>474</v>
      </c>
      <c r="BB170" t="s">
        <v>472</v>
      </c>
      <c r="BC170">
        <v>0</v>
      </c>
      <c r="BD170">
        <v>40887</v>
      </c>
      <c r="BE170">
        <v>25652</v>
      </c>
      <c r="BF170">
        <v>67398</v>
      </c>
      <c r="BG170">
        <v>50474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25921</v>
      </c>
      <c r="BO170">
        <v>0</v>
      </c>
    </row>
    <row r="171" spans="1:67" x14ac:dyDescent="0.25">
      <c r="A171" t="s">
        <v>23</v>
      </c>
      <c r="B171" t="s">
        <v>44</v>
      </c>
      <c r="C171" t="s">
        <v>160</v>
      </c>
      <c r="D171" s="7">
        <v>74351</v>
      </c>
      <c r="E171">
        <v>9</v>
      </c>
      <c r="W171" t="s">
        <v>44</v>
      </c>
      <c r="X171" s="11" t="s">
        <v>160</v>
      </c>
      <c r="Y171" s="7">
        <v>74351</v>
      </c>
      <c r="Z171" s="11" t="str">
        <f t="shared" si="32"/>
        <v>2023-11</v>
      </c>
      <c r="AA171" t="s">
        <v>168</v>
      </c>
      <c r="AB171">
        <f>SUMIFS($Y:$Y,$W:$W,$AA171,$Z:$Z,AB$1)</f>
        <v>0</v>
      </c>
      <c r="AC171">
        <f>SUMIFS($Y:$Y,$W:$W,$AA171,$Z:$Z,AC$1)</f>
        <v>0</v>
      </c>
      <c r="AD171">
        <f>SUMIFS($Y:$Y,$W:$W,$AA171,$Z:$Z,AD$1)</f>
        <v>76798</v>
      </c>
      <c r="AE171">
        <f>SUMIFS($Y:$Y,$W:$W,$AA171,$Z:$Z,AE$1)</f>
        <v>0</v>
      </c>
      <c r="AF171">
        <f>SUMIFS($Y:$Y,$W:$W,$AA171,$Z:$Z,AF$1)</f>
        <v>16401</v>
      </c>
      <c r="AG171">
        <f>SUMIFS($Y:$Y,$W:$W,$AA171,$Z:$Z,AG$1)</f>
        <v>0</v>
      </c>
      <c r="AH171">
        <f>SUMIFS($Y:$Y,$W:$W,$AA171,$Z:$Z,AH$1)</f>
        <v>0</v>
      </c>
      <c r="AI171">
        <f>SUMIFS($Y:$Y,$W:$W,$AA171,$Z:$Z,AI$1)</f>
        <v>0</v>
      </c>
      <c r="AJ171">
        <f>SUMIFS($Y:$Y,$W:$W,$AA171,$Z:$Z,AJ$1)</f>
        <v>0</v>
      </c>
      <c r="AK171">
        <f>SUMIFS($Y:$Y,$W:$W,$AA171,$Z:$Z,AK$1)</f>
        <v>0</v>
      </c>
      <c r="AL171">
        <f>SUMIFS($Y:$Y,$W:$W,$AA171,$Z:$Z,AL$1)</f>
        <v>0</v>
      </c>
      <c r="AM171">
        <f>SUMIFS($Y:$Y,$W:$W,$AA171,$Z:$Z,AM$1)</f>
        <v>0</v>
      </c>
      <c r="AN171">
        <f>SUMIFS($Y:$Y,$W:$W,$AA171,$Z:$Z,AN$1)</f>
        <v>0</v>
      </c>
      <c r="AO171">
        <f>SUM(AB171:AN171)</f>
        <v>93199</v>
      </c>
      <c r="AP171" s="8">
        <f t="shared" si="34"/>
        <v>0.85858585858585856</v>
      </c>
      <c r="AQ171" s="8">
        <f t="shared" si="35"/>
        <v>1.7101814026493196E-3</v>
      </c>
      <c r="AR171" s="8">
        <f t="shared" si="39"/>
        <v>0.96509741037222974</v>
      </c>
      <c r="AS171" t="str">
        <f t="shared" si="36"/>
        <v>C</v>
      </c>
      <c r="AT171" s="8">
        <f t="shared" si="37"/>
        <v>2.8687526731653392</v>
      </c>
      <c r="AU171" t="str">
        <f t="shared" si="38"/>
        <v>Z</v>
      </c>
      <c r="AZ171" t="s">
        <v>161</v>
      </c>
      <c r="BA171" t="s">
        <v>471</v>
      </c>
      <c r="BB171" t="s">
        <v>472</v>
      </c>
      <c r="BC171">
        <v>0</v>
      </c>
      <c r="BD171">
        <v>0</v>
      </c>
      <c r="BE171">
        <v>107721</v>
      </c>
      <c r="BF171">
        <v>75640</v>
      </c>
      <c r="BG171">
        <v>0</v>
      </c>
      <c r="BH171">
        <v>92805</v>
      </c>
      <c r="BI171">
        <v>0</v>
      </c>
      <c r="BJ171">
        <v>218178</v>
      </c>
      <c r="BK171">
        <v>0</v>
      </c>
      <c r="BL171">
        <v>0</v>
      </c>
      <c r="BM171">
        <v>63154</v>
      </c>
      <c r="BN171">
        <v>0</v>
      </c>
      <c r="BO171">
        <v>0</v>
      </c>
    </row>
    <row r="172" spans="1:67" x14ac:dyDescent="0.25">
      <c r="A172" t="s">
        <v>17</v>
      </c>
      <c r="B172" t="s">
        <v>162</v>
      </c>
      <c r="C172" t="s">
        <v>160</v>
      </c>
      <c r="D172" s="7">
        <v>46859</v>
      </c>
      <c r="E172">
        <v>5</v>
      </c>
      <c r="W172" t="s">
        <v>162</v>
      </c>
      <c r="X172" s="11" t="s">
        <v>160</v>
      </c>
      <c r="Y172" s="7">
        <v>46859</v>
      </c>
      <c r="Z172" s="11" t="str">
        <f t="shared" si="32"/>
        <v>2023-11</v>
      </c>
      <c r="AA172" t="s">
        <v>392</v>
      </c>
      <c r="AB172">
        <f>SUMIFS($Y:$Y,$W:$W,$AA172,$Z:$Z,AB$1)</f>
        <v>0</v>
      </c>
      <c r="AC172">
        <f>SUMIFS($Y:$Y,$W:$W,$AA172,$Z:$Z,AC$1)</f>
        <v>0</v>
      </c>
      <c r="AD172">
        <f>SUMIFS($Y:$Y,$W:$W,$AA172,$Z:$Z,AD$1)</f>
        <v>0</v>
      </c>
      <c r="AE172">
        <f>SUMIFS($Y:$Y,$W:$W,$AA172,$Z:$Z,AE$1)</f>
        <v>0</v>
      </c>
      <c r="AF172">
        <f>SUMIFS($Y:$Y,$W:$W,$AA172,$Z:$Z,AF$1)</f>
        <v>0</v>
      </c>
      <c r="AG172">
        <f>SUMIFS($Y:$Y,$W:$W,$AA172,$Z:$Z,AG$1)</f>
        <v>0</v>
      </c>
      <c r="AH172">
        <f>SUMIFS($Y:$Y,$W:$W,$AA172,$Z:$Z,AH$1)</f>
        <v>0</v>
      </c>
      <c r="AI172">
        <f>SUMIFS($Y:$Y,$W:$W,$AA172,$Z:$Z,AI$1)</f>
        <v>0</v>
      </c>
      <c r="AJ172">
        <f>SUMIFS($Y:$Y,$W:$W,$AA172,$Z:$Z,AJ$1)</f>
        <v>0</v>
      </c>
      <c r="AK172">
        <f>SUMIFS($Y:$Y,$W:$W,$AA172,$Z:$Z,AK$1)</f>
        <v>55148</v>
      </c>
      <c r="AL172">
        <f>SUMIFS($Y:$Y,$W:$W,$AA172,$Z:$Z,AL$1)</f>
        <v>36611</v>
      </c>
      <c r="AM172">
        <f>SUMIFS($Y:$Y,$W:$W,$AA172,$Z:$Z,AM$1)</f>
        <v>0</v>
      </c>
      <c r="AN172">
        <f>SUMIFS($Y:$Y,$W:$W,$AA172,$Z:$Z,AN$1)</f>
        <v>0</v>
      </c>
      <c r="AO172">
        <f>SUM(AB172:AN172)</f>
        <v>91759</v>
      </c>
      <c r="AP172" s="8">
        <f t="shared" si="34"/>
        <v>0.86363636363636365</v>
      </c>
      <c r="AQ172" s="8">
        <f t="shared" si="35"/>
        <v>1.6837577154872789E-3</v>
      </c>
      <c r="AR172" s="8">
        <f t="shared" si="39"/>
        <v>0.96678116808771697</v>
      </c>
      <c r="AS172" t="str">
        <f t="shared" si="36"/>
        <v>C</v>
      </c>
      <c r="AT172" s="8">
        <f t="shared" si="37"/>
        <v>2.4010985274266647</v>
      </c>
      <c r="AU172" t="str">
        <f t="shared" si="38"/>
        <v>Z</v>
      </c>
      <c r="AZ172" t="s">
        <v>247</v>
      </c>
      <c r="BA172" t="s">
        <v>471</v>
      </c>
      <c r="BB172" t="s">
        <v>472</v>
      </c>
      <c r="BC172">
        <v>0</v>
      </c>
      <c r="BD172">
        <v>0</v>
      </c>
      <c r="BE172">
        <v>0</v>
      </c>
      <c r="BF172">
        <v>56529</v>
      </c>
      <c r="BG172">
        <v>0</v>
      </c>
      <c r="BH172">
        <v>0</v>
      </c>
      <c r="BI172">
        <v>0</v>
      </c>
      <c r="BJ172">
        <v>141053</v>
      </c>
      <c r="BK172">
        <v>69480</v>
      </c>
      <c r="BL172">
        <v>0</v>
      </c>
      <c r="BM172">
        <v>156781</v>
      </c>
      <c r="BN172">
        <v>0</v>
      </c>
      <c r="BO172">
        <v>0</v>
      </c>
    </row>
    <row r="173" spans="1:67" x14ac:dyDescent="0.25">
      <c r="A173" t="s">
        <v>5</v>
      </c>
      <c r="B173" t="s">
        <v>163</v>
      </c>
      <c r="C173" t="s">
        <v>164</v>
      </c>
      <c r="D173" s="7">
        <v>82423</v>
      </c>
      <c r="E173">
        <v>1</v>
      </c>
      <c r="W173" t="s">
        <v>163</v>
      </c>
      <c r="X173" s="11" t="s">
        <v>164</v>
      </c>
      <c r="Y173" s="7">
        <v>82423</v>
      </c>
      <c r="Z173" s="11" t="str">
        <f t="shared" si="32"/>
        <v>2023-11</v>
      </c>
      <c r="AA173" t="s">
        <v>228</v>
      </c>
      <c r="AB173">
        <f>SUMIFS($Y:$Y,$W:$W,$AA173,$Z:$Z,AB$1)</f>
        <v>0</v>
      </c>
      <c r="AC173">
        <f>SUMIFS($Y:$Y,$W:$W,$AA173,$Z:$Z,AC$1)</f>
        <v>0</v>
      </c>
      <c r="AD173">
        <f>SUMIFS($Y:$Y,$W:$W,$AA173,$Z:$Z,AD$1)</f>
        <v>0</v>
      </c>
      <c r="AE173">
        <f>SUMIFS($Y:$Y,$W:$W,$AA173,$Z:$Z,AE$1)</f>
        <v>16870</v>
      </c>
      <c r="AF173">
        <f>SUMIFS($Y:$Y,$W:$W,$AA173,$Z:$Z,AF$1)</f>
        <v>0</v>
      </c>
      <c r="AG173">
        <f>SUMIFS($Y:$Y,$W:$W,$AA173,$Z:$Z,AG$1)</f>
        <v>0</v>
      </c>
      <c r="AH173">
        <f>SUMIFS($Y:$Y,$W:$W,$AA173,$Z:$Z,AH$1)</f>
        <v>0</v>
      </c>
      <c r="AI173">
        <f>SUMIFS($Y:$Y,$W:$W,$AA173,$Z:$Z,AI$1)</f>
        <v>0</v>
      </c>
      <c r="AJ173">
        <f>SUMIFS($Y:$Y,$W:$W,$AA173,$Z:$Z,AJ$1)</f>
        <v>0</v>
      </c>
      <c r="AK173">
        <f>SUMIFS($Y:$Y,$W:$W,$AA173,$Z:$Z,AK$1)</f>
        <v>0</v>
      </c>
      <c r="AL173">
        <f>SUMIFS($Y:$Y,$W:$W,$AA173,$Z:$Z,AL$1)</f>
        <v>74443</v>
      </c>
      <c r="AM173">
        <f>SUMIFS($Y:$Y,$W:$W,$AA173,$Z:$Z,AM$1)</f>
        <v>0</v>
      </c>
      <c r="AN173">
        <f>SUMIFS($Y:$Y,$W:$W,$AA173,$Z:$Z,AN$1)</f>
        <v>0</v>
      </c>
      <c r="AO173">
        <f>SUM(AB173:AN173)</f>
        <v>91313</v>
      </c>
      <c r="AP173" s="8">
        <f t="shared" si="34"/>
        <v>0.86868686868686873</v>
      </c>
      <c r="AQ173" s="8">
        <f t="shared" si="35"/>
        <v>1.6755737123801469E-3</v>
      </c>
      <c r="AR173" s="8">
        <f t="shared" si="39"/>
        <v>0.96845674180009711</v>
      </c>
      <c r="AS173" t="str">
        <f t="shared" si="36"/>
        <v>C</v>
      </c>
      <c r="AT173" s="8">
        <f t="shared" si="37"/>
        <v>2.8432306279284525</v>
      </c>
      <c r="AU173" t="str">
        <f t="shared" si="38"/>
        <v>Z</v>
      </c>
      <c r="AZ173" t="s">
        <v>19</v>
      </c>
      <c r="BA173" t="s">
        <v>471</v>
      </c>
      <c r="BB173" t="s">
        <v>472</v>
      </c>
      <c r="BC173">
        <v>12495</v>
      </c>
      <c r="BD173">
        <v>54060</v>
      </c>
      <c r="BE173">
        <v>39905</v>
      </c>
      <c r="BF173">
        <v>48804</v>
      </c>
      <c r="BG173">
        <v>142246</v>
      </c>
      <c r="BH173">
        <v>0</v>
      </c>
      <c r="BI173">
        <v>74047</v>
      </c>
      <c r="BJ173">
        <v>34246</v>
      </c>
      <c r="BK173">
        <v>0</v>
      </c>
      <c r="BL173">
        <v>31673</v>
      </c>
      <c r="BM173">
        <v>86002</v>
      </c>
      <c r="BN173">
        <v>0</v>
      </c>
      <c r="BO173">
        <v>0</v>
      </c>
    </row>
    <row r="174" spans="1:67" x14ac:dyDescent="0.25">
      <c r="A174" t="s">
        <v>14</v>
      </c>
      <c r="B174" t="s">
        <v>165</v>
      </c>
      <c r="C174" t="s">
        <v>164</v>
      </c>
      <c r="D174" s="7">
        <v>12159</v>
      </c>
      <c r="E174">
        <v>7</v>
      </c>
      <c r="W174" t="s">
        <v>165</v>
      </c>
      <c r="X174" s="11" t="s">
        <v>164</v>
      </c>
      <c r="Y174" s="7">
        <v>12159</v>
      </c>
      <c r="Z174" s="11" t="str">
        <f t="shared" si="32"/>
        <v>2023-11</v>
      </c>
      <c r="AA174" t="s">
        <v>154</v>
      </c>
      <c r="AB174">
        <f>SUMIFS($Y:$Y,$W:$W,$AA174,$Z:$Z,AB$1)</f>
        <v>0</v>
      </c>
      <c r="AC174">
        <f>SUMIFS($Y:$Y,$W:$W,$AA174,$Z:$Z,AC$1)</f>
        <v>90135</v>
      </c>
      <c r="AD174">
        <f>SUMIFS($Y:$Y,$W:$W,$AA174,$Z:$Z,AD$1)</f>
        <v>0</v>
      </c>
      <c r="AE174">
        <f>SUMIFS($Y:$Y,$W:$W,$AA174,$Z:$Z,AE$1)</f>
        <v>0</v>
      </c>
      <c r="AF174">
        <f>SUMIFS($Y:$Y,$W:$W,$AA174,$Z:$Z,AF$1)</f>
        <v>0</v>
      </c>
      <c r="AG174">
        <f>SUMIFS($Y:$Y,$W:$W,$AA174,$Z:$Z,AG$1)</f>
        <v>0</v>
      </c>
      <c r="AH174">
        <f>SUMIFS($Y:$Y,$W:$W,$AA174,$Z:$Z,AH$1)</f>
        <v>0</v>
      </c>
      <c r="AI174">
        <f>SUMIFS($Y:$Y,$W:$W,$AA174,$Z:$Z,AI$1)</f>
        <v>0</v>
      </c>
      <c r="AJ174">
        <f>SUMIFS($Y:$Y,$W:$W,$AA174,$Z:$Z,AJ$1)</f>
        <v>0</v>
      </c>
      <c r="AK174">
        <f>SUMIFS($Y:$Y,$W:$W,$AA174,$Z:$Z,AK$1)</f>
        <v>0</v>
      </c>
      <c r="AL174">
        <f>SUMIFS($Y:$Y,$W:$W,$AA174,$Z:$Z,AL$1)</f>
        <v>0</v>
      </c>
      <c r="AM174">
        <f>SUMIFS($Y:$Y,$W:$W,$AA174,$Z:$Z,AM$1)</f>
        <v>0</v>
      </c>
      <c r="AN174">
        <f>SUMIFS($Y:$Y,$W:$W,$AA174,$Z:$Z,AN$1)</f>
        <v>0</v>
      </c>
      <c r="AO174">
        <f>SUM(AB174:AN174)</f>
        <v>90135</v>
      </c>
      <c r="AP174" s="8">
        <f t="shared" si="34"/>
        <v>0.8737373737373737</v>
      </c>
      <c r="AQ174" s="8">
        <f t="shared" si="35"/>
        <v>1.6539576682989777E-3</v>
      </c>
      <c r="AR174" s="8">
        <f t="shared" si="39"/>
        <v>0.97011069946839612</v>
      </c>
      <c r="AS174" t="str">
        <f t="shared" si="36"/>
        <v>C</v>
      </c>
      <c r="AT174" s="8">
        <f t="shared" si="37"/>
        <v>3.4641016151377544</v>
      </c>
      <c r="AU174" t="str">
        <f t="shared" si="38"/>
        <v>Z</v>
      </c>
      <c r="AZ174" t="s">
        <v>29</v>
      </c>
      <c r="BA174" t="s">
        <v>471</v>
      </c>
      <c r="BB174" t="s">
        <v>472</v>
      </c>
      <c r="BC174">
        <v>79493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14684</v>
      </c>
      <c r="BL174">
        <v>75890</v>
      </c>
      <c r="BM174">
        <v>0</v>
      </c>
      <c r="BN174">
        <v>55486</v>
      </c>
      <c r="BO174">
        <v>0</v>
      </c>
    </row>
    <row r="175" spans="1:67" x14ac:dyDescent="0.25">
      <c r="A175" t="s">
        <v>10</v>
      </c>
      <c r="B175" t="s">
        <v>166</v>
      </c>
      <c r="C175" t="s">
        <v>167</v>
      </c>
      <c r="D175" s="7">
        <v>18544</v>
      </c>
      <c r="E175">
        <v>1</v>
      </c>
      <c r="W175" t="s">
        <v>166</v>
      </c>
      <c r="X175" s="11" t="s">
        <v>167</v>
      </c>
      <c r="Y175" s="7">
        <v>18544</v>
      </c>
      <c r="Z175" s="11" t="str">
        <f t="shared" si="32"/>
        <v>2023-11</v>
      </c>
      <c r="AA175" t="s">
        <v>225</v>
      </c>
      <c r="AB175">
        <f>SUMIFS($Y:$Y,$W:$W,$AA175,$Z:$Z,AB$1)</f>
        <v>0</v>
      </c>
      <c r="AC175">
        <f>SUMIFS($Y:$Y,$W:$W,$AA175,$Z:$Z,AC$1)</f>
        <v>0</v>
      </c>
      <c r="AD175">
        <f>SUMIFS($Y:$Y,$W:$W,$AA175,$Z:$Z,AD$1)</f>
        <v>0</v>
      </c>
      <c r="AE175">
        <f>SUMIFS($Y:$Y,$W:$W,$AA175,$Z:$Z,AE$1)</f>
        <v>35209</v>
      </c>
      <c r="AF175">
        <f>SUMIFS($Y:$Y,$W:$W,$AA175,$Z:$Z,AF$1)</f>
        <v>54723</v>
      </c>
      <c r="AG175">
        <f>SUMIFS($Y:$Y,$W:$W,$AA175,$Z:$Z,AG$1)</f>
        <v>0</v>
      </c>
      <c r="AH175">
        <f>SUMIFS($Y:$Y,$W:$W,$AA175,$Z:$Z,AH$1)</f>
        <v>0</v>
      </c>
      <c r="AI175">
        <f>SUMIFS($Y:$Y,$W:$W,$AA175,$Z:$Z,AI$1)</f>
        <v>0</v>
      </c>
      <c r="AJ175">
        <f>SUMIFS($Y:$Y,$W:$W,$AA175,$Z:$Z,AJ$1)</f>
        <v>0</v>
      </c>
      <c r="AK175">
        <f>SUMIFS($Y:$Y,$W:$W,$AA175,$Z:$Z,AK$1)</f>
        <v>0</v>
      </c>
      <c r="AL175">
        <f>SUMIFS($Y:$Y,$W:$W,$AA175,$Z:$Z,AL$1)</f>
        <v>0</v>
      </c>
      <c r="AM175">
        <f>SUMIFS($Y:$Y,$W:$W,$AA175,$Z:$Z,AM$1)</f>
        <v>0</v>
      </c>
      <c r="AN175">
        <f>SUMIFS($Y:$Y,$W:$W,$AA175,$Z:$Z,AN$1)</f>
        <v>0</v>
      </c>
      <c r="AO175">
        <f>SUM(AB175:AN175)</f>
        <v>89932</v>
      </c>
      <c r="AP175" s="8">
        <f t="shared" si="34"/>
        <v>0.87878787878787878</v>
      </c>
      <c r="AQ175" s="8">
        <f t="shared" si="35"/>
        <v>1.65023266240044E-3</v>
      </c>
      <c r="AR175" s="8">
        <f t="shared" si="39"/>
        <v>0.97176093213079651</v>
      </c>
      <c r="AS175" t="str">
        <f t="shared" si="36"/>
        <v>C</v>
      </c>
      <c r="AT175" s="8">
        <f t="shared" si="37"/>
        <v>2.4095724681510555</v>
      </c>
      <c r="AU175" t="str">
        <f t="shared" si="38"/>
        <v>Z</v>
      </c>
      <c r="AZ175" t="s">
        <v>92</v>
      </c>
      <c r="BA175" t="s">
        <v>471</v>
      </c>
      <c r="BB175" t="s">
        <v>472</v>
      </c>
      <c r="BC175">
        <v>63968</v>
      </c>
      <c r="BD175">
        <v>16046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96841</v>
      </c>
      <c r="BL175">
        <v>0</v>
      </c>
      <c r="BM175">
        <v>12354</v>
      </c>
      <c r="BN175">
        <v>45508</v>
      </c>
      <c r="BO175">
        <v>0</v>
      </c>
    </row>
    <row r="176" spans="1:67" x14ac:dyDescent="0.25">
      <c r="A176" t="s">
        <v>14</v>
      </c>
      <c r="B176" t="s">
        <v>37</v>
      </c>
      <c r="C176" t="s">
        <v>167</v>
      </c>
      <c r="D176" s="7">
        <v>36866</v>
      </c>
      <c r="E176">
        <v>8</v>
      </c>
      <c r="W176" t="s">
        <v>37</v>
      </c>
      <c r="X176" s="11" t="s">
        <v>167</v>
      </c>
      <c r="Y176" s="7">
        <v>36866</v>
      </c>
      <c r="Z176" s="11" t="str">
        <f t="shared" si="32"/>
        <v>2023-11</v>
      </c>
      <c r="AA176" t="s">
        <v>393</v>
      </c>
      <c r="AB176">
        <f>SUMIFS($Y:$Y,$W:$W,$AA176,$Z:$Z,AB$1)</f>
        <v>0</v>
      </c>
      <c r="AC176">
        <f>SUMIFS($Y:$Y,$W:$W,$AA176,$Z:$Z,AC$1)</f>
        <v>0</v>
      </c>
      <c r="AD176">
        <f>SUMIFS($Y:$Y,$W:$W,$AA176,$Z:$Z,AD$1)</f>
        <v>0</v>
      </c>
      <c r="AE176">
        <f>SUMIFS($Y:$Y,$W:$W,$AA176,$Z:$Z,AE$1)</f>
        <v>0</v>
      </c>
      <c r="AF176">
        <f>SUMIFS($Y:$Y,$W:$W,$AA176,$Z:$Z,AF$1)</f>
        <v>0</v>
      </c>
      <c r="AG176">
        <f>SUMIFS($Y:$Y,$W:$W,$AA176,$Z:$Z,AG$1)</f>
        <v>0</v>
      </c>
      <c r="AH176">
        <f>SUMIFS($Y:$Y,$W:$W,$AA176,$Z:$Z,AH$1)</f>
        <v>0</v>
      </c>
      <c r="AI176">
        <f>SUMIFS($Y:$Y,$W:$W,$AA176,$Z:$Z,AI$1)</f>
        <v>0</v>
      </c>
      <c r="AJ176">
        <f>SUMIFS($Y:$Y,$W:$W,$AA176,$Z:$Z,AJ$1)</f>
        <v>0</v>
      </c>
      <c r="AK176">
        <f>SUMIFS($Y:$Y,$W:$W,$AA176,$Z:$Z,AK$1)</f>
        <v>87879</v>
      </c>
      <c r="AL176">
        <f>SUMIFS($Y:$Y,$W:$W,$AA176,$Z:$Z,AL$1)</f>
        <v>0</v>
      </c>
      <c r="AM176">
        <f>SUMIFS($Y:$Y,$W:$W,$AA176,$Z:$Z,AM$1)</f>
        <v>0</v>
      </c>
      <c r="AN176">
        <f>SUMIFS($Y:$Y,$W:$W,$AA176,$Z:$Z,AN$1)</f>
        <v>0</v>
      </c>
      <c r="AO176">
        <f>SUM(AB176:AN176)</f>
        <v>87879</v>
      </c>
      <c r="AP176" s="8">
        <f t="shared" si="34"/>
        <v>0.88383838383838387</v>
      </c>
      <c r="AQ176" s="8">
        <f t="shared" si="35"/>
        <v>1.6125605584117809E-3</v>
      </c>
      <c r="AR176" s="8">
        <f t="shared" si="39"/>
        <v>0.97337349268920825</v>
      </c>
      <c r="AS176" t="str">
        <f t="shared" si="36"/>
        <v>C</v>
      </c>
      <c r="AT176" s="8">
        <f t="shared" si="37"/>
        <v>3.4641016151377548</v>
      </c>
      <c r="AU176" t="str">
        <f t="shared" si="38"/>
        <v>Z</v>
      </c>
      <c r="AZ176" t="s">
        <v>154</v>
      </c>
      <c r="BA176" t="s">
        <v>478</v>
      </c>
      <c r="BB176" t="s">
        <v>472</v>
      </c>
      <c r="BC176">
        <v>0</v>
      </c>
      <c r="BD176">
        <v>90135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</row>
    <row r="177" spans="1:67" x14ac:dyDescent="0.25">
      <c r="A177" t="s">
        <v>27</v>
      </c>
      <c r="B177" t="s">
        <v>168</v>
      </c>
      <c r="C177" t="s">
        <v>167</v>
      </c>
      <c r="D177" s="7">
        <v>22988</v>
      </c>
      <c r="E177">
        <v>10</v>
      </c>
      <c r="W177" t="s">
        <v>168</v>
      </c>
      <c r="X177" s="11" t="s">
        <v>167</v>
      </c>
      <c r="Y177" s="7">
        <v>22988</v>
      </c>
      <c r="Z177" s="11" t="str">
        <f t="shared" si="32"/>
        <v>2023-11</v>
      </c>
      <c r="AA177" t="s">
        <v>63</v>
      </c>
      <c r="AB177">
        <f>SUMIFS($Y:$Y,$W:$W,$AA177,$Z:$Z,AB$1)</f>
        <v>86606</v>
      </c>
      <c r="AC177">
        <f>SUMIFS($Y:$Y,$W:$W,$AA177,$Z:$Z,AC$1)</f>
        <v>0</v>
      </c>
      <c r="AD177">
        <f>SUMIFS($Y:$Y,$W:$W,$AA177,$Z:$Z,AD$1)</f>
        <v>0</v>
      </c>
      <c r="AE177">
        <f>SUMIFS($Y:$Y,$W:$W,$AA177,$Z:$Z,AE$1)</f>
        <v>0</v>
      </c>
      <c r="AF177">
        <f>SUMIFS($Y:$Y,$W:$W,$AA177,$Z:$Z,AF$1)</f>
        <v>0</v>
      </c>
      <c r="AG177">
        <f>SUMIFS($Y:$Y,$W:$W,$AA177,$Z:$Z,AG$1)</f>
        <v>0</v>
      </c>
      <c r="AH177">
        <f>SUMIFS($Y:$Y,$W:$W,$AA177,$Z:$Z,AH$1)</f>
        <v>0</v>
      </c>
      <c r="AI177">
        <f>SUMIFS($Y:$Y,$W:$W,$AA177,$Z:$Z,AI$1)</f>
        <v>0</v>
      </c>
      <c r="AJ177">
        <f>SUMIFS($Y:$Y,$W:$W,$AA177,$Z:$Z,AJ$1)</f>
        <v>0</v>
      </c>
      <c r="AK177">
        <f>SUMIFS($Y:$Y,$W:$W,$AA177,$Z:$Z,AK$1)</f>
        <v>0</v>
      </c>
      <c r="AL177">
        <f>SUMIFS($Y:$Y,$W:$W,$AA177,$Z:$Z,AL$1)</f>
        <v>0</v>
      </c>
      <c r="AM177">
        <f>SUMIFS($Y:$Y,$W:$W,$AA177,$Z:$Z,AM$1)</f>
        <v>0</v>
      </c>
      <c r="AN177">
        <f>SUMIFS($Y:$Y,$W:$W,$AA177,$Z:$Z,AN$1)</f>
        <v>0</v>
      </c>
      <c r="AO177">
        <f>SUM(AB177:AN177)</f>
        <v>86606</v>
      </c>
      <c r="AP177" s="8">
        <f t="shared" si="34"/>
        <v>0.88888888888888884</v>
      </c>
      <c r="AQ177" s="8">
        <f t="shared" si="35"/>
        <v>1.5892012849692268E-3</v>
      </c>
      <c r="AR177" s="8">
        <f t="shared" si="39"/>
        <v>0.97496269397417745</v>
      </c>
      <c r="AS177" t="str">
        <f t="shared" si="36"/>
        <v>C</v>
      </c>
      <c r="AT177" s="8">
        <f t="shared" si="37"/>
        <v>3.4641016151377548</v>
      </c>
      <c r="AU177" t="str">
        <f t="shared" si="38"/>
        <v>Z</v>
      </c>
      <c r="AZ177" t="s">
        <v>81</v>
      </c>
      <c r="BA177" t="s">
        <v>471</v>
      </c>
      <c r="BB177" t="s">
        <v>472</v>
      </c>
      <c r="BC177">
        <v>13954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61104</v>
      </c>
      <c r="BJ177">
        <v>78380</v>
      </c>
      <c r="BK177">
        <v>10572</v>
      </c>
      <c r="BL177">
        <v>39671</v>
      </c>
      <c r="BM177">
        <v>34193</v>
      </c>
      <c r="BN177">
        <v>61279</v>
      </c>
      <c r="BO177">
        <v>0</v>
      </c>
    </row>
    <row r="178" spans="1:67" x14ac:dyDescent="0.25">
      <c r="A178" t="s">
        <v>36</v>
      </c>
      <c r="B178" t="s">
        <v>42</v>
      </c>
      <c r="C178" t="s">
        <v>167</v>
      </c>
      <c r="D178" s="7">
        <v>46700</v>
      </c>
      <c r="E178">
        <v>7</v>
      </c>
      <c r="W178" t="s">
        <v>42</v>
      </c>
      <c r="X178" s="11" t="s">
        <v>167</v>
      </c>
      <c r="Y178" s="7">
        <v>46700</v>
      </c>
      <c r="Z178" s="11" t="str">
        <f t="shared" si="32"/>
        <v>2023-11</v>
      </c>
      <c r="AA178" t="s">
        <v>206</v>
      </c>
      <c r="AB178">
        <f>SUMIFS($Y:$Y,$W:$W,$AA178,$Z:$Z,AB$1)</f>
        <v>0</v>
      </c>
      <c r="AC178">
        <f>SUMIFS($Y:$Y,$W:$W,$AA178,$Z:$Z,AC$1)</f>
        <v>0</v>
      </c>
      <c r="AD178">
        <f>SUMIFS($Y:$Y,$W:$W,$AA178,$Z:$Z,AD$1)</f>
        <v>53006</v>
      </c>
      <c r="AE178">
        <f>SUMIFS($Y:$Y,$W:$W,$AA178,$Z:$Z,AE$1)</f>
        <v>0</v>
      </c>
      <c r="AF178">
        <f>SUMIFS($Y:$Y,$W:$W,$AA178,$Z:$Z,AF$1)</f>
        <v>0</v>
      </c>
      <c r="AG178">
        <f>SUMIFS($Y:$Y,$W:$W,$AA178,$Z:$Z,AG$1)</f>
        <v>0</v>
      </c>
      <c r="AH178">
        <f>SUMIFS($Y:$Y,$W:$W,$AA178,$Z:$Z,AH$1)</f>
        <v>0</v>
      </c>
      <c r="AI178">
        <f>SUMIFS($Y:$Y,$W:$W,$AA178,$Z:$Z,AI$1)</f>
        <v>0</v>
      </c>
      <c r="AJ178">
        <f>SUMIFS($Y:$Y,$W:$W,$AA178,$Z:$Z,AJ$1)</f>
        <v>0</v>
      </c>
      <c r="AK178">
        <f>SUMIFS($Y:$Y,$W:$W,$AA178,$Z:$Z,AK$1)</f>
        <v>0</v>
      </c>
      <c r="AL178">
        <f>SUMIFS($Y:$Y,$W:$W,$AA178,$Z:$Z,AL$1)</f>
        <v>0</v>
      </c>
      <c r="AM178">
        <f>SUMIFS($Y:$Y,$W:$W,$AA178,$Z:$Z,AM$1)</f>
        <v>32465</v>
      </c>
      <c r="AN178">
        <f>SUMIFS($Y:$Y,$W:$W,$AA178,$Z:$Z,AN$1)</f>
        <v>0</v>
      </c>
      <c r="AO178">
        <f>SUM(AB178:AN178)</f>
        <v>85471</v>
      </c>
      <c r="AP178" s="8">
        <f t="shared" si="34"/>
        <v>0.89393939393939392</v>
      </c>
      <c r="AQ178" s="8">
        <f t="shared" si="35"/>
        <v>1.5683742815463685E-3</v>
      </c>
      <c r="AR178" s="8">
        <f t="shared" si="39"/>
        <v>0.97653106825572378</v>
      </c>
      <c r="AS178" t="str">
        <f t="shared" si="36"/>
        <v>C</v>
      </c>
      <c r="AT178" s="8">
        <f t="shared" si="37"/>
        <v>2.4239268422343119</v>
      </c>
      <c r="AU178" t="str">
        <f t="shared" si="38"/>
        <v>Z</v>
      </c>
      <c r="AZ178" t="s">
        <v>95</v>
      </c>
      <c r="BA178" t="s">
        <v>474</v>
      </c>
      <c r="BB178" t="s">
        <v>472</v>
      </c>
      <c r="BC178">
        <v>40487</v>
      </c>
      <c r="BD178">
        <v>64149</v>
      </c>
      <c r="BE178">
        <v>0</v>
      </c>
      <c r="BF178">
        <v>0</v>
      </c>
      <c r="BG178">
        <v>18518</v>
      </c>
      <c r="BH178">
        <v>0</v>
      </c>
      <c r="BI178">
        <v>24089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</row>
    <row r="179" spans="1:67" x14ac:dyDescent="0.25">
      <c r="A179" t="s">
        <v>33</v>
      </c>
      <c r="B179" t="s">
        <v>169</v>
      </c>
      <c r="C179" t="s">
        <v>170</v>
      </c>
      <c r="D179" s="7">
        <v>60970</v>
      </c>
      <c r="E179">
        <v>8</v>
      </c>
      <c r="W179" t="s">
        <v>169</v>
      </c>
      <c r="X179" s="11" t="s">
        <v>170</v>
      </c>
      <c r="Y179" s="7">
        <v>60970</v>
      </c>
      <c r="Z179" s="11" t="str">
        <f t="shared" si="32"/>
        <v>2023-11</v>
      </c>
      <c r="AA179" t="s">
        <v>111</v>
      </c>
      <c r="AB179">
        <f>SUMIFS($Y:$Y,$W:$W,$AA179,$Z:$Z,AB$1)</f>
        <v>0</v>
      </c>
      <c r="AC179">
        <f>SUMIFS($Y:$Y,$W:$W,$AA179,$Z:$Z,AC$1)</f>
        <v>17174</v>
      </c>
      <c r="AD179">
        <f>SUMIFS($Y:$Y,$W:$W,$AA179,$Z:$Z,AD$1)</f>
        <v>0</v>
      </c>
      <c r="AE179">
        <f>SUMIFS($Y:$Y,$W:$W,$AA179,$Z:$Z,AE$1)</f>
        <v>0</v>
      </c>
      <c r="AF179">
        <f>SUMIFS($Y:$Y,$W:$W,$AA179,$Z:$Z,AF$1)</f>
        <v>33252</v>
      </c>
      <c r="AG179">
        <f>SUMIFS($Y:$Y,$W:$W,$AA179,$Z:$Z,AG$1)</f>
        <v>0</v>
      </c>
      <c r="AH179">
        <f>SUMIFS($Y:$Y,$W:$W,$AA179,$Z:$Z,AH$1)</f>
        <v>0</v>
      </c>
      <c r="AI179">
        <f>SUMIFS($Y:$Y,$W:$W,$AA179,$Z:$Z,AI$1)</f>
        <v>0</v>
      </c>
      <c r="AJ179">
        <f>SUMIFS($Y:$Y,$W:$W,$AA179,$Z:$Z,AJ$1)</f>
        <v>0</v>
      </c>
      <c r="AK179">
        <f>SUMIFS($Y:$Y,$W:$W,$AA179,$Z:$Z,AK$1)</f>
        <v>19726</v>
      </c>
      <c r="AL179">
        <f>SUMIFS($Y:$Y,$W:$W,$AA179,$Z:$Z,AL$1)</f>
        <v>12376</v>
      </c>
      <c r="AM179">
        <f>SUMIFS($Y:$Y,$W:$W,$AA179,$Z:$Z,AM$1)</f>
        <v>0</v>
      </c>
      <c r="AN179">
        <f>SUMIFS($Y:$Y,$W:$W,$AA179,$Z:$Z,AN$1)</f>
        <v>0</v>
      </c>
      <c r="AO179">
        <f>SUM(AB179:AN179)</f>
        <v>82528</v>
      </c>
      <c r="AP179" s="8">
        <f t="shared" si="34"/>
        <v>0.89898989898989901</v>
      </c>
      <c r="AQ179" s="8">
        <f t="shared" si="35"/>
        <v>1.5143708709089479E-3</v>
      </c>
      <c r="AR179" s="8">
        <f t="shared" si="39"/>
        <v>0.97804543912663278</v>
      </c>
      <c r="AS179" t="str">
        <f t="shared" si="36"/>
        <v>C</v>
      </c>
      <c r="AT179" s="8">
        <f t="shared" si="37"/>
        <v>1.645746519038453</v>
      </c>
      <c r="AU179" t="str">
        <f t="shared" si="38"/>
        <v>Z</v>
      </c>
      <c r="AZ179" t="s">
        <v>434</v>
      </c>
      <c r="BA179" t="s">
        <v>478</v>
      </c>
      <c r="BB179" t="s">
        <v>472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62214</v>
      </c>
      <c r="BO179">
        <v>0</v>
      </c>
    </row>
    <row r="180" spans="1:67" x14ac:dyDescent="0.25">
      <c r="A180" t="s">
        <v>23</v>
      </c>
      <c r="B180" t="s">
        <v>35</v>
      </c>
      <c r="C180" t="s">
        <v>170</v>
      </c>
      <c r="D180" s="7">
        <v>78696</v>
      </c>
      <c r="E180">
        <v>6</v>
      </c>
      <c r="W180" t="s">
        <v>35</v>
      </c>
      <c r="X180" s="11" t="s">
        <v>170</v>
      </c>
      <c r="Y180" s="7">
        <v>78696</v>
      </c>
      <c r="Z180" s="11" t="str">
        <f t="shared" si="32"/>
        <v>2023-11</v>
      </c>
      <c r="AA180" t="s">
        <v>163</v>
      </c>
      <c r="AB180">
        <f>SUMIFS($Y:$Y,$W:$W,$AA180,$Z:$Z,AB$1)</f>
        <v>0</v>
      </c>
      <c r="AC180">
        <f>SUMIFS($Y:$Y,$W:$W,$AA180,$Z:$Z,AC$1)</f>
        <v>0</v>
      </c>
      <c r="AD180">
        <f>SUMIFS($Y:$Y,$W:$W,$AA180,$Z:$Z,AD$1)</f>
        <v>82423</v>
      </c>
      <c r="AE180">
        <f>SUMIFS($Y:$Y,$W:$W,$AA180,$Z:$Z,AE$1)</f>
        <v>0</v>
      </c>
      <c r="AF180">
        <f>SUMIFS($Y:$Y,$W:$W,$AA180,$Z:$Z,AF$1)</f>
        <v>0</v>
      </c>
      <c r="AG180">
        <f>SUMIFS($Y:$Y,$W:$W,$AA180,$Z:$Z,AG$1)</f>
        <v>0</v>
      </c>
      <c r="AH180">
        <f>SUMIFS($Y:$Y,$W:$W,$AA180,$Z:$Z,AH$1)</f>
        <v>0</v>
      </c>
      <c r="AI180">
        <f>SUMIFS($Y:$Y,$W:$W,$AA180,$Z:$Z,AI$1)</f>
        <v>0</v>
      </c>
      <c r="AJ180">
        <f>SUMIFS($Y:$Y,$W:$W,$AA180,$Z:$Z,AJ$1)</f>
        <v>0</v>
      </c>
      <c r="AK180">
        <f>SUMIFS($Y:$Y,$W:$W,$AA180,$Z:$Z,AK$1)</f>
        <v>0</v>
      </c>
      <c r="AL180">
        <f>SUMIFS($Y:$Y,$W:$W,$AA180,$Z:$Z,AL$1)</f>
        <v>0</v>
      </c>
      <c r="AM180">
        <f>SUMIFS($Y:$Y,$W:$W,$AA180,$Z:$Z,AM$1)</f>
        <v>0</v>
      </c>
      <c r="AN180">
        <f>SUMIFS($Y:$Y,$W:$W,$AA180,$Z:$Z,AN$1)</f>
        <v>0</v>
      </c>
      <c r="AO180">
        <f>SUM(AB180:AN180)</f>
        <v>82423</v>
      </c>
      <c r="AP180" s="8">
        <f t="shared" si="34"/>
        <v>0.90404040404040409</v>
      </c>
      <c r="AQ180" s="8">
        <f t="shared" si="35"/>
        <v>1.5124441437200493E-3</v>
      </c>
      <c r="AR180" s="8">
        <f t="shared" si="39"/>
        <v>0.97955788327035287</v>
      </c>
      <c r="AS180" t="str">
        <f t="shared" si="36"/>
        <v>C</v>
      </c>
      <c r="AT180" s="8">
        <f t="shared" si="37"/>
        <v>3.4641016151377539</v>
      </c>
      <c r="AU180" t="str">
        <f t="shared" si="38"/>
        <v>Z</v>
      </c>
      <c r="AZ180" t="s">
        <v>68</v>
      </c>
      <c r="BA180" t="s">
        <v>478</v>
      </c>
      <c r="BB180" t="s">
        <v>472</v>
      </c>
      <c r="BC180">
        <v>12642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86079</v>
      </c>
      <c r="BK180">
        <v>0</v>
      </c>
      <c r="BL180">
        <v>0</v>
      </c>
      <c r="BM180">
        <v>0</v>
      </c>
      <c r="BN180">
        <v>0</v>
      </c>
      <c r="BO180">
        <v>0</v>
      </c>
    </row>
    <row r="181" spans="1:67" x14ac:dyDescent="0.25">
      <c r="A181" t="s">
        <v>5</v>
      </c>
      <c r="B181" t="s">
        <v>171</v>
      </c>
      <c r="C181" t="s">
        <v>170</v>
      </c>
      <c r="D181" s="7">
        <v>54889</v>
      </c>
      <c r="E181">
        <v>7</v>
      </c>
      <c r="W181" t="s">
        <v>171</v>
      </c>
      <c r="X181" s="11" t="s">
        <v>170</v>
      </c>
      <c r="Y181" s="7">
        <v>54889</v>
      </c>
      <c r="Z181" s="11" t="str">
        <f t="shared" si="32"/>
        <v>2023-11</v>
      </c>
      <c r="AA181" t="s">
        <v>139</v>
      </c>
      <c r="AB181">
        <f>SUMIFS($Y:$Y,$W:$W,$AA181,$Z:$Z,AB$1)</f>
        <v>0</v>
      </c>
      <c r="AC181">
        <f>SUMIFS($Y:$Y,$W:$W,$AA181,$Z:$Z,AC$1)</f>
        <v>50952</v>
      </c>
      <c r="AD181">
        <f>SUMIFS($Y:$Y,$W:$W,$AA181,$Z:$Z,AD$1)</f>
        <v>0</v>
      </c>
      <c r="AE181">
        <f>SUMIFS($Y:$Y,$W:$W,$AA181,$Z:$Z,AE$1)</f>
        <v>0</v>
      </c>
      <c r="AF181">
        <f>SUMIFS($Y:$Y,$W:$W,$AA181,$Z:$Z,AF$1)</f>
        <v>29481</v>
      </c>
      <c r="AG181">
        <f>SUMIFS($Y:$Y,$W:$W,$AA181,$Z:$Z,AG$1)</f>
        <v>0</v>
      </c>
      <c r="AH181">
        <f>SUMIFS($Y:$Y,$W:$W,$AA181,$Z:$Z,AH$1)</f>
        <v>0</v>
      </c>
      <c r="AI181">
        <f>SUMIFS($Y:$Y,$W:$W,$AA181,$Z:$Z,AI$1)</f>
        <v>0</v>
      </c>
      <c r="AJ181">
        <f>SUMIFS($Y:$Y,$W:$W,$AA181,$Z:$Z,AJ$1)</f>
        <v>0</v>
      </c>
      <c r="AK181">
        <f>SUMIFS($Y:$Y,$W:$W,$AA181,$Z:$Z,AK$1)</f>
        <v>0</v>
      </c>
      <c r="AL181">
        <f>SUMIFS($Y:$Y,$W:$W,$AA181,$Z:$Z,AL$1)</f>
        <v>0</v>
      </c>
      <c r="AM181">
        <f>SUMIFS($Y:$Y,$W:$W,$AA181,$Z:$Z,AM$1)</f>
        <v>0</v>
      </c>
      <c r="AN181">
        <f>SUMIFS($Y:$Y,$W:$W,$AA181,$Z:$Z,AN$1)</f>
        <v>0</v>
      </c>
      <c r="AO181">
        <f>SUM(AB181:AN181)</f>
        <v>80433</v>
      </c>
      <c r="AP181" s="8">
        <f t="shared" si="34"/>
        <v>0.90909090909090906</v>
      </c>
      <c r="AQ181" s="8">
        <f t="shared" si="35"/>
        <v>1.4759280760447294E-3</v>
      </c>
      <c r="AR181" s="8">
        <f t="shared" si="39"/>
        <v>0.98103381134639756</v>
      </c>
      <c r="AS181" t="str">
        <f t="shared" si="36"/>
        <v>C</v>
      </c>
      <c r="AT181" s="8">
        <f t="shared" si="37"/>
        <v>2.4419622311971572</v>
      </c>
      <c r="AU181" t="str">
        <f t="shared" si="38"/>
        <v>Z</v>
      </c>
      <c r="AZ181" t="s">
        <v>22</v>
      </c>
      <c r="BA181" t="s">
        <v>471</v>
      </c>
      <c r="BB181" t="s">
        <v>472</v>
      </c>
      <c r="BC181">
        <v>10817</v>
      </c>
      <c r="BD181">
        <v>0</v>
      </c>
      <c r="BE181">
        <v>0</v>
      </c>
      <c r="BF181">
        <v>0</v>
      </c>
      <c r="BG181">
        <v>0</v>
      </c>
      <c r="BH181">
        <v>51116</v>
      </c>
      <c r="BI181">
        <v>28732</v>
      </c>
      <c r="BJ181">
        <v>71609</v>
      </c>
      <c r="BK181">
        <v>0</v>
      </c>
      <c r="BL181">
        <v>0</v>
      </c>
      <c r="BM181">
        <v>60911</v>
      </c>
      <c r="BN181">
        <v>103805</v>
      </c>
      <c r="BO181">
        <v>0</v>
      </c>
    </row>
    <row r="182" spans="1:67" x14ac:dyDescent="0.25">
      <c r="A182" t="s">
        <v>32</v>
      </c>
      <c r="B182" t="s">
        <v>101</v>
      </c>
      <c r="C182" t="s">
        <v>170</v>
      </c>
      <c r="D182" s="7">
        <v>19972</v>
      </c>
      <c r="E182">
        <v>7</v>
      </c>
      <c r="W182" t="s">
        <v>101</v>
      </c>
      <c r="X182" s="11" t="s">
        <v>170</v>
      </c>
      <c r="Y182" s="7">
        <v>19972</v>
      </c>
      <c r="Z182" s="11" t="str">
        <f t="shared" si="32"/>
        <v>2023-11</v>
      </c>
      <c r="AA182" t="s">
        <v>226</v>
      </c>
      <c r="AB182">
        <f>SUMIFS($Y:$Y,$W:$W,$AA182,$Z:$Z,AB$1)</f>
        <v>0</v>
      </c>
      <c r="AC182">
        <f>SUMIFS($Y:$Y,$W:$W,$AA182,$Z:$Z,AC$1)</f>
        <v>0</v>
      </c>
      <c r="AD182">
        <f>SUMIFS($Y:$Y,$W:$W,$AA182,$Z:$Z,AD$1)</f>
        <v>0</v>
      </c>
      <c r="AE182">
        <f>SUMIFS($Y:$Y,$W:$W,$AA182,$Z:$Z,AE$1)</f>
        <v>79157</v>
      </c>
      <c r="AF182">
        <f>SUMIFS($Y:$Y,$W:$W,$AA182,$Z:$Z,AF$1)</f>
        <v>0</v>
      </c>
      <c r="AG182">
        <f>SUMIFS($Y:$Y,$W:$W,$AA182,$Z:$Z,AG$1)</f>
        <v>0</v>
      </c>
      <c r="AH182">
        <f>SUMIFS($Y:$Y,$W:$W,$AA182,$Z:$Z,AH$1)</f>
        <v>0</v>
      </c>
      <c r="AI182">
        <f>SUMIFS($Y:$Y,$W:$W,$AA182,$Z:$Z,AI$1)</f>
        <v>0</v>
      </c>
      <c r="AJ182">
        <f>SUMIFS($Y:$Y,$W:$W,$AA182,$Z:$Z,AJ$1)</f>
        <v>0</v>
      </c>
      <c r="AK182">
        <f>SUMIFS($Y:$Y,$W:$W,$AA182,$Z:$Z,AK$1)</f>
        <v>0</v>
      </c>
      <c r="AL182">
        <f>SUMIFS($Y:$Y,$W:$W,$AA182,$Z:$Z,AL$1)</f>
        <v>0</v>
      </c>
      <c r="AM182">
        <f>SUMIFS($Y:$Y,$W:$W,$AA182,$Z:$Z,AM$1)</f>
        <v>0</v>
      </c>
      <c r="AN182">
        <f>SUMIFS($Y:$Y,$W:$W,$AA182,$Z:$Z,AN$1)</f>
        <v>0</v>
      </c>
      <c r="AO182">
        <f>SUM(AB182:AN182)</f>
        <v>79157</v>
      </c>
      <c r="AP182" s="8">
        <f t="shared" si="34"/>
        <v>0.91414141414141414</v>
      </c>
      <c r="AQ182" s="8">
        <f t="shared" si="35"/>
        <v>1.4525137532539212E-3</v>
      </c>
      <c r="AR182" s="8">
        <f t="shared" si="39"/>
        <v>0.9824863250996515</v>
      </c>
      <c r="AS182" t="str">
        <f t="shared" si="36"/>
        <v>C</v>
      </c>
      <c r="AT182" s="8">
        <f t="shared" si="37"/>
        <v>3.4641016151377544</v>
      </c>
      <c r="AU182" t="str">
        <f t="shared" si="38"/>
        <v>Z</v>
      </c>
      <c r="AZ182" t="s">
        <v>13</v>
      </c>
      <c r="BA182" t="s">
        <v>471</v>
      </c>
      <c r="BB182" t="s">
        <v>472</v>
      </c>
      <c r="BC182">
        <v>76223</v>
      </c>
      <c r="BD182">
        <v>20745</v>
      </c>
      <c r="BE182">
        <v>0</v>
      </c>
      <c r="BF182">
        <v>0</v>
      </c>
      <c r="BG182">
        <v>84258</v>
      </c>
      <c r="BH182">
        <v>0</v>
      </c>
      <c r="BI182">
        <v>0</v>
      </c>
      <c r="BJ182">
        <v>0</v>
      </c>
      <c r="BK182">
        <v>45400</v>
      </c>
      <c r="BL182">
        <v>161080</v>
      </c>
      <c r="BM182">
        <v>0</v>
      </c>
      <c r="BN182">
        <v>0</v>
      </c>
      <c r="BO182">
        <v>0</v>
      </c>
    </row>
    <row r="183" spans="1:67" x14ac:dyDescent="0.25">
      <c r="A183" t="s">
        <v>14</v>
      </c>
      <c r="B183" t="s">
        <v>147</v>
      </c>
      <c r="C183" t="s">
        <v>170</v>
      </c>
      <c r="D183" s="7">
        <v>58737</v>
      </c>
      <c r="E183">
        <v>8</v>
      </c>
      <c r="W183" t="s">
        <v>147</v>
      </c>
      <c r="X183" s="11" t="s">
        <v>170</v>
      </c>
      <c r="Y183" s="7">
        <v>58737</v>
      </c>
      <c r="Z183" s="11" t="str">
        <f t="shared" si="32"/>
        <v>2023-11</v>
      </c>
      <c r="AA183" t="s">
        <v>151</v>
      </c>
      <c r="AB183">
        <f>SUMIFS($Y:$Y,$W:$W,$AA183,$Z:$Z,AB$1)</f>
        <v>0</v>
      </c>
      <c r="AC183">
        <f>SUMIFS($Y:$Y,$W:$W,$AA183,$Z:$Z,AC$1)</f>
        <v>26006</v>
      </c>
      <c r="AD183">
        <f>SUMIFS($Y:$Y,$W:$W,$AA183,$Z:$Z,AD$1)</f>
        <v>0</v>
      </c>
      <c r="AE183">
        <f>SUMIFS($Y:$Y,$W:$W,$AA183,$Z:$Z,AE$1)</f>
        <v>0</v>
      </c>
      <c r="AF183">
        <f>SUMIFS($Y:$Y,$W:$W,$AA183,$Z:$Z,AF$1)</f>
        <v>51341</v>
      </c>
      <c r="AG183">
        <f>SUMIFS($Y:$Y,$W:$W,$AA183,$Z:$Z,AG$1)</f>
        <v>0</v>
      </c>
      <c r="AH183">
        <f>SUMIFS($Y:$Y,$W:$W,$AA183,$Z:$Z,AH$1)</f>
        <v>0</v>
      </c>
      <c r="AI183">
        <f>SUMIFS($Y:$Y,$W:$W,$AA183,$Z:$Z,AI$1)</f>
        <v>0</v>
      </c>
      <c r="AJ183">
        <f>SUMIFS($Y:$Y,$W:$W,$AA183,$Z:$Z,AJ$1)</f>
        <v>0</v>
      </c>
      <c r="AK183">
        <f>SUMIFS($Y:$Y,$W:$W,$AA183,$Z:$Z,AK$1)</f>
        <v>0</v>
      </c>
      <c r="AL183">
        <f>SUMIFS($Y:$Y,$W:$W,$AA183,$Z:$Z,AL$1)</f>
        <v>0</v>
      </c>
      <c r="AM183">
        <f>SUMIFS($Y:$Y,$W:$W,$AA183,$Z:$Z,AM$1)</f>
        <v>0</v>
      </c>
      <c r="AN183">
        <f>SUMIFS($Y:$Y,$W:$W,$AA183,$Z:$Z,AN$1)</f>
        <v>0</v>
      </c>
      <c r="AO183">
        <f>SUM(AB183:AN183)</f>
        <v>77347</v>
      </c>
      <c r="AP183" s="8">
        <f t="shared" si="34"/>
        <v>0.91919191919191923</v>
      </c>
      <c r="AQ183" s="8">
        <f t="shared" si="35"/>
        <v>1.4193006464738563E-3</v>
      </c>
      <c r="AR183" s="8">
        <f t="shared" si="39"/>
        <v>0.98390562574612539</v>
      </c>
      <c r="AS183" t="str">
        <f t="shared" si="36"/>
        <v>C</v>
      </c>
      <c r="AT183" s="8">
        <f t="shared" si="37"/>
        <v>2.4894533484245969</v>
      </c>
      <c r="AU183" t="str">
        <f t="shared" si="38"/>
        <v>Z</v>
      </c>
      <c r="AZ183" t="s">
        <v>6</v>
      </c>
      <c r="BA183" t="s">
        <v>471</v>
      </c>
      <c r="BB183" t="s">
        <v>472</v>
      </c>
      <c r="BC183">
        <v>221998</v>
      </c>
      <c r="BD183">
        <v>0</v>
      </c>
      <c r="BE183">
        <v>0</v>
      </c>
      <c r="BF183">
        <v>0</v>
      </c>
      <c r="BG183">
        <v>0</v>
      </c>
      <c r="BH183">
        <v>93788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</row>
    <row r="184" spans="1:67" x14ac:dyDescent="0.25">
      <c r="A184" t="s">
        <v>8</v>
      </c>
      <c r="B184" t="s">
        <v>34</v>
      </c>
      <c r="C184" t="s">
        <v>170</v>
      </c>
      <c r="D184" s="7">
        <v>91657</v>
      </c>
      <c r="E184">
        <v>8</v>
      </c>
      <c r="W184" t="s">
        <v>34</v>
      </c>
      <c r="X184" s="11" t="s">
        <v>170</v>
      </c>
      <c r="Y184" s="7">
        <v>91657</v>
      </c>
      <c r="Z184" s="11" t="str">
        <f t="shared" si="32"/>
        <v>2023-11</v>
      </c>
      <c r="AA184" t="s">
        <v>369</v>
      </c>
      <c r="AB184">
        <f>SUMIFS($Y:$Y,$W:$W,$AA184,$Z:$Z,AB$1)</f>
        <v>0</v>
      </c>
      <c r="AC184">
        <f>SUMIFS($Y:$Y,$W:$W,$AA184,$Z:$Z,AC$1)</f>
        <v>0</v>
      </c>
      <c r="AD184">
        <f>SUMIFS($Y:$Y,$W:$W,$AA184,$Z:$Z,AD$1)</f>
        <v>0</v>
      </c>
      <c r="AE184">
        <f>SUMIFS($Y:$Y,$W:$W,$AA184,$Z:$Z,AE$1)</f>
        <v>0</v>
      </c>
      <c r="AF184">
        <f>SUMIFS($Y:$Y,$W:$W,$AA184,$Z:$Z,AF$1)</f>
        <v>0</v>
      </c>
      <c r="AG184">
        <f>SUMIFS($Y:$Y,$W:$W,$AA184,$Z:$Z,AG$1)</f>
        <v>0</v>
      </c>
      <c r="AH184">
        <f>SUMIFS($Y:$Y,$W:$W,$AA184,$Z:$Z,AH$1)</f>
        <v>0</v>
      </c>
      <c r="AI184">
        <f>SUMIFS($Y:$Y,$W:$W,$AA184,$Z:$Z,AI$1)</f>
        <v>0</v>
      </c>
      <c r="AJ184">
        <f>SUMIFS($Y:$Y,$W:$W,$AA184,$Z:$Z,AJ$1)</f>
        <v>59371</v>
      </c>
      <c r="AK184">
        <f>SUMIFS($Y:$Y,$W:$W,$AA184,$Z:$Z,AK$1)</f>
        <v>0</v>
      </c>
      <c r="AL184">
        <f>SUMIFS($Y:$Y,$W:$W,$AA184,$Z:$Z,AL$1)</f>
        <v>0</v>
      </c>
      <c r="AM184">
        <f>SUMIFS($Y:$Y,$W:$W,$AA184,$Z:$Z,AM$1)</f>
        <v>17603</v>
      </c>
      <c r="AN184">
        <f>SUMIFS($Y:$Y,$W:$W,$AA184,$Z:$Z,AN$1)</f>
        <v>0</v>
      </c>
      <c r="AO184">
        <f>SUM(AB184:AN184)</f>
        <v>76974</v>
      </c>
      <c r="AP184" s="8">
        <f t="shared" si="34"/>
        <v>0.9242424242424242</v>
      </c>
      <c r="AQ184" s="8">
        <f t="shared" si="35"/>
        <v>1.4124561775075777E-3</v>
      </c>
      <c r="AR184" s="8">
        <f t="shared" si="39"/>
        <v>0.98531808192363302</v>
      </c>
      <c r="AS184" t="str">
        <f t="shared" si="36"/>
        <v>C</v>
      </c>
      <c r="AT184" s="8">
        <f t="shared" si="37"/>
        <v>2.7228424034532868</v>
      </c>
      <c r="AU184" t="str">
        <f t="shared" si="38"/>
        <v>Z</v>
      </c>
      <c r="AZ184" t="s">
        <v>253</v>
      </c>
      <c r="BA184" t="s">
        <v>471</v>
      </c>
      <c r="BB184" t="s">
        <v>472</v>
      </c>
      <c r="BC184">
        <v>0</v>
      </c>
      <c r="BD184">
        <v>0</v>
      </c>
      <c r="BE184">
        <v>0</v>
      </c>
      <c r="BF184">
        <v>0</v>
      </c>
      <c r="BG184">
        <v>76230</v>
      </c>
      <c r="BH184">
        <v>33136</v>
      </c>
      <c r="BI184">
        <v>64263</v>
      </c>
      <c r="BJ184">
        <v>0</v>
      </c>
      <c r="BK184">
        <v>0</v>
      </c>
      <c r="BL184">
        <v>0</v>
      </c>
      <c r="BM184">
        <v>10118</v>
      </c>
      <c r="BN184">
        <v>104347</v>
      </c>
      <c r="BO184">
        <v>0</v>
      </c>
    </row>
    <row r="185" spans="1:67" x14ac:dyDescent="0.25">
      <c r="A185" t="s">
        <v>36</v>
      </c>
      <c r="B185" t="s">
        <v>168</v>
      </c>
      <c r="C185" t="s">
        <v>172</v>
      </c>
      <c r="D185" s="7">
        <v>53810</v>
      </c>
      <c r="E185">
        <v>1</v>
      </c>
      <c r="W185" t="s">
        <v>168</v>
      </c>
      <c r="X185" s="11" t="s">
        <v>172</v>
      </c>
      <c r="Y185" s="7">
        <v>53810</v>
      </c>
      <c r="Z185" s="11" t="str">
        <f t="shared" si="32"/>
        <v>2023-11</v>
      </c>
      <c r="AA185" t="s">
        <v>278</v>
      </c>
      <c r="AB185">
        <f>SUMIFS($Y:$Y,$W:$W,$AA185,$Z:$Z,AB$1)</f>
        <v>0</v>
      </c>
      <c r="AC185">
        <f>SUMIFS($Y:$Y,$W:$W,$AA185,$Z:$Z,AC$1)</f>
        <v>0</v>
      </c>
      <c r="AD185">
        <f>SUMIFS($Y:$Y,$W:$W,$AA185,$Z:$Z,AD$1)</f>
        <v>0</v>
      </c>
      <c r="AE185">
        <f>SUMIFS($Y:$Y,$W:$W,$AA185,$Z:$Z,AE$1)</f>
        <v>0</v>
      </c>
      <c r="AF185">
        <f>SUMIFS($Y:$Y,$W:$W,$AA185,$Z:$Z,AF$1)</f>
        <v>73054</v>
      </c>
      <c r="AG185">
        <f>SUMIFS($Y:$Y,$W:$W,$AA185,$Z:$Z,AG$1)</f>
        <v>0</v>
      </c>
      <c r="AH185">
        <f>SUMIFS($Y:$Y,$W:$W,$AA185,$Z:$Z,AH$1)</f>
        <v>0</v>
      </c>
      <c r="AI185">
        <f>SUMIFS($Y:$Y,$W:$W,$AA185,$Z:$Z,AI$1)</f>
        <v>0</v>
      </c>
      <c r="AJ185">
        <f>SUMIFS($Y:$Y,$W:$W,$AA185,$Z:$Z,AJ$1)</f>
        <v>0</v>
      </c>
      <c r="AK185">
        <f>SUMIFS($Y:$Y,$W:$W,$AA185,$Z:$Z,AK$1)</f>
        <v>0</v>
      </c>
      <c r="AL185">
        <f>SUMIFS($Y:$Y,$W:$W,$AA185,$Z:$Z,AL$1)</f>
        <v>0</v>
      </c>
      <c r="AM185">
        <f>SUMIFS($Y:$Y,$W:$W,$AA185,$Z:$Z,AM$1)</f>
        <v>0</v>
      </c>
      <c r="AN185">
        <f>SUMIFS($Y:$Y,$W:$W,$AA185,$Z:$Z,AN$1)</f>
        <v>0</v>
      </c>
      <c r="AO185">
        <f>SUM(AB185:AN185)</f>
        <v>73054</v>
      </c>
      <c r="AP185" s="8">
        <f t="shared" si="34"/>
        <v>0.92929292929292928</v>
      </c>
      <c r="AQ185" s="8">
        <f t="shared" si="35"/>
        <v>1.3405250291220227E-3</v>
      </c>
      <c r="AR185" s="8">
        <f t="shared" si="39"/>
        <v>0.98665860695275509</v>
      </c>
      <c r="AS185" t="str">
        <f t="shared" si="36"/>
        <v>C</v>
      </c>
      <c r="AT185" s="8">
        <f t="shared" si="37"/>
        <v>3.4641016151377544</v>
      </c>
      <c r="AU185" t="str">
        <f t="shared" si="38"/>
        <v>Z</v>
      </c>
      <c r="AZ185" t="s">
        <v>369</v>
      </c>
      <c r="BA185" t="s">
        <v>478</v>
      </c>
      <c r="BB185" t="s">
        <v>472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59371</v>
      </c>
      <c r="BL185">
        <v>0</v>
      </c>
      <c r="BM185">
        <v>0</v>
      </c>
      <c r="BN185">
        <v>17603</v>
      </c>
      <c r="BO185">
        <v>0</v>
      </c>
    </row>
    <row r="186" spans="1:67" x14ac:dyDescent="0.25">
      <c r="A186" t="s">
        <v>27</v>
      </c>
      <c r="B186" t="s">
        <v>144</v>
      </c>
      <c r="C186" t="s">
        <v>172</v>
      </c>
      <c r="D186" s="7">
        <v>85589</v>
      </c>
      <c r="E186">
        <v>7</v>
      </c>
      <c r="W186" t="s">
        <v>144</v>
      </c>
      <c r="X186" s="11" t="s">
        <v>172</v>
      </c>
      <c r="Y186" s="7">
        <v>85589</v>
      </c>
      <c r="Z186" s="11" t="str">
        <f t="shared" si="32"/>
        <v>2023-11</v>
      </c>
      <c r="AA186" t="s">
        <v>451</v>
      </c>
      <c r="AB186">
        <f>SUMIFS($Y:$Y,$W:$W,$AA186,$Z:$Z,AB$1)</f>
        <v>0</v>
      </c>
      <c r="AC186">
        <f>SUMIFS($Y:$Y,$W:$W,$AA186,$Z:$Z,AC$1)</f>
        <v>0</v>
      </c>
      <c r="AD186">
        <f>SUMIFS($Y:$Y,$W:$W,$AA186,$Z:$Z,AD$1)</f>
        <v>0</v>
      </c>
      <c r="AE186">
        <f>SUMIFS($Y:$Y,$W:$W,$AA186,$Z:$Z,AE$1)</f>
        <v>0</v>
      </c>
      <c r="AF186">
        <f>SUMIFS($Y:$Y,$W:$W,$AA186,$Z:$Z,AF$1)</f>
        <v>0</v>
      </c>
      <c r="AG186">
        <f>SUMIFS($Y:$Y,$W:$W,$AA186,$Z:$Z,AG$1)</f>
        <v>0</v>
      </c>
      <c r="AH186">
        <f>SUMIFS($Y:$Y,$W:$W,$AA186,$Z:$Z,AH$1)</f>
        <v>0</v>
      </c>
      <c r="AI186">
        <f>SUMIFS($Y:$Y,$W:$W,$AA186,$Z:$Z,AI$1)</f>
        <v>0</v>
      </c>
      <c r="AJ186">
        <f>SUMIFS($Y:$Y,$W:$W,$AA186,$Z:$Z,AJ$1)</f>
        <v>0</v>
      </c>
      <c r="AK186">
        <f>SUMIFS($Y:$Y,$W:$W,$AA186,$Z:$Z,AK$1)</f>
        <v>0</v>
      </c>
      <c r="AL186">
        <f>SUMIFS($Y:$Y,$W:$W,$AA186,$Z:$Z,AL$1)</f>
        <v>0</v>
      </c>
      <c r="AM186">
        <f>SUMIFS($Y:$Y,$W:$W,$AA186,$Z:$Z,AM$1)</f>
        <v>71474</v>
      </c>
      <c r="AN186">
        <f>SUMIFS($Y:$Y,$W:$W,$AA186,$Z:$Z,AN$1)</f>
        <v>0</v>
      </c>
      <c r="AO186">
        <f>SUM(AB186:AN186)</f>
        <v>71474</v>
      </c>
      <c r="AP186" s="8">
        <f t="shared" si="34"/>
        <v>0.93434343434343436</v>
      </c>
      <c r="AQ186" s="8">
        <f t="shared" si="35"/>
        <v>1.3115323723747838E-3</v>
      </c>
      <c r="AR186" s="8">
        <f t="shared" si="39"/>
        <v>0.98797013932512989</v>
      </c>
      <c r="AS186" t="str">
        <f t="shared" si="36"/>
        <v>C</v>
      </c>
      <c r="AT186" s="8">
        <f t="shared" si="37"/>
        <v>3.4641016151377544</v>
      </c>
      <c r="AU186" t="str">
        <f t="shared" si="38"/>
        <v>Z</v>
      </c>
      <c r="AZ186" t="s">
        <v>169</v>
      </c>
      <c r="BA186" t="s">
        <v>474</v>
      </c>
      <c r="BB186" t="s">
        <v>472</v>
      </c>
      <c r="BC186">
        <v>0</v>
      </c>
      <c r="BD186">
        <v>0</v>
      </c>
      <c r="BE186">
        <v>122155</v>
      </c>
      <c r="BF186">
        <v>0</v>
      </c>
      <c r="BG186">
        <v>0</v>
      </c>
      <c r="BH186">
        <v>0</v>
      </c>
      <c r="BI186">
        <v>0</v>
      </c>
      <c r="BJ186">
        <v>67320</v>
      </c>
      <c r="BK186">
        <v>0</v>
      </c>
      <c r="BL186">
        <v>12479</v>
      </c>
      <c r="BM186">
        <v>0</v>
      </c>
      <c r="BN186">
        <v>0</v>
      </c>
      <c r="BO186">
        <v>0</v>
      </c>
    </row>
    <row r="187" spans="1:67" x14ac:dyDescent="0.25">
      <c r="A187" t="s">
        <v>12</v>
      </c>
      <c r="B187" t="s">
        <v>88</v>
      </c>
      <c r="C187" t="s">
        <v>172</v>
      </c>
      <c r="D187" s="7">
        <v>58650</v>
      </c>
      <c r="E187">
        <v>7</v>
      </c>
      <c r="W187" t="s">
        <v>88</v>
      </c>
      <c r="X187" s="11" t="s">
        <v>172</v>
      </c>
      <c r="Y187" s="7">
        <v>58650</v>
      </c>
      <c r="Z187" s="11" t="str">
        <f t="shared" si="32"/>
        <v>2023-11</v>
      </c>
      <c r="AA187" t="s">
        <v>212</v>
      </c>
      <c r="AB187">
        <f>SUMIFS($Y:$Y,$W:$W,$AA187,$Z:$Z,AB$1)</f>
        <v>0</v>
      </c>
      <c r="AC187">
        <f>SUMIFS($Y:$Y,$W:$W,$AA187,$Z:$Z,AC$1)</f>
        <v>0</v>
      </c>
      <c r="AD187">
        <f>SUMIFS($Y:$Y,$W:$W,$AA187,$Z:$Z,AD$1)</f>
        <v>0</v>
      </c>
      <c r="AE187">
        <f>SUMIFS($Y:$Y,$W:$W,$AA187,$Z:$Z,AE$1)</f>
        <v>25641</v>
      </c>
      <c r="AF187">
        <f>SUMIFS($Y:$Y,$W:$W,$AA187,$Z:$Z,AF$1)</f>
        <v>0</v>
      </c>
      <c r="AG187">
        <f>SUMIFS($Y:$Y,$W:$W,$AA187,$Z:$Z,AG$1)</f>
        <v>0</v>
      </c>
      <c r="AH187">
        <f>SUMIFS($Y:$Y,$W:$W,$AA187,$Z:$Z,AH$1)</f>
        <v>0</v>
      </c>
      <c r="AI187">
        <f>SUMIFS($Y:$Y,$W:$W,$AA187,$Z:$Z,AI$1)</f>
        <v>0</v>
      </c>
      <c r="AJ187">
        <f>SUMIFS($Y:$Y,$W:$W,$AA187,$Z:$Z,AJ$1)</f>
        <v>0</v>
      </c>
      <c r="AK187">
        <f>SUMIFS($Y:$Y,$W:$W,$AA187,$Z:$Z,AK$1)</f>
        <v>0</v>
      </c>
      <c r="AL187">
        <f>SUMIFS($Y:$Y,$W:$W,$AA187,$Z:$Z,AL$1)</f>
        <v>0</v>
      </c>
      <c r="AM187">
        <f>SUMIFS($Y:$Y,$W:$W,$AA187,$Z:$Z,AM$1)</f>
        <v>43227</v>
      </c>
      <c r="AN187">
        <f>SUMIFS($Y:$Y,$W:$W,$AA187,$Z:$Z,AN$1)</f>
        <v>0</v>
      </c>
      <c r="AO187">
        <f>SUM(AB187:AN187)</f>
        <v>68868</v>
      </c>
      <c r="AP187" s="8">
        <f t="shared" si="34"/>
        <v>0.93939393939393945</v>
      </c>
      <c r="AQ187" s="8">
        <f t="shared" si="35"/>
        <v>1.2637128385245909E-3</v>
      </c>
      <c r="AR187" s="8">
        <f t="shared" si="39"/>
        <v>0.98923385216365445</v>
      </c>
      <c r="AS187" t="str">
        <f t="shared" si="36"/>
        <v>C</v>
      </c>
      <c r="AT187" s="8">
        <f t="shared" si="37"/>
        <v>2.4338961268759505</v>
      </c>
      <c r="AU187" t="str">
        <f t="shared" si="38"/>
        <v>Z</v>
      </c>
      <c r="AZ187" t="s">
        <v>30</v>
      </c>
      <c r="BA187" t="s">
        <v>471</v>
      </c>
      <c r="BB187" t="s">
        <v>472</v>
      </c>
      <c r="BC187">
        <v>43060</v>
      </c>
      <c r="BD187">
        <v>246347</v>
      </c>
      <c r="BE187">
        <v>0</v>
      </c>
      <c r="BF187">
        <v>159239</v>
      </c>
      <c r="BG187">
        <v>86564</v>
      </c>
      <c r="BH187">
        <v>14224</v>
      </c>
      <c r="BI187">
        <v>39792</v>
      </c>
      <c r="BJ187">
        <v>0</v>
      </c>
      <c r="BK187">
        <v>63201</v>
      </c>
      <c r="BL187">
        <v>62877</v>
      </c>
      <c r="BM187">
        <v>148246</v>
      </c>
      <c r="BN187">
        <v>0</v>
      </c>
      <c r="BO187">
        <v>0</v>
      </c>
    </row>
    <row r="188" spans="1:67" x14ac:dyDescent="0.25">
      <c r="A188" t="s">
        <v>8</v>
      </c>
      <c r="B188" t="s">
        <v>129</v>
      </c>
      <c r="C188" t="s">
        <v>172</v>
      </c>
      <c r="D188" s="7">
        <v>83330</v>
      </c>
      <c r="E188">
        <v>1</v>
      </c>
      <c r="W188" t="s">
        <v>129</v>
      </c>
      <c r="X188" s="11" t="s">
        <v>172</v>
      </c>
      <c r="Y188" s="7">
        <v>83330</v>
      </c>
      <c r="Z188" s="11" t="str">
        <f t="shared" si="32"/>
        <v>2023-11</v>
      </c>
      <c r="AA188" t="s">
        <v>311</v>
      </c>
      <c r="AB188">
        <f>SUMIFS($Y:$Y,$W:$W,$AA188,$Z:$Z,AB$1)</f>
        <v>0</v>
      </c>
      <c r="AC188">
        <f>SUMIFS($Y:$Y,$W:$W,$AA188,$Z:$Z,AC$1)</f>
        <v>0</v>
      </c>
      <c r="AD188">
        <f>SUMIFS($Y:$Y,$W:$W,$AA188,$Z:$Z,AD$1)</f>
        <v>0</v>
      </c>
      <c r="AE188">
        <f>SUMIFS($Y:$Y,$W:$W,$AA188,$Z:$Z,AE$1)</f>
        <v>0</v>
      </c>
      <c r="AF188">
        <f>SUMIFS($Y:$Y,$W:$W,$AA188,$Z:$Z,AF$1)</f>
        <v>0</v>
      </c>
      <c r="AG188">
        <f>SUMIFS($Y:$Y,$W:$W,$AA188,$Z:$Z,AG$1)</f>
        <v>68339</v>
      </c>
      <c r="AH188">
        <f>SUMIFS($Y:$Y,$W:$W,$AA188,$Z:$Z,AH$1)</f>
        <v>0</v>
      </c>
      <c r="AI188">
        <f>SUMIFS($Y:$Y,$W:$W,$AA188,$Z:$Z,AI$1)</f>
        <v>0</v>
      </c>
      <c r="AJ188">
        <f>SUMIFS($Y:$Y,$W:$W,$AA188,$Z:$Z,AJ$1)</f>
        <v>0</v>
      </c>
      <c r="AK188">
        <f>SUMIFS($Y:$Y,$W:$W,$AA188,$Z:$Z,AK$1)</f>
        <v>0</v>
      </c>
      <c r="AL188">
        <f>SUMIFS($Y:$Y,$W:$W,$AA188,$Z:$Z,AL$1)</f>
        <v>0</v>
      </c>
      <c r="AM188">
        <f>SUMIFS($Y:$Y,$W:$W,$AA188,$Z:$Z,AM$1)</f>
        <v>0</v>
      </c>
      <c r="AN188">
        <f>SUMIFS($Y:$Y,$W:$W,$AA188,$Z:$Z,AN$1)</f>
        <v>0</v>
      </c>
      <c r="AO188">
        <f>SUM(AB188:AN188)</f>
        <v>68339</v>
      </c>
      <c r="AP188" s="8">
        <f t="shared" si="34"/>
        <v>0.94444444444444442</v>
      </c>
      <c r="AQ188" s="8">
        <f t="shared" si="35"/>
        <v>1.2540058034490912E-3</v>
      </c>
      <c r="AR188" s="8">
        <f t="shared" si="39"/>
        <v>0.99048785796710359</v>
      </c>
      <c r="AS188" t="str">
        <f t="shared" si="36"/>
        <v>C</v>
      </c>
      <c r="AT188" s="8">
        <f t="shared" si="37"/>
        <v>3.4641016151377544</v>
      </c>
      <c r="AU188" t="str">
        <f t="shared" si="38"/>
        <v>Z</v>
      </c>
      <c r="AZ188" t="s">
        <v>39</v>
      </c>
      <c r="BA188" t="s">
        <v>471</v>
      </c>
      <c r="BB188" t="s">
        <v>472</v>
      </c>
      <c r="BC188">
        <v>82207</v>
      </c>
      <c r="BD188">
        <v>0</v>
      </c>
      <c r="BE188">
        <v>0</v>
      </c>
      <c r="BF188">
        <v>47290</v>
      </c>
      <c r="BG188">
        <v>0</v>
      </c>
      <c r="BH188">
        <v>80690</v>
      </c>
      <c r="BI188">
        <v>0</v>
      </c>
      <c r="BJ188">
        <v>0</v>
      </c>
      <c r="BK188">
        <v>0</v>
      </c>
      <c r="BL188">
        <v>62725</v>
      </c>
      <c r="BM188">
        <v>0</v>
      </c>
      <c r="BN188">
        <v>51330</v>
      </c>
      <c r="BO188">
        <v>0</v>
      </c>
    </row>
    <row r="189" spans="1:67" x14ac:dyDescent="0.25">
      <c r="A189" t="s">
        <v>33</v>
      </c>
      <c r="B189" t="s">
        <v>173</v>
      </c>
      <c r="C189" t="s">
        <v>172</v>
      </c>
      <c r="D189" s="7">
        <v>93535</v>
      </c>
      <c r="E189">
        <v>9</v>
      </c>
      <c r="W189" t="s">
        <v>173</v>
      </c>
      <c r="X189" s="11" t="s">
        <v>172</v>
      </c>
      <c r="Y189" s="7">
        <v>93535</v>
      </c>
      <c r="Z189" s="11" t="str">
        <f t="shared" si="32"/>
        <v>2023-11</v>
      </c>
      <c r="AA189" t="s">
        <v>364</v>
      </c>
      <c r="AB189">
        <f>SUMIFS($Y:$Y,$W:$W,$AA189,$Z:$Z,AB$1)</f>
        <v>0</v>
      </c>
      <c r="AC189">
        <f>SUMIFS($Y:$Y,$W:$W,$AA189,$Z:$Z,AC$1)</f>
        <v>0</v>
      </c>
      <c r="AD189">
        <f>SUMIFS($Y:$Y,$W:$W,$AA189,$Z:$Z,AD$1)</f>
        <v>0</v>
      </c>
      <c r="AE189">
        <f>SUMIFS($Y:$Y,$W:$W,$AA189,$Z:$Z,AE$1)</f>
        <v>0</v>
      </c>
      <c r="AF189">
        <f>SUMIFS($Y:$Y,$W:$W,$AA189,$Z:$Z,AF$1)</f>
        <v>0</v>
      </c>
      <c r="AG189">
        <f>SUMIFS($Y:$Y,$W:$W,$AA189,$Z:$Z,AG$1)</f>
        <v>0</v>
      </c>
      <c r="AH189">
        <f>SUMIFS($Y:$Y,$W:$W,$AA189,$Z:$Z,AH$1)</f>
        <v>0</v>
      </c>
      <c r="AI189">
        <f>SUMIFS($Y:$Y,$W:$W,$AA189,$Z:$Z,AI$1)</f>
        <v>0</v>
      </c>
      <c r="AJ189">
        <f>SUMIFS($Y:$Y,$W:$W,$AA189,$Z:$Z,AJ$1)</f>
        <v>54141</v>
      </c>
      <c r="AK189">
        <f>SUMIFS($Y:$Y,$W:$W,$AA189,$Z:$Z,AK$1)</f>
        <v>12451</v>
      </c>
      <c r="AL189">
        <f>SUMIFS($Y:$Y,$W:$W,$AA189,$Z:$Z,AL$1)</f>
        <v>0</v>
      </c>
      <c r="AM189">
        <f>SUMIFS($Y:$Y,$W:$W,$AA189,$Z:$Z,AM$1)</f>
        <v>0</v>
      </c>
      <c r="AN189">
        <f>SUMIFS($Y:$Y,$W:$W,$AA189,$Z:$Z,AN$1)</f>
        <v>0</v>
      </c>
      <c r="AO189">
        <f>SUM(AB189:AN189)</f>
        <v>66592</v>
      </c>
      <c r="AP189" s="8">
        <f t="shared" si="34"/>
        <v>0.9494949494949495</v>
      </c>
      <c r="AQ189" s="8">
        <f t="shared" si="35"/>
        <v>1.2219487329823656E-3</v>
      </c>
      <c r="AR189" s="8">
        <f t="shared" si="39"/>
        <v>0.99170980670008591</v>
      </c>
      <c r="AS189" t="str">
        <f t="shared" si="36"/>
        <v>C</v>
      </c>
      <c r="AT189" s="8">
        <f t="shared" si="37"/>
        <v>2.8368310661798333</v>
      </c>
      <c r="AU189" t="str">
        <f t="shared" si="38"/>
        <v>Z</v>
      </c>
      <c r="AZ189" t="s">
        <v>60</v>
      </c>
      <c r="BA189" t="s">
        <v>471</v>
      </c>
      <c r="BB189" t="s">
        <v>472</v>
      </c>
      <c r="BC189">
        <v>77723</v>
      </c>
      <c r="BD189">
        <v>0</v>
      </c>
      <c r="BE189">
        <v>0</v>
      </c>
      <c r="BF189">
        <v>56948</v>
      </c>
      <c r="BG189">
        <v>0</v>
      </c>
      <c r="BH189">
        <v>43997</v>
      </c>
      <c r="BI189">
        <v>123445</v>
      </c>
      <c r="BJ189">
        <v>0</v>
      </c>
      <c r="BK189">
        <v>0</v>
      </c>
      <c r="BL189">
        <v>0</v>
      </c>
      <c r="BM189">
        <v>96106</v>
      </c>
      <c r="BN189">
        <v>0</v>
      </c>
      <c r="BO189">
        <v>0</v>
      </c>
    </row>
    <row r="190" spans="1:67" x14ac:dyDescent="0.25">
      <c r="A190" t="s">
        <v>32</v>
      </c>
      <c r="B190" t="s">
        <v>174</v>
      </c>
      <c r="C190" t="s">
        <v>172</v>
      </c>
      <c r="D190" s="7">
        <v>44197</v>
      </c>
      <c r="E190">
        <v>6</v>
      </c>
      <c r="W190" t="s">
        <v>174</v>
      </c>
      <c r="X190" s="11" t="s">
        <v>172</v>
      </c>
      <c r="Y190" s="7">
        <v>44197</v>
      </c>
      <c r="Z190" s="11" t="str">
        <f t="shared" si="32"/>
        <v>2023-11</v>
      </c>
      <c r="AA190" t="s">
        <v>152</v>
      </c>
      <c r="AB190">
        <f>SUMIFS($Y:$Y,$W:$W,$AA190,$Z:$Z,AB$1)</f>
        <v>0</v>
      </c>
      <c r="AC190">
        <f>SUMIFS($Y:$Y,$W:$W,$AA190,$Z:$Z,AC$1)</f>
        <v>40254</v>
      </c>
      <c r="AD190">
        <f>SUMIFS($Y:$Y,$W:$W,$AA190,$Z:$Z,AD$1)</f>
        <v>0</v>
      </c>
      <c r="AE190">
        <f>SUMIFS($Y:$Y,$W:$W,$AA190,$Z:$Z,AE$1)</f>
        <v>0</v>
      </c>
      <c r="AF190">
        <f>SUMIFS($Y:$Y,$W:$W,$AA190,$Z:$Z,AF$1)</f>
        <v>22344</v>
      </c>
      <c r="AG190">
        <f>SUMIFS($Y:$Y,$W:$W,$AA190,$Z:$Z,AG$1)</f>
        <v>0</v>
      </c>
      <c r="AH190">
        <f>SUMIFS($Y:$Y,$W:$W,$AA190,$Z:$Z,AH$1)</f>
        <v>0</v>
      </c>
      <c r="AI190">
        <f>SUMIFS($Y:$Y,$W:$W,$AA190,$Z:$Z,AI$1)</f>
        <v>0</v>
      </c>
      <c r="AJ190">
        <f>SUMIFS($Y:$Y,$W:$W,$AA190,$Z:$Z,AJ$1)</f>
        <v>0</v>
      </c>
      <c r="AK190">
        <f>SUMIFS($Y:$Y,$W:$W,$AA190,$Z:$Z,AK$1)</f>
        <v>0</v>
      </c>
      <c r="AL190">
        <f>SUMIFS($Y:$Y,$W:$W,$AA190,$Z:$Z,AL$1)</f>
        <v>0</v>
      </c>
      <c r="AM190">
        <f>SUMIFS($Y:$Y,$W:$W,$AA190,$Z:$Z,AM$1)</f>
        <v>0</v>
      </c>
      <c r="AN190">
        <f>SUMIFS($Y:$Y,$W:$W,$AA190,$Z:$Z,AN$1)</f>
        <v>0</v>
      </c>
      <c r="AO190">
        <f>SUM(AB190:AN190)</f>
        <v>62598</v>
      </c>
      <c r="AP190" s="8">
        <f t="shared" si="34"/>
        <v>0.95454545454545459</v>
      </c>
      <c r="AQ190" s="8">
        <f t="shared" si="35"/>
        <v>1.1486597006732059E-3</v>
      </c>
      <c r="AR190" s="8">
        <f t="shared" si="39"/>
        <v>0.99285846640075914</v>
      </c>
      <c r="AS190" t="str">
        <f t="shared" si="36"/>
        <v>C</v>
      </c>
      <c r="AT190" s="8">
        <f t="shared" si="37"/>
        <v>2.4560309814123982</v>
      </c>
      <c r="AU190" t="str">
        <f t="shared" si="38"/>
        <v>Z</v>
      </c>
      <c r="AZ190" t="s">
        <v>107</v>
      </c>
      <c r="BA190" t="s">
        <v>474</v>
      </c>
      <c r="BB190" t="s">
        <v>472</v>
      </c>
      <c r="BC190">
        <v>0</v>
      </c>
      <c r="BD190">
        <v>61586</v>
      </c>
      <c r="BE190">
        <v>0</v>
      </c>
      <c r="BF190">
        <v>0</v>
      </c>
      <c r="BG190">
        <v>95020</v>
      </c>
      <c r="BH190">
        <v>0</v>
      </c>
      <c r="BI190">
        <v>28775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</row>
    <row r="191" spans="1:67" x14ac:dyDescent="0.25">
      <c r="A191" t="s">
        <v>36</v>
      </c>
      <c r="B191" t="s">
        <v>175</v>
      </c>
      <c r="C191" t="s">
        <v>176</v>
      </c>
      <c r="D191" s="7">
        <v>45774</v>
      </c>
      <c r="E191">
        <v>5</v>
      </c>
      <c r="W191" t="s">
        <v>175</v>
      </c>
      <c r="X191" s="11" t="s">
        <v>176</v>
      </c>
      <c r="Y191" s="7">
        <v>45774</v>
      </c>
      <c r="Z191" s="11" t="str">
        <f t="shared" si="32"/>
        <v>2023-11</v>
      </c>
      <c r="AA191" t="s">
        <v>434</v>
      </c>
      <c r="AB191">
        <f>SUMIFS($Y:$Y,$W:$W,$AA191,$Z:$Z,AB$1)</f>
        <v>0</v>
      </c>
      <c r="AC191">
        <f>SUMIFS($Y:$Y,$W:$W,$AA191,$Z:$Z,AC$1)</f>
        <v>0</v>
      </c>
      <c r="AD191">
        <f>SUMIFS($Y:$Y,$W:$W,$AA191,$Z:$Z,AD$1)</f>
        <v>0</v>
      </c>
      <c r="AE191">
        <f>SUMIFS($Y:$Y,$W:$W,$AA191,$Z:$Z,AE$1)</f>
        <v>0</v>
      </c>
      <c r="AF191">
        <f>SUMIFS($Y:$Y,$W:$W,$AA191,$Z:$Z,AF$1)</f>
        <v>0</v>
      </c>
      <c r="AG191">
        <f>SUMIFS($Y:$Y,$W:$W,$AA191,$Z:$Z,AG$1)</f>
        <v>0</v>
      </c>
      <c r="AH191">
        <f>SUMIFS($Y:$Y,$W:$W,$AA191,$Z:$Z,AH$1)</f>
        <v>0</v>
      </c>
      <c r="AI191">
        <f>SUMIFS($Y:$Y,$W:$W,$AA191,$Z:$Z,AI$1)</f>
        <v>0</v>
      </c>
      <c r="AJ191">
        <f>SUMIFS($Y:$Y,$W:$W,$AA191,$Z:$Z,AJ$1)</f>
        <v>0</v>
      </c>
      <c r="AK191">
        <f>SUMIFS($Y:$Y,$W:$W,$AA191,$Z:$Z,AK$1)</f>
        <v>0</v>
      </c>
      <c r="AL191">
        <f>SUMIFS($Y:$Y,$W:$W,$AA191,$Z:$Z,AL$1)</f>
        <v>0</v>
      </c>
      <c r="AM191">
        <f>SUMIFS($Y:$Y,$W:$W,$AA191,$Z:$Z,AM$1)</f>
        <v>62214</v>
      </c>
      <c r="AN191">
        <f>SUMIFS($Y:$Y,$W:$W,$AA191,$Z:$Z,AN$1)</f>
        <v>0</v>
      </c>
      <c r="AO191">
        <f>SUM(AB191:AN191)</f>
        <v>62214</v>
      </c>
      <c r="AP191" s="8">
        <f t="shared" si="34"/>
        <v>0.95959595959595956</v>
      </c>
      <c r="AQ191" s="8">
        <f t="shared" si="35"/>
        <v>1.1416133840966617E-3</v>
      </c>
      <c r="AR191" s="8">
        <f t="shared" si="39"/>
        <v>0.99400007978485583</v>
      </c>
      <c r="AS191" t="str">
        <f t="shared" si="36"/>
        <v>C</v>
      </c>
      <c r="AT191" s="8">
        <f t="shared" si="37"/>
        <v>3.4641016151377544</v>
      </c>
      <c r="AU191" t="str">
        <f t="shared" si="38"/>
        <v>Z</v>
      </c>
      <c r="AZ191" t="s">
        <v>136</v>
      </c>
      <c r="BA191" t="s">
        <v>474</v>
      </c>
      <c r="BB191" t="s">
        <v>472</v>
      </c>
      <c r="BC191">
        <v>0</v>
      </c>
      <c r="BD191">
        <v>56621</v>
      </c>
      <c r="BE191">
        <v>0</v>
      </c>
      <c r="BF191">
        <v>0</v>
      </c>
      <c r="BG191">
        <v>65326</v>
      </c>
      <c r="BH191">
        <v>0</v>
      </c>
      <c r="BI191">
        <v>0</v>
      </c>
      <c r="BJ191">
        <v>0</v>
      </c>
      <c r="BK191">
        <v>40830</v>
      </c>
      <c r="BL191">
        <v>43231</v>
      </c>
      <c r="BM191">
        <v>0</v>
      </c>
      <c r="BN191">
        <v>0</v>
      </c>
      <c r="BO191">
        <v>0</v>
      </c>
    </row>
    <row r="192" spans="1:67" x14ac:dyDescent="0.25">
      <c r="A192" t="s">
        <v>36</v>
      </c>
      <c r="B192" t="s">
        <v>53</v>
      </c>
      <c r="C192" t="s">
        <v>176</v>
      </c>
      <c r="D192" s="7">
        <v>82180</v>
      </c>
      <c r="E192">
        <v>9</v>
      </c>
      <c r="W192" t="s">
        <v>53</v>
      </c>
      <c r="X192" s="11" t="s">
        <v>176</v>
      </c>
      <c r="Y192" s="7">
        <v>82180</v>
      </c>
      <c r="Z192" s="11" t="str">
        <f t="shared" si="32"/>
        <v>2023-11</v>
      </c>
      <c r="AA192" t="s">
        <v>316</v>
      </c>
      <c r="AB192">
        <f>SUMIFS($Y:$Y,$W:$W,$AA192,$Z:$Z,AB$1)</f>
        <v>0</v>
      </c>
      <c r="AC192">
        <f>SUMIFS($Y:$Y,$W:$W,$AA192,$Z:$Z,AC$1)</f>
        <v>0</v>
      </c>
      <c r="AD192">
        <f>SUMIFS($Y:$Y,$W:$W,$AA192,$Z:$Z,AD$1)</f>
        <v>0</v>
      </c>
      <c r="AE192">
        <f>SUMIFS($Y:$Y,$W:$W,$AA192,$Z:$Z,AE$1)</f>
        <v>0</v>
      </c>
      <c r="AF192">
        <f>SUMIFS($Y:$Y,$W:$W,$AA192,$Z:$Z,AF$1)</f>
        <v>0</v>
      </c>
      <c r="AG192">
        <f>SUMIFS($Y:$Y,$W:$W,$AA192,$Z:$Z,AG$1)</f>
        <v>0</v>
      </c>
      <c r="AH192">
        <f>SUMIFS($Y:$Y,$W:$W,$AA192,$Z:$Z,AH$1)</f>
        <v>47710</v>
      </c>
      <c r="AI192">
        <f>SUMIFS($Y:$Y,$W:$W,$AA192,$Z:$Z,AI$1)</f>
        <v>11097</v>
      </c>
      <c r="AJ192">
        <f>SUMIFS($Y:$Y,$W:$W,$AA192,$Z:$Z,AJ$1)</f>
        <v>0</v>
      </c>
      <c r="AK192">
        <f>SUMIFS($Y:$Y,$W:$W,$AA192,$Z:$Z,AK$1)</f>
        <v>0</v>
      </c>
      <c r="AL192">
        <f>SUMIFS($Y:$Y,$W:$W,$AA192,$Z:$Z,AL$1)</f>
        <v>0</v>
      </c>
      <c r="AM192">
        <f>SUMIFS($Y:$Y,$W:$W,$AA192,$Z:$Z,AM$1)</f>
        <v>0</v>
      </c>
      <c r="AN192">
        <f>SUMIFS($Y:$Y,$W:$W,$AA192,$Z:$Z,AN$1)</f>
        <v>0</v>
      </c>
      <c r="AO192">
        <f>SUM(AB192:AN192)</f>
        <v>58807</v>
      </c>
      <c r="AP192" s="8">
        <f t="shared" si="34"/>
        <v>0.96464646464646464</v>
      </c>
      <c r="AQ192" s="8">
        <f t="shared" si="35"/>
        <v>1.0790956742625837E-3</v>
      </c>
      <c r="AR192" s="8">
        <f t="shared" si="39"/>
        <v>0.99507917545911839</v>
      </c>
      <c r="AS192" t="str">
        <f t="shared" si="36"/>
        <v>C</v>
      </c>
      <c r="AT192" s="8">
        <f t="shared" si="37"/>
        <v>2.8318840293805376</v>
      </c>
      <c r="AU192" t="str">
        <f t="shared" si="38"/>
        <v>Z</v>
      </c>
      <c r="AZ192" t="s">
        <v>228</v>
      </c>
      <c r="BA192" t="s">
        <v>478</v>
      </c>
      <c r="BB192" t="s">
        <v>472</v>
      </c>
      <c r="BC192">
        <v>0</v>
      </c>
      <c r="BD192">
        <v>0</v>
      </c>
      <c r="BE192">
        <v>0</v>
      </c>
      <c r="BF192">
        <v>16870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74443</v>
      </c>
      <c r="BN192">
        <v>0</v>
      </c>
      <c r="BO192">
        <v>0</v>
      </c>
    </row>
    <row r="193" spans="1:67" x14ac:dyDescent="0.25">
      <c r="A193" t="s">
        <v>20</v>
      </c>
      <c r="B193" t="s">
        <v>25</v>
      </c>
      <c r="C193" t="s">
        <v>176</v>
      </c>
      <c r="D193" s="7">
        <v>13269</v>
      </c>
      <c r="E193">
        <v>6</v>
      </c>
      <c r="W193" t="s">
        <v>25</v>
      </c>
      <c r="X193" s="11" t="s">
        <v>176</v>
      </c>
      <c r="Y193" s="7">
        <v>13269</v>
      </c>
      <c r="Z193" s="11" t="str">
        <f t="shared" si="32"/>
        <v>2023-11</v>
      </c>
      <c r="AA193" s="12" t="s">
        <v>373</v>
      </c>
      <c r="AB193">
        <f>SUMIFS($Y:$Y,$W:$W,$AA193,$Z:$Z,AB$1)</f>
        <v>0</v>
      </c>
      <c r="AC193">
        <f>SUMIFS($Y:$Y,$W:$W,$AA193,$Z:$Z,AC$1)</f>
        <v>0</v>
      </c>
      <c r="AD193">
        <f>SUMIFS($Y:$Y,$W:$W,$AA193,$Z:$Z,AD$1)</f>
        <v>0</v>
      </c>
      <c r="AE193">
        <f>SUMIFS($Y:$Y,$W:$W,$AA193,$Z:$Z,AE$1)</f>
        <v>0</v>
      </c>
      <c r="AF193">
        <f>SUMIFS($Y:$Y,$W:$W,$AA193,$Z:$Z,AF$1)</f>
        <v>0</v>
      </c>
      <c r="AG193">
        <f>SUMIFS($Y:$Y,$W:$W,$AA193,$Z:$Z,AG$1)</f>
        <v>0</v>
      </c>
      <c r="AH193">
        <f>SUMIFS($Y:$Y,$W:$W,$AA193,$Z:$Z,AH$1)</f>
        <v>0</v>
      </c>
      <c r="AI193">
        <f>SUMIFS($Y:$Y,$W:$W,$AA193,$Z:$Z,AI$1)</f>
        <v>0</v>
      </c>
      <c r="AJ193">
        <f>SUMIFS($Y:$Y,$W:$W,$AA193,$Z:$Z,AJ$1)</f>
        <v>55373</v>
      </c>
      <c r="AK193">
        <f>SUMIFS($Y:$Y,$W:$W,$AA193,$Z:$Z,AK$1)</f>
        <v>0</v>
      </c>
      <c r="AL193">
        <f>SUMIFS($Y:$Y,$W:$W,$AA193,$Z:$Z,AL$1)</f>
        <v>0</v>
      </c>
      <c r="AM193">
        <f>SUMIFS($Y:$Y,$W:$W,$AA193,$Z:$Z,AM$1)</f>
        <v>0</v>
      </c>
      <c r="AN193">
        <f>SUMIFS($Y:$Y,$W:$W,$AA193,$Z:$Z,AN$1)</f>
        <v>0</v>
      </c>
      <c r="AO193">
        <f>SUM(AB193:AN193)</f>
        <v>55373</v>
      </c>
      <c r="AP193" s="8">
        <f t="shared" si="34"/>
        <v>0.96969696969696972</v>
      </c>
      <c r="AQ193" s="8">
        <f t="shared" si="35"/>
        <v>1.0160825202942174E-3</v>
      </c>
      <c r="AR193" s="8">
        <f t="shared" si="39"/>
        <v>0.99609525797941256</v>
      </c>
      <c r="AS193" t="str">
        <f t="shared" si="36"/>
        <v>C</v>
      </c>
      <c r="AT193" s="8">
        <f t="shared" si="37"/>
        <v>3.4641016151377548</v>
      </c>
      <c r="AU193" t="str">
        <f t="shared" si="38"/>
        <v>Z</v>
      </c>
      <c r="AZ193" t="s">
        <v>269</v>
      </c>
      <c r="BA193" t="s">
        <v>471</v>
      </c>
      <c r="BB193" t="s">
        <v>472</v>
      </c>
      <c r="BC193">
        <v>0</v>
      </c>
      <c r="BD193">
        <v>0</v>
      </c>
      <c r="BE193">
        <v>0</v>
      </c>
      <c r="BF193">
        <v>0</v>
      </c>
      <c r="BG193">
        <v>80818</v>
      </c>
      <c r="BH193">
        <v>172145</v>
      </c>
      <c r="BI193">
        <v>71847</v>
      </c>
      <c r="BJ193">
        <v>0</v>
      </c>
      <c r="BK193">
        <v>99358</v>
      </c>
      <c r="BL193">
        <v>0</v>
      </c>
      <c r="BM193">
        <v>60677</v>
      </c>
      <c r="BN193">
        <v>0</v>
      </c>
      <c r="BO193">
        <v>0</v>
      </c>
    </row>
    <row r="194" spans="1:67" x14ac:dyDescent="0.25">
      <c r="A194" t="s">
        <v>36</v>
      </c>
      <c r="B194" t="s">
        <v>177</v>
      </c>
      <c r="C194" t="s">
        <v>178</v>
      </c>
      <c r="D194" s="7">
        <v>42281</v>
      </c>
      <c r="E194">
        <v>4</v>
      </c>
      <c r="W194" t="s">
        <v>177</v>
      </c>
      <c r="X194" s="11" t="s">
        <v>178</v>
      </c>
      <c r="Y194" s="7">
        <v>42281</v>
      </c>
      <c r="Z194" s="11" t="str">
        <f t="shared" si="32"/>
        <v>2023-11</v>
      </c>
      <c r="AA194" t="s">
        <v>361</v>
      </c>
      <c r="AB194">
        <f>SUMIFS($Y:$Y,$W:$W,$AA194,$Z:$Z,AB$1)</f>
        <v>0</v>
      </c>
      <c r="AC194">
        <f>SUMIFS($Y:$Y,$W:$W,$AA194,$Z:$Z,AC$1)</f>
        <v>0</v>
      </c>
      <c r="AD194">
        <f>SUMIFS($Y:$Y,$W:$W,$AA194,$Z:$Z,AD$1)</f>
        <v>0</v>
      </c>
      <c r="AE194">
        <f>SUMIFS($Y:$Y,$W:$W,$AA194,$Z:$Z,AE$1)</f>
        <v>0</v>
      </c>
      <c r="AF194">
        <f>SUMIFS($Y:$Y,$W:$W,$AA194,$Z:$Z,AF$1)</f>
        <v>0</v>
      </c>
      <c r="AG194">
        <f>SUMIFS($Y:$Y,$W:$W,$AA194,$Z:$Z,AG$1)</f>
        <v>0</v>
      </c>
      <c r="AH194">
        <f>SUMIFS($Y:$Y,$W:$W,$AA194,$Z:$Z,AH$1)</f>
        <v>0</v>
      </c>
      <c r="AI194">
        <f>SUMIFS($Y:$Y,$W:$W,$AA194,$Z:$Z,AI$1)</f>
        <v>51719</v>
      </c>
      <c r="AJ194">
        <f>SUMIFS($Y:$Y,$W:$W,$AA194,$Z:$Z,AJ$1)</f>
        <v>0</v>
      </c>
      <c r="AK194">
        <f>SUMIFS($Y:$Y,$W:$W,$AA194,$Z:$Z,AK$1)</f>
        <v>0</v>
      </c>
      <c r="AL194">
        <f>SUMIFS($Y:$Y,$W:$W,$AA194,$Z:$Z,AL$1)</f>
        <v>0</v>
      </c>
      <c r="AM194">
        <f>SUMIFS($Y:$Y,$W:$W,$AA194,$Z:$Z,AM$1)</f>
        <v>0</v>
      </c>
      <c r="AN194">
        <f>SUMIFS($Y:$Y,$W:$W,$AA194,$Z:$Z,AN$1)</f>
        <v>0</v>
      </c>
      <c r="AO194">
        <f>SUM(AB194:AN194)</f>
        <v>51719</v>
      </c>
      <c r="AP194" s="8">
        <f t="shared" ref="AP194:AP199" si="40">(ROW()-1) / 198</f>
        <v>0.9747474747474747</v>
      </c>
      <c r="AQ194" s="8">
        <f t="shared" ref="AQ194:AQ199" si="41">AO194/$AO$1</f>
        <v>9.4903241412053955E-4</v>
      </c>
      <c r="AR194" s="8">
        <f t="shared" si="39"/>
        <v>0.99704429039353315</v>
      </c>
      <c r="AS194" t="str">
        <f t="shared" ref="AS194:AS225" si="42">IF(AR194&lt;80%,"A",IF(AR194&lt;95.0000001%,"B","C"))</f>
        <v>C</v>
      </c>
      <c r="AT194" s="8">
        <f t="shared" ref="AT194:AT199" si="43">_xlfn.STDEV.P(AB194:AN194)/AVERAGE(AB194:AN194)</f>
        <v>3.4641016151377544</v>
      </c>
      <c r="AU194" t="str">
        <f t="shared" ref="AU194:AU225" si="44">IF(AT194&lt;10%,"X",IF(AT194&lt;25%,"Y","Z"))</f>
        <v>Z</v>
      </c>
      <c r="AZ194" t="s">
        <v>93</v>
      </c>
      <c r="BA194" t="s">
        <v>471</v>
      </c>
      <c r="BB194" t="s">
        <v>472</v>
      </c>
      <c r="BC194">
        <v>85174</v>
      </c>
      <c r="BD194">
        <v>0</v>
      </c>
      <c r="BE194">
        <v>45461</v>
      </c>
      <c r="BF194">
        <v>0</v>
      </c>
      <c r="BG194">
        <v>50818</v>
      </c>
      <c r="BH194">
        <v>0</v>
      </c>
      <c r="BI194">
        <v>78376</v>
      </c>
      <c r="BJ194">
        <v>19616</v>
      </c>
      <c r="BK194">
        <v>152256</v>
      </c>
      <c r="BL194">
        <v>0</v>
      </c>
      <c r="BM194">
        <v>0</v>
      </c>
      <c r="BN194">
        <v>95306</v>
      </c>
      <c r="BO194">
        <v>0</v>
      </c>
    </row>
    <row r="195" spans="1:67" x14ac:dyDescent="0.25">
      <c r="A195" t="s">
        <v>17</v>
      </c>
      <c r="B195" t="s">
        <v>100</v>
      </c>
      <c r="C195" t="s">
        <v>179</v>
      </c>
      <c r="D195" s="7">
        <v>24896</v>
      </c>
      <c r="E195">
        <v>7</v>
      </c>
      <c r="W195" t="s">
        <v>100</v>
      </c>
      <c r="X195" s="11" t="s">
        <v>179</v>
      </c>
      <c r="Y195" s="7">
        <v>24896</v>
      </c>
      <c r="Z195" s="11" t="str">
        <f t="shared" ref="Z195:Z258" si="45">MID(X195,1,4)&amp;"-"&amp;IF(MID(X195,6,1)*1=0,MID(X195,7,1),MID(X195,6,2))</f>
        <v>2023-11</v>
      </c>
      <c r="AA195" t="s">
        <v>384</v>
      </c>
      <c r="AB195">
        <f>SUMIFS($Y:$Y,$W:$W,$AA195,$Z:$Z,AB$1)</f>
        <v>0</v>
      </c>
      <c r="AC195">
        <f>SUMIFS($Y:$Y,$W:$W,$AA195,$Z:$Z,AC$1)</f>
        <v>0</v>
      </c>
      <c r="AD195">
        <f>SUMIFS($Y:$Y,$W:$W,$AA195,$Z:$Z,AD$1)</f>
        <v>0</v>
      </c>
      <c r="AE195">
        <f>SUMIFS($Y:$Y,$W:$W,$AA195,$Z:$Z,AE$1)</f>
        <v>0</v>
      </c>
      <c r="AF195">
        <f>SUMIFS($Y:$Y,$W:$W,$AA195,$Z:$Z,AF$1)</f>
        <v>0</v>
      </c>
      <c r="AG195">
        <f>SUMIFS($Y:$Y,$W:$W,$AA195,$Z:$Z,AG$1)</f>
        <v>0</v>
      </c>
      <c r="AH195">
        <f>SUMIFS($Y:$Y,$W:$W,$AA195,$Z:$Z,AH$1)</f>
        <v>0</v>
      </c>
      <c r="AI195">
        <f>SUMIFS($Y:$Y,$W:$W,$AA195,$Z:$Z,AI$1)</f>
        <v>0</v>
      </c>
      <c r="AJ195">
        <f>SUMIFS($Y:$Y,$W:$W,$AA195,$Z:$Z,AJ$1)</f>
        <v>46574</v>
      </c>
      <c r="AK195">
        <f>SUMIFS($Y:$Y,$W:$W,$AA195,$Z:$Z,AK$1)</f>
        <v>0</v>
      </c>
      <c r="AL195">
        <f>SUMIFS($Y:$Y,$W:$W,$AA195,$Z:$Z,AL$1)</f>
        <v>0</v>
      </c>
      <c r="AM195">
        <f>SUMIFS($Y:$Y,$W:$W,$AA195,$Z:$Z,AM$1)</f>
        <v>0</v>
      </c>
      <c r="AN195">
        <f>SUMIFS($Y:$Y,$W:$W,$AA195,$Z:$Z,AN$1)</f>
        <v>0</v>
      </c>
      <c r="AO195">
        <f>SUM(AB195:AN195)</f>
        <v>46574</v>
      </c>
      <c r="AP195" s="8">
        <f t="shared" si="40"/>
        <v>0.97979797979797978</v>
      </c>
      <c r="AQ195" s="8">
        <f t="shared" si="41"/>
        <v>8.5462278186449869E-4</v>
      </c>
      <c r="AR195" s="8">
        <f t="shared" ref="AR195:AR226" si="46">AR194+AQ195</f>
        <v>0.99789891317539769</v>
      </c>
      <c r="AS195" t="str">
        <f t="shared" si="42"/>
        <v>C</v>
      </c>
      <c r="AT195" s="8">
        <f t="shared" si="43"/>
        <v>3.4641016151377544</v>
      </c>
      <c r="AU195" t="str">
        <f t="shared" si="44"/>
        <v>Z</v>
      </c>
      <c r="AZ195" t="s">
        <v>34</v>
      </c>
      <c r="BA195" t="s">
        <v>471</v>
      </c>
      <c r="BB195" t="s">
        <v>472</v>
      </c>
      <c r="BC195">
        <v>113274</v>
      </c>
      <c r="BD195">
        <v>0</v>
      </c>
      <c r="BE195">
        <v>91657</v>
      </c>
      <c r="BF195">
        <v>0</v>
      </c>
      <c r="BG195">
        <v>0</v>
      </c>
      <c r="BH195">
        <v>38983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77976</v>
      </c>
      <c r="BO195">
        <v>0</v>
      </c>
    </row>
    <row r="196" spans="1:67" x14ac:dyDescent="0.25">
      <c r="A196" t="s">
        <v>10</v>
      </c>
      <c r="B196" t="s">
        <v>180</v>
      </c>
      <c r="C196" t="s">
        <v>179</v>
      </c>
      <c r="D196" s="7">
        <v>33773</v>
      </c>
      <c r="E196">
        <v>8</v>
      </c>
      <c r="W196" t="s">
        <v>180</v>
      </c>
      <c r="X196" s="11" t="s">
        <v>179</v>
      </c>
      <c r="Y196" s="7">
        <v>33773</v>
      </c>
      <c r="Z196" s="11" t="str">
        <f t="shared" si="45"/>
        <v>2023-11</v>
      </c>
      <c r="AA196" t="s">
        <v>175</v>
      </c>
      <c r="AB196">
        <f>SUMIFS($Y:$Y,$W:$W,$AA196,$Z:$Z,AB$1)</f>
        <v>0</v>
      </c>
      <c r="AC196">
        <f>SUMIFS($Y:$Y,$W:$W,$AA196,$Z:$Z,AC$1)</f>
        <v>0</v>
      </c>
      <c r="AD196">
        <f>SUMIFS($Y:$Y,$W:$W,$AA196,$Z:$Z,AD$1)</f>
        <v>45774</v>
      </c>
      <c r="AE196">
        <f>SUMIFS($Y:$Y,$W:$W,$AA196,$Z:$Z,AE$1)</f>
        <v>0</v>
      </c>
      <c r="AF196">
        <f>SUMIFS($Y:$Y,$W:$W,$AA196,$Z:$Z,AF$1)</f>
        <v>0</v>
      </c>
      <c r="AG196">
        <f>SUMIFS($Y:$Y,$W:$W,$AA196,$Z:$Z,AG$1)</f>
        <v>0</v>
      </c>
      <c r="AH196">
        <f>SUMIFS($Y:$Y,$W:$W,$AA196,$Z:$Z,AH$1)</f>
        <v>0</v>
      </c>
      <c r="AI196">
        <f>SUMIFS($Y:$Y,$W:$W,$AA196,$Z:$Z,AI$1)</f>
        <v>0</v>
      </c>
      <c r="AJ196">
        <f>SUMIFS($Y:$Y,$W:$W,$AA196,$Z:$Z,AJ$1)</f>
        <v>0</v>
      </c>
      <c r="AK196">
        <f>SUMIFS($Y:$Y,$W:$W,$AA196,$Z:$Z,AK$1)</f>
        <v>0</v>
      </c>
      <c r="AL196">
        <f>SUMIFS($Y:$Y,$W:$W,$AA196,$Z:$Z,AL$1)</f>
        <v>0</v>
      </c>
      <c r="AM196">
        <f>SUMIFS($Y:$Y,$W:$W,$AA196,$Z:$Z,AM$1)</f>
        <v>0</v>
      </c>
      <c r="AN196">
        <f>SUMIFS($Y:$Y,$W:$W,$AA196,$Z:$Z,AN$1)</f>
        <v>0</v>
      </c>
      <c r="AO196">
        <f>SUM(AB196:AN196)</f>
        <v>45774</v>
      </c>
      <c r="AP196" s="8">
        <f t="shared" si="40"/>
        <v>0.98484848484848486</v>
      </c>
      <c r="AQ196" s="8">
        <f t="shared" si="41"/>
        <v>8.3994295566336506E-4</v>
      </c>
      <c r="AR196" s="8">
        <f t="shared" si="46"/>
        <v>0.99873885613106106</v>
      </c>
      <c r="AS196" t="str">
        <f t="shared" si="42"/>
        <v>C</v>
      </c>
      <c r="AT196" s="8">
        <f t="shared" si="43"/>
        <v>3.4641016151377548</v>
      </c>
      <c r="AU196" t="str">
        <f t="shared" si="44"/>
        <v>Z</v>
      </c>
      <c r="AZ196" t="s">
        <v>184</v>
      </c>
      <c r="BA196" t="s">
        <v>471</v>
      </c>
      <c r="BB196" t="s">
        <v>472</v>
      </c>
      <c r="BC196">
        <v>0</v>
      </c>
      <c r="BD196">
        <v>0</v>
      </c>
      <c r="BE196">
        <v>97546</v>
      </c>
      <c r="BF196">
        <v>57058</v>
      </c>
      <c r="BG196">
        <v>25423</v>
      </c>
      <c r="BH196">
        <v>0</v>
      </c>
      <c r="BI196">
        <v>0</v>
      </c>
      <c r="BJ196">
        <v>0</v>
      </c>
      <c r="BK196">
        <v>0</v>
      </c>
      <c r="BL196">
        <v>42334</v>
      </c>
      <c r="BM196">
        <v>121051</v>
      </c>
      <c r="BN196">
        <v>32967</v>
      </c>
      <c r="BO196">
        <v>0</v>
      </c>
    </row>
    <row r="197" spans="1:67" x14ac:dyDescent="0.25">
      <c r="A197" t="s">
        <v>36</v>
      </c>
      <c r="B197" t="s">
        <v>110</v>
      </c>
      <c r="C197" t="s">
        <v>179</v>
      </c>
      <c r="D197" s="7">
        <v>38128</v>
      </c>
      <c r="E197">
        <v>9</v>
      </c>
      <c r="W197" t="s">
        <v>110</v>
      </c>
      <c r="X197" s="11" t="s">
        <v>179</v>
      </c>
      <c r="Y197" s="7">
        <v>38128</v>
      </c>
      <c r="Z197" s="11" t="str">
        <f t="shared" si="45"/>
        <v>2023-11</v>
      </c>
      <c r="AA197" t="s">
        <v>445</v>
      </c>
      <c r="AB197">
        <f>SUMIFS($Y:$Y,$W:$W,$AA197,$Z:$Z,AB$1)</f>
        <v>0</v>
      </c>
      <c r="AC197">
        <f>SUMIFS($Y:$Y,$W:$W,$AA197,$Z:$Z,AC$1)</f>
        <v>0</v>
      </c>
      <c r="AD197">
        <f>SUMIFS($Y:$Y,$W:$W,$AA197,$Z:$Z,AD$1)</f>
        <v>0</v>
      </c>
      <c r="AE197">
        <f>SUMIFS($Y:$Y,$W:$W,$AA197,$Z:$Z,AE$1)</f>
        <v>0</v>
      </c>
      <c r="AF197">
        <f>SUMIFS($Y:$Y,$W:$W,$AA197,$Z:$Z,AF$1)</f>
        <v>0</v>
      </c>
      <c r="AG197">
        <f>SUMIFS($Y:$Y,$W:$W,$AA197,$Z:$Z,AG$1)</f>
        <v>0</v>
      </c>
      <c r="AH197">
        <f>SUMIFS($Y:$Y,$W:$W,$AA197,$Z:$Z,AH$1)</f>
        <v>0</v>
      </c>
      <c r="AI197">
        <f>SUMIFS($Y:$Y,$W:$W,$AA197,$Z:$Z,AI$1)</f>
        <v>0</v>
      </c>
      <c r="AJ197">
        <f>SUMIFS($Y:$Y,$W:$W,$AA197,$Z:$Z,AJ$1)</f>
        <v>0</v>
      </c>
      <c r="AK197">
        <f>SUMIFS($Y:$Y,$W:$W,$AA197,$Z:$Z,AK$1)</f>
        <v>0</v>
      </c>
      <c r="AL197">
        <f>SUMIFS($Y:$Y,$W:$W,$AA197,$Z:$Z,AL$1)</f>
        <v>0</v>
      </c>
      <c r="AM197">
        <f>SUMIFS($Y:$Y,$W:$W,$AA197,$Z:$Z,AM$1)</f>
        <v>42749</v>
      </c>
      <c r="AN197">
        <f>SUMIFS($Y:$Y,$W:$W,$AA197,$Z:$Z,AN$1)</f>
        <v>0</v>
      </c>
      <c r="AO197">
        <f>SUM(AB197:AN197)</f>
        <v>42749</v>
      </c>
      <c r="AP197" s="8">
        <f t="shared" si="40"/>
        <v>0.98989898989898994</v>
      </c>
      <c r="AQ197" s="8">
        <f t="shared" si="41"/>
        <v>7.8443486284032835E-4</v>
      </c>
      <c r="AR197" s="8">
        <f t="shared" si="46"/>
        <v>0.99952329099390136</v>
      </c>
      <c r="AS197" t="str">
        <f t="shared" si="42"/>
        <v>C</v>
      </c>
      <c r="AT197" s="8">
        <f t="shared" si="43"/>
        <v>3.4641016151377548</v>
      </c>
      <c r="AU197" t="str">
        <f t="shared" si="44"/>
        <v>Z</v>
      </c>
      <c r="AZ197" t="s">
        <v>206</v>
      </c>
      <c r="BA197" t="s">
        <v>478</v>
      </c>
      <c r="BB197" t="s">
        <v>472</v>
      </c>
      <c r="BC197">
        <v>0</v>
      </c>
      <c r="BD197">
        <v>0</v>
      </c>
      <c r="BE197">
        <v>53006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32465</v>
      </c>
      <c r="BO197">
        <v>0</v>
      </c>
    </row>
    <row r="198" spans="1:67" x14ac:dyDescent="0.25">
      <c r="A198" t="s">
        <v>33</v>
      </c>
      <c r="B198" t="s">
        <v>161</v>
      </c>
      <c r="C198" t="s">
        <v>179</v>
      </c>
      <c r="D198" s="7">
        <v>21124</v>
      </c>
      <c r="E198">
        <v>5</v>
      </c>
      <c r="W198" t="s">
        <v>161</v>
      </c>
      <c r="X198" s="11" t="s">
        <v>179</v>
      </c>
      <c r="Y198" s="7">
        <v>21124</v>
      </c>
      <c r="Z198" s="11" t="str">
        <f t="shared" si="45"/>
        <v>2023-11</v>
      </c>
      <c r="AA198" t="s">
        <v>297</v>
      </c>
      <c r="AB198">
        <f>SUMIFS($Y:$Y,$W:$W,$AA198,$Z:$Z,AB$1)</f>
        <v>0</v>
      </c>
      <c r="AC198">
        <f>SUMIFS($Y:$Y,$W:$W,$AA198,$Z:$Z,AC$1)</f>
        <v>0</v>
      </c>
      <c r="AD198">
        <f>SUMIFS($Y:$Y,$W:$W,$AA198,$Z:$Z,AD$1)</f>
        <v>0</v>
      </c>
      <c r="AE198">
        <f>SUMIFS($Y:$Y,$W:$W,$AA198,$Z:$Z,AE$1)</f>
        <v>0</v>
      </c>
      <c r="AF198">
        <f>SUMIFS($Y:$Y,$W:$W,$AA198,$Z:$Z,AF$1)</f>
        <v>0</v>
      </c>
      <c r="AG198">
        <f>SUMIFS($Y:$Y,$W:$W,$AA198,$Z:$Z,AG$1)</f>
        <v>15953</v>
      </c>
      <c r="AH198">
        <f>SUMIFS($Y:$Y,$W:$W,$AA198,$Z:$Z,AH$1)</f>
        <v>0</v>
      </c>
      <c r="AI198">
        <f>SUMIFS($Y:$Y,$W:$W,$AA198,$Z:$Z,AI$1)</f>
        <v>0</v>
      </c>
      <c r="AJ198">
        <f>SUMIFS($Y:$Y,$W:$W,$AA198,$Z:$Z,AJ$1)</f>
        <v>0</v>
      </c>
      <c r="AK198">
        <f>SUMIFS($Y:$Y,$W:$W,$AA198,$Z:$Z,AK$1)</f>
        <v>0</v>
      </c>
      <c r="AL198">
        <f>SUMIFS($Y:$Y,$W:$W,$AA198,$Z:$Z,AL$1)</f>
        <v>0</v>
      </c>
      <c r="AM198">
        <f>SUMIFS($Y:$Y,$W:$W,$AA198,$Z:$Z,AM$1)</f>
        <v>0</v>
      </c>
      <c r="AN198">
        <f>SUMIFS($Y:$Y,$W:$W,$AA198,$Z:$Z,AN$1)</f>
        <v>0</v>
      </c>
      <c r="AO198">
        <f>SUM(AB198:AN198)</f>
        <v>15953</v>
      </c>
      <c r="AP198" s="8">
        <f t="shared" si="40"/>
        <v>0.99494949494949492</v>
      </c>
      <c r="AQ198" s="8">
        <f t="shared" si="41"/>
        <v>2.9273408423335652E-4</v>
      </c>
      <c r="AR198" s="8">
        <f t="shared" si="46"/>
        <v>0.99981602507813472</v>
      </c>
      <c r="AS198" t="str">
        <f t="shared" si="42"/>
        <v>C</v>
      </c>
      <c r="AT198" s="8">
        <f t="shared" si="43"/>
        <v>3.4641016151377544</v>
      </c>
      <c r="AU198" t="str">
        <f t="shared" si="44"/>
        <v>Z</v>
      </c>
      <c r="AZ198" t="s">
        <v>361</v>
      </c>
      <c r="BA198" t="s">
        <v>478</v>
      </c>
      <c r="BB198" t="s">
        <v>472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51719</v>
      </c>
      <c r="BK198">
        <v>0</v>
      </c>
      <c r="BL198">
        <v>0</v>
      </c>
      <c r="BM198">
        <v>0</v>
      </c>
      <c r="BN198">
        <v>0</v>
      </c>
      <c r="BO198">
        <v>0</v>
      </c>
    </row>
    <row r="199" spans="1:67" x14ac:dyDescent="0.25">
      <c r="A199" t="s">
        <v>14</v>
      </c>
      <c r="B199" t="s">
        <v>72</v>
      </c>
      <c r="C199" t="s">
        <v>179</v>
      </c>
      <c r="D199" s="7">
        <v>18274</v>
      </c>
      <c r="E199">
        <v>4</v>
      </c>
      <c r="W199" t="s">
        <v>72</v>
      </c>
      <c r="X199" s="11" t="s">
        <v>179</v>
      </c>
      <c r="Y199" s="7">
        <v>18274</v>
      </c>
      <c r="Z199" s="11" t="str">
        <f t="shared" si="45"/>
        <v>2023-11</v>
      </c>
      <c r="AA199" t="s">
        <v>193</v>
      </c>
      <c r="AB199">
        <f>SUMIFS($Y:$Y,$W:$W,$AA199,$Z:$Z,AB$1)</f>
        <v>0</v>
      </c>
      <c r="AC199">
        <f>SUMIFS($Y:$Y,$W:$W,$AA199,$Z:$Z,AC$1)</f>
        <v>0</v>
      </c>
      <c r="AD199">
        <f>SUMIFS($Y:$Y,$W:$W,$AA199,$Z:$Z,AD$1)</f>
        <v>10026</v>
      </c>
      <c r="AE199">
        <f>SUMIFS($Y:$Y,$W:$W,$AA199,$Z:$Z,AE$1)</f>
        <v>0</v>
      </c>
      <c r="AF199">
        <f>SUMIFS($Y:$Y,$W:$W,$AA199,$Z:$Z,AF$1)</f>
        <v>0</v>
      </c>
      <c r="AG199">
        <f>SUMIFS($Y:$Y,$W:$W,$AA199,$Z:$Z,AG$1)</f>
        <v>0</v>
      </c>
      <c r="AH199">
        <f>SUMIFS($Y:$Y,$W:$W,$AA199,$Z:$Z,AH$1)</f>
        <v>0</v>
      </c>
      <c r="AI199">
        <f>SUMIFS($Y:$Y,$W:$W,$AA199,$Z:$Z,AI$1)</f>
        <v>0</v>
      </c>
      <c r="AJ199">
        <f>SUMIFS($Y:$Y,$W:$W,$AA199,$Z:$Z,AJ$1)</f>
        <v>0</v>
      </c>
      <c r="AK199">
        <f>SUMIFS($Y:$Y,$W:$W,$AA199,$Z:$Z,AK$1)</f>
        <v>0</v>
      </c>
      <c r="AL199">
        <f>SUMIFS($Y:$Y,$W:$W,$AA199,$Z:$Z,AL$1)</f>
        <v>0</v>
      </c>
      <c r="AM199">
        <f>SUMIFS($Y:$Y,$W:$W,$AA199,$Z:$Z,AM$1)</f>
        <v>0</v>
      </c>
      <c r="AN199">
        <f>SUMIFS($Y:$Y,$W:$W,$AA199,$Z:$Z,AN$1)</f>
        <v>0</v>
      </c>
      <c r="AO199">
        <f>SUM(AB199:AN199)</f>
        <v>10026</v>
      </c>
      <c r="AP199" s="8">
        <f t="shared" si="40"/>
        <v>1</v>
      </c>
      <c r="AQ199" s="8">
        <f t="shared" si="41"/>
        <v>1.8397492186570755E-4</v>
      </c>
      <c r="AR199" s="8">
        <f t="shared" si="46"/>
        <v>1.0000000000000004</v>
      </c>
      <c r="AS199" t="str">
        <f t="shared" si="42"/>
        <v>C</v>
      </c>
      <c r="AT199" s="8">
        <f t="shared" si="43"/>
        <v>3.4641016151377544</v>
      </c>
      <c r="AU199" t="str">
        <f t="shared" si="44"/>
        <v>Z</v>
      </c>
      <c r="AZ199" t="s">
        <v>256</v>
      </c>
      <c r="BA199" t="s">
        <v>471</v>
      </c>
      <c r="BB199" t="s">
        <v>472</v>
      </c>
      <c r="BC199">
        <v>0</v>
      </c>
      <c r="BD199">
        <v>0</v>
      </c>
      <c r="BE199">
        <v>0</v>
      </c>
      <c r="BF199">
        <v>0</v>
      </c>
      <c r="BG199">
        <v>158156</v>
      </c>
      <c r="BH199">
        <v>0</v>
      </c>
      <c r="BI199">
        <v>96841</v>
      </c>
      <c r="BJ199">
        <v>94063</v>
      </c>
      <c r="BK199">
        <v>45301</v>
      </c>
      <c r="BL199">
        <v>32971</v>
      </c>
      <c r="BM199">
        <v>0</v>
      </c>
      <c r="BN199">
        <v>0</v>
      </c>
      <c r="BO199">
        <v>0</v>
      </c>
    </row>
    <row r="200" spans="1:67" x14ac:dyDescent="0.25">
      <c r="A200" t="s">
        <v>27</v>
      </c>
      <c r="B200" t="s">
        <v>181</v>
      </c>
      <c r="C200" t="s">
        <v>179</v>
      </c>
      <c r="D200" s="7">
        <v>92257</v>
      </c>
      <c r="E200">
        <v>6</v>
      </c>
      <c r="W200" t="s">
        <v>181</v>
      </c>
      <c r="X200" s="11" t="s">
        <v>179</v>
      </c>
      <c r="Y200" s="7">
        <v>92257</v>
      </c>
      <c r="Z200" s="11" t="str">
        <f t="shared" si="45"/>
        <v>2023-11</v>
      </c>
      <c r="AP200" s="8"/>
      <c r="AQ200" s="8"/>
      <c r="AR200" s="8"/>
      <c r="AT200" s="8"/>
    </row>
    <row r="201" spans="1:67" x14ac:dyDescent="0.25">
      <c r="A201" t="s">
        <v>32</v>
      </c>
      <c r="B201" t="s">
        <v>182</v>
      </c>
      <c r="C201" t="s">
        <v>179</v>
      </c>
      <c r="D201" s="7">
        <v>65278</v>
      </c>
      <c r="E201">
        <v>6</v>
      </c>
      <c r="W201" t="s">
        <v>182</v>
      </c>
      <c r="X201" s="11" t="s">
        <v>179</v>
      </c>
      <c r="Y201" s="7">
        <v>65278</v>
      </c>
      <c r="Z201" s="11" t="str">
        <f t="shared" si="45"/>
        <v>2023-11</v>
      </c>
      <c r="AP201" s="8"/>
      <c r="AQ201" s="8"/>
      <c r="AR201" s="8"/>
      <c r="AT201" s="8"/>
    </row>
    <row r="202" spans="1:67" x14ac:dyDescent="0.25">
      <c r="A202" t="s">
        <v>27</v>
      </c>
      <c r="B202" t="s">
        <v>89</v>
      </c>
      <c r="C202" t="s">
        <v>179</v>
      </c>
      <c r="D202" s="7">
        <v>81908</v>
      </c>
      <c r="E202">
        <v>8</v>
      </c>
      <c r="W202" t="s">
        <v>89</v>
      </c>
      <c r="X202" s="11" t="s">
        <v>179</v>
      </c>
      <c r="Y202" s="7">
        <v>81908</v>
      </c>
      <c r="Z202" s="11" t="str">
        <f t="shared" si="45"/>
        <v>2023-11</v>
      </c>
      <c r="AP202" s="8"/>
      <c r="AQ202" s="8"/>
      <c r="AR202" s="8"/>
      <c r="AT202" s="8"/>
    </row>
    <row r="203" spans="1:67" x14ac:dyDescent="0.25">
      <c r="A203" t="s">
        <v>17</v>
      </c>
      <c r="B203" t="s">
        <v>183</v>
      </c>
      <c r="C203" t="s">
        <v>179</v>
      </c>
      <c r="D203" s="7">
        <v>18479</v>
      </c>
      <c r="E203">
        <v>7</v>
      </c>
      <c r="W203" t="s">
        <v>183</v>
      </c>
      <c r="X203" s="11" t="s">
        <v>179</v>
      </c>
      <c r="Y203" s="7">
        <v>18479</v>
      </c>
      <c r="Z203" s="11" t="str">
        <f t="shared" si="45"/>
        <v>2023-11</v>
      </c>
      <c r="AP203" s="8"/>
      <c r="AQ203" s="8"/>
      <c r="AR203" s="8"/>
      <c r="AT203" s="8"/>
    </row>
    <row r="204" spans="1:67" x14ac:dyDescent="0.25">
      <c r="A204" t="s">
        <v>32</v>
      </c>
      <c r="B204" t="s">
        <v>184</v>
      </c>
      <c r="C204" t="s">
        <v>185</v>
      </c>
      <c r="D204" s="7">
        <v>97546</v>
      </c>
      <c r="E204">
        <v>7</v>
      </c>
      <c r="W204" t="s">
        <v>184</v>
      </c>
      <c r="X204" s="11" t="s">
        <v>185</v>
      </c>
      <c r="Y204" s="7">
        <v>97546</v>
      </c>
      <c r="Z204" s="11" t="str">
        <f t="shared" si="45"/>
        <v>2023-11</v>
      </c>
      <c r="AP204" s="8"/>
      <c r="AQ204" s="8"/>
      <c r="AR204" s="8"/>
      <c r="AT204" s="8"/>
    </row>
    <row r="205" spans="1:67" x14ac:dyDescent="0.25">
      <c r="A205" t="s">
        <v>5</v>
      </c>
      <c r="B205" t="s">
        <v>186</v>
      </c>
      <c r="C205" t="s">
        <v>187</v>
      </c>
      <c r="D205" s="7">
        <v>72508</v>
      </c>
      <c r="E205">
        <v>5</v>
      </c>
      <c r="W205" t="s">
        <v>186</v>
      </c>
      <c r="X205" s="11" t="s">
        <v>187</v>
      </c>
      <c r="Y205" s="7">
        <v>72508</v>
      </c>
      <c r="Z205" s="11" t="str">
        <f t="shared" si="45"/>
        <v>2023-11</v>
      </c>
      <c r="AP205" s="8"/>
      <c r="AQ205" s="8"/>
      <c r="AR205" s="8"/>
      <c r="AT205" s="8"/>
    </row>
    <row r="206" spans="1:67" x14ac:dyDescent="0.25">
      <c r="A206" t="s">
        <v>32</v>
      </c>
      <c r="B206" t="s">
        <v>188</v>
      </c>
      <c r="C206" t="s">
        <v>189</v>
      </c>
      <c r="D206" s="7">
        <v>82828</v>
      </c>
      <c r="E206">
        <v>2</v>
      </c>
      <c r="W206" t="s">
        <v>188</v>
      </c>
      <c r="X206" s="11" t="s">
        <v>189</v>
      </c>
      <c r="Y206" s="7">
        <v>82828</v>
      </c>
      <c r="Z206" s="11" t="str">
        <f t="shared" si="45"/>
        <v>2023-11</v>
      </c>
      <c r="AP206" s="8"/>
      <c r="AQ206" s="8"/>
      <c r="AR206" s="8"/>
      <c r="AT206" s="8"/>
    </row>
    <row r="207" spans="1:67" x14ac:dyDescent="0.25">
      <c r="A207" t="s">
        <v>33</v>
      </c>
      <c r="B207" t="s">
        <v>190</v>
      </c>
      <c r="C207" t="s">
        <v>189</v>
      </c>
      <c r="D207" s="7">
        <v>28924</v>
      </c>
      <c r="E207">
        <v>8</v>
      </c>
      <c r="W207" t="s">
        <v>190</v>
      </c>
      <c r="X207" s="11" t="s">
        <v>189</v>
      </c>
      <c r="Y207" s="7">
        <v>28924</v>
      </c>
      <c r="Z207" s="11" t="str">
        <f t="shared" si="45"/>
        <v>2023-11</v>
      </c>
      <c r="AP207" s="8"/>
      <c r="AQ207" s="8"/>
      <c r="AR207" s="8"/>
      <c r="AT207" s="8"/>
    </row>
    <row r="208" spans="1:67" x14ac:dyDescent="0.25">
      <c r="A208" t="s">
        <v>36</v>
      </c>
      <c r="B208" t="s">
        <v>191</v>
      </c>
      <c r="C208" t="s">
        <v>189</v>
      </c>
      <c r="D208" s="7">
        <v>81688</v>
      </c>
      <c r="E208">
        <v>9</v>
      </c>
      <c r="W208" t="s">
        <v>191</v>
      </c>
      <c r="X208" s="11" t="s">
        <v>189</v>
      </c>
      <c r="Y208" s="7">
        <v>81688</v>
      </c>
      <c r="Z208" s="11" t="str">
        <f t="shared" si="45"/>
        <v>2023-11</v>
      </c>
      <c r="AP208" s="8"/>
      <c r="AQ208" s="8"/>
      <c r="AR208" s="8"/>
      <c r="AT208" s="8"/>
    </row>
    <row r="209" spans="1:46" x14ac:dyDescent="0.25">
      <c r="A209" t="s">
        <v>20</v>
      </c>
      <c r="B209" t="s">
        <v>93</v>
      </c>
      <c r="C209" t="s">
        <v>192</v>
      </c>
      <c r="D209" s="7">
        <v>45461</v>
      </c>
      <c r="E209">
        <v>5</v>
      </c>
      <c r="W209" t="s">
        <v>93</v>
      </c>
      <c r="X209" s="11" t="s">
        <v>192</v>
      </c>
      <c r="Y209" s="7">
        <v>45461</v>
      </c>
      <c r="Z209" s="11" t="str">
        <f t="shared" si="45"/>
        <v>2023-11</v>
      </c>
      <c r="AP209" s="8"/>
      <c r="AQ209" s="8"/>
      <c r="AR209" s="8"/>
      <c r="AT209" s="8"/>
    </row>
    <row r="210" spans="1:46" x14ac:dyDescent="0.25">
      <c r="A210" t="s">
        <v>27</v>
      </c>
      <c r="B210" t="s">
        <v>51</v>
      </c>
      <c r="C210" t="s">
        <v>192</v>
      </c>
      <c r="D210" s="7">
        <v>80382</v>
      </c>
      <c r="E210">
        <v>8</v>
      </c>
      <c r="W210" t="s">
        <v>51</v>
      </c>
      <c r="X210" s="11" t="s">
        <v>192</v>
      </c>
      <c r="Y210" s="7">
        <v>80382</v>
      </c>
      <c r="Z210" s="11" t="str">
        <f t="shared" si="45"/>
        <v>2023-11</v>
      </c>
      <c r="AP210" s="8"/>
      <c r="AQ210" s="8"/>
      <c r="AR210" s="8"/>
      <c r="AT210" s="8"/>
    </row>
    <row r="211" spans="1:46" x14ac:dyDescent="0.25">
      <c r="A211" t="s">
        <v>14</v>
      </c>
      <c r="B211" t="s">
        <v>21</v>
      </c>
      <c r="C211" t="s">
        <v>192</v>
      </c>
      <c r="D211" s="7">
        <v>15568</v>
      </c>
      <c r="E211">
        <v>3</v>
      </c>
      <c r="W211" t="s">
        <v>21</v>
      </c>
      <c r="X211" s="11" t="s">
        <v>192</v>
      </c>
      <c r="Y211" s="7">
        <v>15568</v>
      </c>
      <c r="Z211" s="11" t="str">
        <f t="shared" si="45"/>
        <v>2023-11</v>
      </c>
      <c r="AP211" s="8"/>
      <c r="AQ211" s="8"/>
      <c r="AR211" s="8"/>
      <c r="AT211" s="8"/>
    </row>
    <row r="212" spans="1:46" x14ac:dyDescent="0.25">
      <c r="A212" t="s">
        <v>14</v>
      </c>
      <c r="B212" t="s">
        <v>110</v>
      </c>
      <c r="C212" t="s">
        <v>192</v>
      </c>
      <c r="D212" s="7">
        <v>84605</v>
      </c>
      <c r="E212">
        <v>7</v>
      </c>
      <c r="W212" t="s">
        <v>110</v>
      </c>
      <c r="X212" s="11" t="s">
        <v>192</v>
      </c>
      <c r="Y212" s="7">
        <v>84605</v>
      </c>
      <c r="Z212" s="11" t="str">
        <f t="shared" si="45"/>
        <v>2023-11</v>
      </c>
      <c r="AP212" s="8"/>
      <c r="AQ212" s="8"/>
      <c r="AR212" s="8"/>
      <c r="AT212" s="8"/>
    </row>
    <row r="213" spans="1:46" x14ac:dyDescent="0.25">
      <c r="A213" t="s">
        <v>12</v>
      </c>
      <c r="B213" t="s">
        <v>193</v>
      </c>
      <c r="C213" t="s">
        <v>194</v>
      </c>
      <c r="D213" s="7">
        <v>10026</v>
      </c>
      <c r="E213">
        <v>2</v>
      </c>
      <c r="W213" t="s">
        <v>193</v>
      </c>
      <c r="X213" s="11" t="s">
        <v>194</v>
      </c>
      <c r="Y213" s="7">
        <v>10026</v>
      </c>
      <c r="Z213" s="11" t="str">
        <f t="shared" si="45"/>
        <v>2023-11</v>
      </c>
      <c r="AP213" s="8"/>
      <c r="AQ213" s="8"/>
      <c r="AR213" s="8"/>
      <c r="AT213" s="8"/>
    </row>
    <row r="214" spans="1:46" x14ac:dyDescent="0.25">
      <c r="A214" t="s">
        <v>23</v>
      </c>
      <c r="B214" t="s">
        <v>195</v>
      </c>
      <c r="C214" t="s">
        <v>194</v>
      </c>
      <c r="D214" s="7">
        <v>69567</v>
      </c>
      <c r="E214">
        <v>5</v>
      </c>
      <c r="W214" t="s">
        <v>195</v>
      </c>
      <c r="X214" s="11" t="s">
        <v>194</v>
      </c>
      <c r="Y214" s="7">
        <v>69567</v>
      </c>
      <c r="Z214" s="11" t="str">
        <f t="shared" si="45"/>
        <v>2023-11</v>
      </c>
      <c r="AP214" s="8"/>
      <c r="AQ214" s="8"/>
      <c r="AR214" s="8"/>
      <c r="AT214" s="8"/>
    </row>
    <row r="215" spans="1:46" x14ac:dyDescent="0.25">
      <c r="A215" t="s">
        <v>12</v>
      </c>
      <c r="B215" t="s">
        <v>196</v>
      </c>
      <c r="C215" t="s">
        <v>194</v>
      </c>
      <c r="D215" s="7">
        <v>97118</v>
      </c>
      <c r="E215">
        <v>5</v>
      </c>
      <c r="W215" t="s">
        <v>196</v>
      </c>
      <c r="X215" s="11" t="s">
        <v>194</v>
      </c>
      <c r="Y215" s="7">
        <v>97118</v>
      </c>
      <c r="Z215" s="11" t="str">
        <f t="shared" si="45"/>
        <v>2023-11</v>
      </c>
      <c r="AP215" s="8"/>
      <c r="AQ215" s="8"/>
      <c r="AR215" s="8"/>
      <c r="AT215" s="8"/>
    </row>
    <row r="216" spans="1:46" x14ac:dyDescent="0.25">
      <c r="A216" t="s">
        <v>32</v>
      </c>
      <c r="B216" t="s">
        <v>89</v>
      </c>
      <c r="C216" t="s">
        <v>194</v>
      </c>
      <c r="D216" s="7">
        <v>76588</v>
      </c>
      <c r="E216">
        <v>8</v>
      </c>
      <c r="W216" t="s">
        <v>89</v>
      </c>
      <c r="X216" s="11" t="s">
        <v>194</v>
      </c>
      <c r="Y216" s="7">
        <v>76588</v>
      </c>
      <c r="Z216" s="11" t="str">
        <f t="shared" si="45"/>
        <v>2023-11</v>
      </c>
      <c r="AP216" s="8"/>
      <c r="AQ216" s="8"/>
      <c r="AR216" s="8"/>
      <c r="AT216" s="8"/>
    </row>
    <row r="217" spans="1:46" x14ac:dyDescent="0.25">
      <c r="A217" t="s">
        <v>10</v>
      </c>
      <c r="B217" t="s">
        <v>169</v>
      </c>
      <c r="C217" t="s">
        <v>194</v>
      </c>
      <c r="D217" s="7">
        <v>61185</v>
      </c>
      <c r="E217">
        <v>8</v>
      </c>
      <c r="W217" t="s">
        <v>169</v>
      </c>
      <c r="X217" s="11" t="s">
        <v>194</v>
      </c>
      <c r="Y217" s="7">
        <v>61185</v>
      </c>
      <c r="Z217" s="11" t="str">
        <f t="shared" si="45"/>
        <v>2023-11</v>
      </c>
      <c r="AP217" s="8"/>
      <c r="AQ217" s="8"/>
      <c r="AR217" s="8"/>
      <c r="AT217" s="8"/>
    </row>
    <row r="218" spans="1:46" x14ac:dyDescent="0.25">
      <c r="A218" t="s">
        <v>36</v>
      </c>
      <c r="B218" t="s">
        <v>197</v>
      </c>
      <c r="C218" t="s">
        <v>194</v>
      </c>
      <c r="D218" s="7">
        <v>40342</v>
      </c>
      <c r="E218">
        <v>8</v>
      </c>
      <c r="W218" t="s">
        <v>197</v>
      </c>
      <c r="X218" s="11" t="s">
        <v>194</v>
      </c>
      <c r="Y218" s="7">
        <v>40342</v>
      </c>
      <c r="Z218" s="11" t="str">
        <f t="shared" si="45"/>
        <v>2023-11</v>
      </c>
      <c r="AP218" s="8"/>
      <c r="AQ218" s="8"/>
      <c r="AR218" s="8"/>
      <c r="AT218" s="8"/>
    </row>
    <row r="219" spans="1:46" x14ac:dyDescent="0.25">
      <c r="A219" t="s">
        <v>23</v>
      </c>
      <c r="B219" t="s">
        <v>116</v>
      </c>
      <c r="C219" t="s">
        <v>194</v>
      </c>
      <c r="D219" s="7">
        <v>42285</v>
      </c>
      <c r="E219">
        <v>7</v>
      </c>
      <c r="W219" t="s">
        <v>116</v>
      </c>
      <c r="X219" s="11" t="s">
        <v>194</v>
      </c>
      <c r="Y219" s="7">
        <v>42285</v>
      </c>
      <c r="Z219" s="11" t="str">
        <f t="shared" si="45"/>
        <v>2023-11</v>
      </c>
      <c r="AP219" s="8"/>
      <c r="AQ219" s="8"/>
      <c r="AR219" s="8"/>
      <c r="AT219" s="8"/>
    </row>
    <row r="220" spans="1:46" x14ac:dyDescent="0.25">
      <c r="A220" t="s">
        <v>23</v>
      </c>
      <c r="B220" t="s">
        <v>181</v>
      </c>
      <c r="C220" t="s">
        <v>194</v>
      </c>
      <c r="D220" s="7">
        <v>69820</v>
      </c>
      <c r="E220">
        <v>3</v>
      </c>
      <c r="W220" t="s">
        <v>181</v>
      </c>
      <c r="X220" s="11" t="s">
        <v>194</v>
      </c>
      <c r="Y220" s="7">
        <v>69820</v>
      </c>
      <c r="Z220" s="11" t="str">
        <f t="shared" si="45"/>
        <v>2023-11</v>
      </c>
      <c r="AP220" s="8"/>
      <c r="AQ220" s="8"/>
      <c r="AR220" s="8"/>
      <c r="AT220" s="8"/>
    </row>
    <row r="221" spans="1:46" x14ac:dyDescent="0.25">
      <c r="A221" t="s">
        <v>36</v>
      </c>
      <c r="B221" t="s">
        <v>82</v>
      </c>
      <c r="C221" t="s">
        <v>194</v>
      </c>
      <c r="D221" s="7">
        <v>28128</v>
      </c>
      <c r="E221">
        <v>3</v>
      </c>
      <c r="W221" t="s">
        <v>82</v>
      </c>
      <c r="X221" s="11" t="s">
        <v>194</v>
      </c>
      <c r="Y221" s="7">
        <v>28128</v>
      </c>
      <c r="Z221" s="11" t="str">
        <f t="shared" si="45"/>
        <v>2023-11</v>
      </c>
      <c r="AP221" s="8"/>
      <c r="AQ221" s="8"/>
      <c r="AR221" s="8"/>
      <c r="AT221" s="8"/>
    </row>
    <row r="222" spans="1:46" x14ac:dyDescent="0.25">
      <c r="A222" t="s">
        <v>8</v>
      </c>
      <c r="B222" t="s">
        <v>35</v>
      </c>
      <c r="C222" t="s">
        <v>194</v>
      </c>
      <c r="D222" s="7">
        <v>45223</v>
      </c>
      <c r="E222">
        <v>1</v>
      </c>
      <c r="W222" t="s">
        <v>35</v>
      </c>
      <c r="X222" s="11" t="s">
        <v>194</v>
      </c>
      <c r="Y222" s="7">
        <v>45223</v>
      </c>
      <c r="Z222" s="11" t="str">
        <f t="shared" si="45"/>
        <v>2023-11</v>
      </c>
      <c r="AP222" s="8"/>
      <c r="AQ222" s="8"/>
      <c r="AR222" s="8"/>
      <c r="AT222" s="8"/>
    </row>
    <row r="223" spans="1:46" x14ac:dyDescent="0.25">
      <c r="A223" t="s">
        <v>14</v>
      </c>
      <c r="B223" t="s">
        <v>180</v>
      </c>
      <c r="C223" t="s">
        <v>194</v>
      </c>
      <c r="D223" s="7">
        <v>25431</v>
      </c>
      <c r="E223">
        <v>3</v>
      </c>
      <c r="W223" t="s">
        <v>180</v>
      </c>
      <c r="X223" s="11" t="s">
        <v>194</v>
      </c>
      <c r="Y223" s="7">
        <v>25431</v>
      </c>
      <c r="Z223" s="11" t="str">
        <f t="shared" si="45"/>
        <v>2023-11</v>
      </c>
      <c r="AP223" s="8"/>
      <c r="AQ223" s="8"/>
      <c r="AR223" s="8"/>
      <c r="AT223" s="8"/>
    </row>
    <row r="224" spans="1:46" x14ac:dyDescent="0.25">
      <c r="A224" t="s">
        <v>17</v>
      </c>
      <c r="B224" t="s">
        <v>57</v>
      </c>
      <c r="C224" t="s">
        <v>198</v>
      </c>
      <c r="D224" s="7">
        <v>79022</v>
      </c>
      <c r="E224">
        <v>7</v>
      </c>
      <c r="W224" t="s">
        <v>57</v>
      </c>
      <c r="X224" s="11" t="s">
        <v>198</v>
      </c>
      <c r="Y224" s="7">
        <v>79022</v>
      </c>
      <c r="Z224" s="11" t="str">
        <f t="shared" si="45"/>
        <v>2023-11</v>
      </c>
      <c r="AP224" s="8"/>
      <c r="AQ224" s="8"/>
      <c r="AR224" s="8"/>
      <c r="AT224" s="8"/>
    </row>
    <row r="225" spans="1:46" x14ac:dyDescent="0.25">
      <c r="A225" t="s">
        <v>10</v>
      </c>
      <c r="B225" t="s">
        <v>199</v>
      </c>
      <c r="C225" t="s">
        <v>200</v>
      </c>
      <c r="D225" s="7">
        <v>42065</v>
      </c>
      <c r="E225">
        <v>7</v>
      </c>
      <c r="W225" t="s">
        <v>199</v>
      </c>
      <c r="X225" s="11" t="s">
        <v>200</v>
      </c>
      <c r="Y225" s="7">
        <v>42065</v>
      </c>
      <c r="Z225" s="11" t="str">
        <f t="shared" si="45"/>
        <v>2023-11</v>
      </c>
      <c r="AP225" s="8"/>
      <c r="AQ225" s="8"/>
      <c r="AR225" s="8"/>
      <c r="AT225" s="8"/>
    </row>
    <row r="226" spans="1:46" x14ac:dyDescent="0.25">
      <c r="A226" t="s">
        <v>12</v>
      </c>
      <c r="B226" t="s">
        <v>197</v>
      </c>
      <c r="C226" t="s">
        <v>200</v>
      </c>
      <c r="D226" s="7">
        <v>75739</v>
      </c>
      <c r="E226">
        <v>9</v>
      </c>
      <c r="W226" t="s">
        <v>197</v>
      </c>
      <c r="X226" s="11" t="s">
        <v>200</v>
      </c>
      <c r="Y226" s="7">
        <v>75739</v>
      </c>
      <c r="Z226" s="11" t="str">
        <f t="shared" si="45"/>
        <v>2023-11</v>
      </c>
      <c r="AP226" s="8"/>
      <c r="AQ226" s="8"/>
      <c r="AR226" s="8"/>
      <c r="AT226" s="8"/>
    </row>
    <row r="227" spans="1:46" x14ac:dyDescent="0.25">
      <c r="A227" t="s">
        <v>32</v>
      </c>
      <c r="B227" t="s">
        <v>48</v>
      </c>
      <c r="C227" t="s">
        <v>201</v>
      </c>
      <c r="D227" s="7">
        <v>88318</v>
      </c>
      <c r="E227">
        <v>9</v>
      </c>
      <c r="W227" t="s">
        <v>48</v>
      </c>
      <c r="X227" s="11" t="s">
        <v>201</v>
      </c>
      <c r="Y227" s="7">
        <v>88318</v>
      </c>
      <c r="Z227" s="11" t="str">
        <f t="shared" si="45"/>
        <v>2023-11</v>
      </c>
      <c r="AP227" s="8"/>
      <c r="AQ227" s="8"/>
      <c r="AR227" s="8"/>
      <c r="AT227" s="8"/>
    </row>
    <row r="228" spans="1:46" x14ac:dyDescent="0.25">
      <c r="A228" t="s">
        <v>33</v>
      </c>
      <c r="B228" t="s">
        <v>202</v>
      </c>
      <c r="C228" t="s">
        <v>201</v>
      </c>
      <c r="D228" s="7">
        <v>56134</v>
      </c>
      <c r="E228">
        <v>10</v>
      </c>
      <c r="W228" t="s">
        <v>202</v>
      </c>
      <c r="X228" s="11" t="s">
        <v>201</v>
      </c>
      <c r="Y228" s="7">
        <v>56134</v>
      </c>
      <c r="Z228" s="11" t="str">
        <f t="shared" si="45"/>
        <v>2023-11</v>
      </c>
      <c r="AP228" s="8"/>
      <c r="AQ228" s="8"/>
      <c r="AR228" s="8"/>
      <c r="AT228" s="8"/>
    </row>
    <row r="229" spans="1:46" x14ac:dyDescent="0.25">
      <c r="A229" t="s">
        <v>12</v>
      </c>
      <c r="B229" t="s">
        <v>135</v>
      </c>
      <c r="C229" t="s">
        <v>201</v>
      </c>
      <c r="D229" s="7">
        <v>25652</v>
      </c>
      <c r="E229">
        <v>4</v>
      </c>
      <c r="W229" t="s">
        <v>135</v>
      </c>
      <c r="X229" s="11" t="s">
        <v>201</v>
      </c>
      <c r="Y229" s="7">
        <v>25652</v>
      </c>
      <c r="Z229" s="11" t="str">
        <f t="shared" si="45"/>
        <v>2023-11</v>
      </c>
      <c r="AP229" s="8"/>
      <c r="AQ229" s="8"/>
      <c r="AR229" s="8"/>
      <c r="AT229" s="8"/>
    </row>
    <row r="230" spans="1:46" x14ac:dyDescent="0.25">
      <c r="A230" t="s">
        <v>33</v>
      </c>
      <c r="B230" t="s">
        <v>203</v>
      </c>
      <c r="C230" t="s">
        <v>204</v>
      </c>
      <c r="D230" s="7">
        <v>32316</v>
      </c>
      <c r="E230">
        <v>7</v>
      </c>
      <c r="W230" t="s">
        <v>203</v>
      </c>
      <c r="X230" s="11" t="s">
        <v>204</v>
      </c>
      <c r="Y230" s="7">
        <v>32316</v>
      </c>
      <c r="Z230" s="11" t="str">
        <f t="shared" si="45"/>
        <v>2023-11</v>
      </c>
      <c r="AP230" s="8"/>
      <c r="AQ230" s="8"/>
      <c r="AR230" s="8"/>
      <c r="AT230" s="8"/>
    </row>
    <row r="231" spans="1:46" x14ac:dyDescent="0.25">
      <c r="A231" t="s">
        <v>8</v>
      </c>
      <c r="B231" t="s">
        <v>19</v>
      </c>
      <c r="C231" t="s">
        <v>204</v>
      </c>
      <c r="D231" s="7">
        <v>39905</v>
      </c>
      <c r="E231">
        <v>5</v>
      </c>
      <c r="W231" t="s">
        <v>19</v>
      </c>
      <c r="X231" s="11" t="s">
        <v>204</v>
      </c>
      <c r="Y231" s="7">
        <v>39905</v>
      </c>
      <c r="Z231" s="11" t="str">
        <f t="shared" si="45"/>
        <v>2023-11</v>
      </c>
      <c r="AP231" s="8"/>
      <c r="AQ231" s="8"/>
      <c r="AR231" s="8"/>
      <c r="AT231" s="8"/>
    </row>
    <row r="232" spans="1:46" x14ac:dyDescent="0.25">
      <c r="A232" t="s">
        <v>20</v>
      </c>
      <c r="B232" t="s">
        <v>74</v>
      </c>
      <c r="C232" t="s">
        <v>205</v>
      </c>
      <c r="D232" s="7">
        <v>62332</v>
      </c>
      <c r="E232">
        <v>7</v>
      </c>
      <c r="W232" t="s">
        <v>74</v>
      </c>
      <c r="X232" s="11" t="s">
        <v>205</v>
      </c>
      <c r="Y232" s="7">
        <v>62332</v>
      </c>
      <c r="Z232" s="11" t="str">
        <f t="shared" si="45"/>
        <v>2023-11</v>
      </c>
      <c r="AP232" s="8"/>
      <c r="AQ232" s="8"/>
      <c r="AR232" s="8"/>
      <c r="AT232" s="8"/>
    </row>
    <row r="233" spans="1:46" x14ac:dyDescent="0.25">
      <c r="A233" t="s">
        <v>23</v>
      </c>
      <c r="B233" t="s">
        <v>202</v>
      </c>
      <c r="C233" t="s">
        <v>205</v>
      </c>
      <c r="D233" s="7">
        <v>11890</v>
      </c>
      <c r="E233">
        <v>3</v>
      </c>
      <c r="W233" t="s">
        <v>202</v>
      </c>
      <c r="X233" s="11" t="s">
        <v>205</v>
      </c>
      <c r="Y233" s="7">
        <v>11890</v>
      </c>
      <c r="Z233" s="11" t="str">
        <f t="shared" si="45"/>
        <v>2023-11</v>
      </c>
      <c r="AP233" s="8"/>
      <c r="AQ233" s="8"/>
      <c r="AR233" s="8"/>
      <c r="AT233" s="8"/>
    </row>
    <row r="234" spans="1:46" x14ac:dyDescent="0.25">
      <c r="A234" t="s">
        <v>36</v>
      </c>
      <c r="B234" t="s">
        <v>88</v>
      </c>
      <c r="C234" t="s">
        <v>205</v>
      </c>
      <c r="D234" s="7">
        <v>53074</v>
      </c>
      <c r="E234">
        <v>9</v>
      </c>
      <c r="W234" t="s">
        <v>88</v>
      </c>
      <c r="X234" s="11" t="s">
        <v>205</v>
      </c>
      <c r="Y234" s="7">
        <v>53074</v>
      </c>
      <c r="Z234" s="11" t="str">
        <f t="shared" si="45"/>
        <v>2023-11</v>
      </c>
      <c r="AP234" s="8"/>
      <c r="AQ234" s="8"/>
      <c r="AR234" s="8"/>
      <c r="AT234" s="8"/>
    </row>
    <row r="235" spans="1:46" x14ac:dyDescent="0.25">
      <c r="A235" t="s">
        <v>36</v>
      </c>
      <c r="B235" t="s">
        <v>132</v>
      </c>
      <c r="C235" t="s">
        <v>205</v>
      </c>
      <c r="D235" s="7">
        <v>56274</v>
      </c>
      <c r="E235">
        <v>9</v>
      </c>
      <c r="W235" t="s">
        <v>132</v>
      </c>
      <c r="X235" s="11" t="s">
        <v>205</v>
      </c>
      <c r="Y235" s="7">
        <v>56274</v>
      </c>
      <c r="Z235" s="11" t="str">
        <f t="shared" si="45"/>
        <v>2023-11</v>
      </c>
      <c r="AP235" s="8"/>
      <c r="AQ235" s="8"/>
      <c r="AR235" s="8"/>
      <c r="AT235" s="8"/>
    </row>
    <row r="236" spans="1:46" x14ac:dyDescent="0.25">
      <c r="A236" t="s">
        <v>36</v>
      </c>
      <c r="B236" t="s">
        <v>48</v>
      </c>
      <c r="C236" t="s">
        <v>205</v>
      </c>
      <c r="D236" s="7">
        <v>91606</v>
      </c>
      <c r="E236">
        <v>9</v>
      </c>
      <c r="W236" t="s">
        <v>48</v>
      </c>
      <c r="X236" s="11" t="s">
        <v>205</v>
      </c>
      <c r="Y236" s="7">
        <v>91606</v>
      </c>
      <c r="Z236" s="11" t="str">
        <f t="shared" si="45"/>
        <v>2023-11</v>
      </c>
      <c r="AP236" s="8"/>
      <c r="AQ236" s="8"/>
      <c r="AR236" s="8"/>
      <c r="AT236" s="8"/>
    </row>
    <row r="237" spans="1:46" x14ac:dyDescent="0.25">
      <c r="A237" t="s">
        <v>17</v>
      </c>
      <c r="B237" t="s">
        <v>206</v>
      </c>
      <c r="C237" t="s">
        <v>207</v>
      </c>
      <c r="D237" s="7">
        <v>53006</v>
      </c>
      <c r="E237">
        <v>3</v>
      </c>
      <c r="W237" t="s">
        <v>206</v>
      </c>
      <c r="X237" s="11" t="s">
        <v>207</v>
      </c>
      <c r="Y237" s="7">
        <v>53006</v>
      </c>
      <c r="Z237" s="11" t="str">
        <f t="shared" si="45"/>
        <v>2023-11</v>
      </c>
      <c r="AP237" s="8"/>
      <c r="AQ237" s="8"/>
      <c r="AR237" s="8"/>
      <c r="AT237" s="8"/>
    </row>
    <row r="238" spans="1:46" x14ac:dyDescent="0.25">
      <c r="A238" t="s">
        <v>36</v>
      </c>
      <c r="B238" t="s">
        <v>26</v>
      </c>
      <c r="C238" t="s">
        <v>208</v>
      </c>
      <c r="D238" s="7">
        <v>43730</v>
      </c>
      <c r="E238">
        <v>5</v>
      </c>
      <c r="W238" t="s">
        <v>26</v>
      </c>
      <c r="X238" s="11" t="s">
        <v>208</v>
      </c>
      <c r="Y238" s="7">
        <v>43730</v>
      </c>
      <c r="Z238" s="11" t="str">
        <f t="shared" si="45"/>
        <v>2023-11</v>
      </c>
      <c r="AP238" s="8"/>
      <c r="AQ238" s="8"/>
      <c r="AR238" s="8"/>
      <c r="AT238" s="8"/>
    </row>
    <row r="239" spans="1:46" x14ac:dyDescent="0.25">
      <c r="A239" t="s">
        <v>32</v>
      </c>
      <c r="B239" t="s">
        <v>143</v>
      </c>
      <c r="C239" t="s">
        <v>208</v>
      </c>
      <c r="D239" s="7">
        <v>72266</v>
      </c>
      <c r="E239">
        <v>3</v>
      </c>
      <c r="W239" t="s">
        <v>143</v>
      </c>
      <c r="X239" s="11" t="s">
        <v>208</v>
      </c>
      <c r="Y239" s="7">
        <v>72266</v>
      </c>
      <c r="Z239" s="11" t="str">
        <f t="shared" si="45"/>
        <v>2023-11</v>
      </c>
      <c r="AP239" s="8"/>
      <c r="AQ239" s="8"/>
      <c r="AR239" s="8"/>
      <c r="AT239" s="8"/>
    </row>
    <row r="240" spans="1:46" x14ac:dyDescent="0.25">
      <c r="A240" t="s">
        <v>10</v>
      </c>
      <c r="B240" t="s">
        <v>90</v>
      </c>
      <c r="C240" t="s">
        <v>209</v>
      </c>
      <c r="D240" s="7">
        <v>57313</v>
      </c>
      <c r="E240">
        <v>9</v>
      </c>
      <c r="W240" t="s">
        <v>90</v>
      </c>
      <c r="X240" s="11" t="s">
        <v>209</v>
      </c>
      <c r="Y240" s="7">
        <v>57313</v>
      </c>
      <c r="Z240" s="11" t="str">
        <f t="shared" si="45"/>
        <v>2023-11</v>
      </c>
      <c r="AP240" s="8"/>
      <c r="AQ240" s="8"/>
      <c r="AR240" s="8"/>
      <c r="AT240" s="8"/>
    </row>
    <row r="241" spans="1:46" x14ac:dyDescent="0.25">
      <c r="A241" t="s">
        <v>23</v>
      </c>
      <c r="B241" t="s">
        <v>98</v>
      </c>
      <c r="C241" t="s">
        <v>210</v>
      </c>
      <c r="D241" s="7">
        <v>41961</v>
      </c>
      <c r="E241">
        <v>8</v>
      </c>
      <c r="W241" t="s">
        <v>98</v>
      </c>
      <c r="X241" s="11" t="s">
        <v>210</v>
      </c>
      <c r="Y241" s="7">
        <v>41961</v>
      </c>
      <c r="Z241" s="11" t="str">
        <f t="shared" si="45"/>
        <v>2023-12</v>
      </c>
      <c r="AP241" s="8"/>
      <c r="AQ241" s="8"/>
      <c r="AR241" s="8"/>
      <c r="AT241" s="8"/>
    </row>
    <row r="242" spans="1:46" x14ac:dyDescent="0.25">
      <c r="A242" t="s">
        <v>17</v>
      </c>
      <c r="B242" t="s">
        <v>19</v>
      </c>
      <c r="C242" t="s">
        <v>210</v>
      </c>
      <c r="D242" s="7">
        <v>48804</v>
      </c>
      <c r="E242">
        <v>9</v>
      </c>
      <c r="W242" t="s">
        <v>19</v>
      </c>
      <c r="X242" s="11" t="s">
        <v>210</v>
      </c>
      <c r="Y242" s="7">
        <v>48804</v>
      </c>
      <c r="Z242" s="11" t="str">
        <f t="shared" si="45"/>
        <v>2023-12</v>
      </c>
      <c r="AP242" s="8"/>
      <c r="AQ242" s="8"/>
      <c r="AR242" s="8"/>
      <c r="AT242" s="8"/>
    </row>
    <row r="243" spans="1:46" x14ac:dyDescent="0.25">
      <c r="A243" t="s">
        <v>20</v>
      </c>
      <c r="B243" t="s">
        <v>110</v>
      </c>
      <c r="C243" t="s">
        <v>210</v>
      </c>
      <c r="D243" s="7">
        <v>50182</v>
      </c>
      <c r="E243">
        <v>8</v>
      </c>
      <c r="W243" t="s">
        <v>110</v>
      </c>
      <c r="X243" s="11" t="s">
        <v>210</v>
      </c>
      <c r="Y243" s="7">
        <v>50182</v>
      </c>
      <c r="Z243" s="11" t="str">
        <f t="shared" si="45"/>
        <v>2023-12</v>
      </c>
      <c r="AP243" s="8"/>
      <c r="AQ243" s="8"/>
      <c r="AR243" s="8"/>
      <c r="AT243" s="8"/>
    </row>
    <row r="244" spans="1:46" x14ac:dyDescent="0.25">
      <c r="A244" t="s">
        <v>8</v>
      </c>
      <c r="B244" t="s">
        <v>196</v>
      </c>
      <c r="C244" t="s">
        <v>210</v>
      </c>
      <c r="D244" s="7">
        <v>32347</v>
      </c>
      <c r="E244">
        <v>10</v>
      </c>
      <c r="W244" t="s">
        <v>196</v>
      </c>
      <c r="X244" s="11" t="s">
        <v>210</v>
      </c>
      <c r="Y244" s="7">
        <v>32347</v>
      </c>
      <c r="Z244" s="11" t="str">
        <f t="shared" si="45"/>
        <v>2023-12</v>
      </c>
      <c r="AP244" s="8"/>
      <c r="AQ244" s="8"/>
      <c r="AR244" s="8"/>
      <c r="AT244" s="8"/>
    </row>
    <row r="245" spans="1:46" x14ac:dyDescent="0.25">
      <c r="A245" t="s">
        <v>12</v>
      </c>
      <c r="B245" t="s">
        <v>177</v>
      </c>
      <c r="C245" t="s">
        <v>211</v>
      </c>
      <c r="D245" s="7">
        <v>72201</v>
      </c>
      <c r="E245">
        <v>4</v>
      </c>
      <c r="W245" t="s">
        <v>177</v>
      </c>
      <c r="X245" s="11" t="s">
        <v>211</v>
      </c>
      <c r="Y245" s="7">
        <v>72201</v>
      </c>
      <c r="Z245" s="11" t="str">
        <f t="shared" si="45"/>
        <v>2023-12</v>
      </c>
      <c r="AP245" s="8"/>
      <c r="AQ245" s="8"/>
      <c r="AR245" s="8"/>
      <c r="AT245" s="8"/>
    </row>
    <row r="246" spans="1:46" x14ac:dyDescent="0.25">
      <c r="A246" t="s">
        <v>33</v>
      </c>
      <c r="B246" t="s">
        <v>44</v>
      </c>
      <c r="C246" t="s">
        <v>211</v>
      </c>
      <c r="D246" s="7">
        <v>37434</v>
      </c>
      <c r="E246">
        <v>7</v>
      </c>
      <c r="W246" t="s">
        <v>44</v>
      </c>
      <c r="X246" s="11" t="s">
        <v>211</v>
      </c>
      <c r="Y246" s="7">
        <v>37434</v>
      </c>
      <c r="Z246" s="11" t="str">
        <f t="shared" si="45"/>
        <v>2023-12</v>
      </c>
      <c r="AP246" s="8"/>
      <c r="AQ246" s="8"/>
      <c r="AR246" s="8"/>
      <c r="AT246" s="8"/>
    </row>
    <row r="247" spans="1:46" x14ac:dyDescent="0.25">
      <c r="A247" t="s">
        <v>5</v>
      </c>
      <c r="B247" t="s">
        <v>212</v>
      </c>
      <c r="C247" t="s">
        <v>211</v>
      </c>
      <c r="D247" s="7">
        <v>25641</v>
      </c>
      <c r="E247">
        <v>2</v>
      </c>
      <c r="W247" t="s">
        <v>212</v>
      </c>
      <c r="X247" s="11" t="s">
        <v>211</v>
      </c>
      <c r="Y247" s="7">
        <v>25641</v>
      </c>
      <c r="Z247" s="11" t="str">
        <f t="shared" si="45"/>
        <v>2023-12</v>
      </c>
      <c r="AP247" s="8"/>
      <c r="AQ247" s="8"/>
      <c r="AR247" s="8"/>
      <c r="AT247" s="8"/>
    </row>
    <row r="248" spans="1:46" x14ac:dyDescent="0.25">
      <c r="A248" t="s">
        <v>17</v>
      </c>
      <c r="B248" t="s">
        <v>213</v>
      </c>
      <c r="C248" t="s">
        <v>211</v>
      </c>
      <c r="D248" s="7">
        <v>27645</v>
      </c>
      <c r="E248">
        <v>10</v>
      </c>
      <c r="W248" t="s">
        <v>213</v>
      </c>
      <c r="X248" s="11" t="s">
        <v>211</v>
      </c>
      <c r="Y248" s="7">
        <v>27645</v>
      </c>
      <c r="Z248" s="11" t="str">
        <f t="shared" si="45"/>
        <v>2023-12</v>
      </c>
      <c r="AP248" s="8"/>
      <c r="AQ248" s="8"/>
      <c r="AR248" s="8"/>
      <c r="AT248" s="8"/>
    </row>
    <row r="249" spans="1:46" x14ac:dyDescent="0.25">
      <c r="A249" t="s">
        <v>32</v>
      </c>
      <c r="B249" t="s">
        <v>91</v>
      </c>
      <c r="C249" t="s">
        <v>211</v>
      </c>
      <c r="D249" s="7">
        <v>89831</v>
      </c>
      <c r="E249">
        <v>4</v>
      </c>
      <c r="W249" t="s">
        <v>91</v>
      </c>
      <c r="X249" s="11" t="s">
        <v>211</v>
      </c>
      <c r="Y249" s="7">
        <v>89831</v>
      </c>
      <c r="Z249" s="11" t="str">
        <f t="shared" si="45"/>
        <v>2023-12</v>
      </c>
      <c r="AP249" s="8"/>
      <c r="AQ249" s="8"/>
      <c r="AR249" s="8"/>
      <c r="AT249" s="8"/>
    </row>
    <row r="250" spans="1:46" x14ac:dyDescent="0.25">
      <c r="A250" t="s">
        <v>33</v>
      </c>
      <c r="B250" t="s">
        <v>214</v>
      </c>
      <c r="C250" t="s">
        <v>211</v>
      </c>
      <c r="D250" s="7">
        <v>82074</v>
      </c>
      <c r="E250">
        <v>4</v>
      </c>
      <c r="W250" t="s">
        <v>214</v>
      </c>
      <c r="X250" s="11" t="s">
        <v>211</v>
      </c>
      <c r="Y250" s="7">
        <v>82074</v>
      </c>
      <c r="Z250" s="11" t="str">
        <f t="shared" si="45"/>
        <v>2023-12</v>
      </c>
      <c r="AP250" s="8"/>
      <c r="AQ250" s="8"/>
      <c r="AR250" s="8"/>
      <c r="AT250" s="8"/>
    </row>
    <row r="251" spans="1:46" x14ac:dyDescent="0.25">
      <c r="A251" t="s">
        <v>27</v>
      </c>
      <c r="B251" t="s">
        <v>215</v>
      </c>
      <c r="C251" t="s">
        <v>211</v>
      </c>
      <c r="D251" s="7">
        <v>38637</v>
      </c>
      <c r="E251">
        <v>9</v>
      </c>
      <c r="W251" t="s">
        <v>215</v>
      </c>
      <c r="X251" s="11" t="s">
        <v>211</v>
      </c>
      <c r="Y251" s="7">
        <v>38637</v>
      </c>
      <c r="Z251" s="11" t="str">
        <f t="shared" si="45"/>
        <v>2023-12</v>
      </c>
      <c r="AP251" s="8"/>
      <c r="AQ251" s="8"/>
      <c r="AR251" s="8"/>
      <c r="AT251" s="8"/>
    </row>
    <row r="252" spans="1:46" x14ac:dyDescent="0.25">
      <c r="A252" t="s">
        <v>12</v>
      </c>
      <c r="B252" t="s">
        <v>161</v>
      </c>
      <c r="C252" t="s">
        <v>211</v>
      </c>
      <c r="D252" s="7">
        <v>75640</v>
      </c>
      <c r="E252">
        <v>10</v>
      </c>
      <c r="W252" t="s">
        <v>161</v>
      </c>
      <c r="X252" s="11" t="s">
        <v>211</v>
      </c>
      <c r="Y252" s="7">
        <v>75640</v>
      </c>
      <c r="Z252" s="11" t="str">
        <f t="shared" si="45"/>
        <v>2023-12</v>
      </c>
      <c r="AP252" s="8"/>
      <c r="AQ252" s="8"/>
      <c r="AR252" s="8"/>
      <c r="AT252" s="8"/>
    </row>
    <row r="253" spans="1:46" x14ac:dyDescent="0.25">
      <c r="A253" t="s">
        <v>8</v>
      </c>
      <c r="B253" t="s">
        <v>216</v>
      </c>
      <c r="C253" t="s">
        <v>217</v>
      </c>
      <c r="D253" s="7">
        <v>83478</v>
      </c>
      <c r="E253">
        <v>4</v>
      </c>
      <c r="W253" t="s">
        <v>216</v>
      </c>
      <c r="X253" s="11" t="s">
        <v>217</v>
      </c>
      <c r="Y253" s="7">
        <v>83478</v>
      </c>
      <c r="Z253" s="11" t="str">
        <f t="shared" si="45"/>
        <v>2023-12</v>
      </c>
      <c r="AP253" s="8"/>
      <c r="AQ253" s="8"/>
      <c r="AR253" s="8"/>
      <c r="AT253" s="8"/>
    </row>
    <row r="254" spans="1:46" x14ac:dyDescent="0.25">
      <c r="A254" t="s">
        <v>14</v>
      </c>
      <c r="B254" t="s">
        <v>30</v>
      </c>
      <c r="C254" t="s">
        <v>218</v>
      </c>
      <c r="D254" s="7">
        <v>31639</v>
      </c>
      <c r="E254">
        <v>9</v>
      </c>
      <c r="W254" t="s">
        <v>30</v>
      </c>
      <c r="X254" s="11" t="s">
        <v>218</v>
      </c>
      <c r="Y254" s="7">
        <v>31639</v>
      </c>
      <c r="Z254" s="11" t="str">
        <f t="shared" si="45"/>
        <v>2023-12</v>
      </c>
      <c r="AP254" s="8"/>
      <c r="AQ254" s="8"/>
      <c r="AR254" s="8"/>
      <c r="AT254" s="8"/>
    </row>
    <row r="255" spans="1:46" x14ac:dyDescent="0.25">
      <c r="A255" t="s">
        <v>10</v>
      </c>
      <c r="B255" t="s">
        <v>39</v>
      </c>
      <c r="C255" t="s">
        <v>218</v>
      </c>
      <c r="D255" s="7">
        <v>47290</v>
      </c>
      <c r="E255">
        <v>7</v>
      </c>
      <c r="W255" t="s">
        <v>39</v>
      </c>
      <c r="X255" s="11" t="s">
        <v>218</v>
      </c>
      <c r="Y255" s="7">
        <v>47290</v>
      </c>
      <c r="Z255" s="11" t="str">
        <f t="shared" si="45"/>
        <v>2023-12</v>
      </c>
      <c r="AP255" s="8"/>
      <c r="AQ255" s="8"/>
      <c r="AR255" s="8"/>
      <c r="AT255" s="8"/>
    </row>
    <row r="256" spans="1:46" x14ac:dyDescent="0.25">
      <c r="A256" t="s">
        <v>33</v>
      </c>
      <c r="B256" t="s">
        <v>216</v>
      </c>
      <c r="C256" t="s">
        <v>218</v>
      </c>
      <c r="D256" s="7">
        <v>28905</v>
      </c>
      <c r="E256">
        <v>9</v>
      </c>
      <c r="W256" t="s">
        <v>216</v>
      </c>
      <c r="X256" s="11" t="s">
        <v>218</v>
      </c>
      <c r="Y256" s="7">
        <v>28905</v>
      </c>
      <c r="Z256" s="11" t="str">
        <f t="shared" si="45"/>
        <v>2023-12</v>
      </c>
      <c r="AP256" s="8"/>
      <c r="AQ256" s="8"/>
      <c r="AR256" s="8"/>
      <c r="AT256" s="8"/>
    </row>
    <row r="257" spans="1:46" x14ac:dyDescent="0.25">
      <c r="A257" t="s">
        <v>32</v>
      </c>
      <c r="B257" t="s">
        <v>184</v>
      </c>
      <c r="C257" t="s">
        <v>219</v>
      </c>
      <c r="D257" s="7">
        <v>57058</v>
      </c>
      <c r="E257">
        <v>8</v>
      </c>
      <c r="W257" t="s">
        <v>184</v>
      </c>
      <c r="X257" s="11" t="s">
        <v>219</v>
      </c>
      <c r="Y257" s="7">
        <v>57058</v>
      </c>
      <c r="Z257" s="11" t="str">
        <f t="shared" si="45"/>
        <v>2023-12</v>
      </c>
      <c r="AP257" s="8"/>
      <c r="AQ257" s="8"/>
      <c r="AR257" s="8"/>
      <c r="AT257" s="8"/>
    </row>
    <row r="258" spans="1:46" x14ac:dyDescent="0.25">
      <c r="A258" t="s">
        <v>12</v>
      </c>
      <c r="B258" t="s">
        <v>98</v>
      </c>
      <c r="C258" t="s">
        <v>219</v>
      </c>
      <c r="D258" s="7">
        <v>15194</v>
      </c>
      <c r="E258">
        <v>3</v>
      </c>
      <c r="W258" t="s">
        <v>98</v>
      </c>
      <c r="X258" s="11" t="s">
        <v>219</v>
      </c>
      <c r="Y258" s="7">
        <v>15194</v>
      </c>
      <c r="Z258" s="11" t="str">
        <f t="shared" si="45"/>
        <v>2023-12</v>
      </c>
      <c r="AP258" s="8"/>
      <c r="AQ258" s="8"/>
      <c r="AR258" s="8"/>
      <c r="AT258" s="8"/>
    </row>
    <row r="259" spans="1:46" x14ac:dyDescent="0.25">
      <c r="A259" t="s">
        <v>8</v>
      </c>
      <c r="B259" t="s">
        <v>106</v>
      </c>
      <c r="C259" t="s">
        <v>219</v>
      </c>
      <c r="D259" s="7">
        <v>66402</v>
      </c>
      <c r="E259">
        <v>9</v>
      </c>
      <c r="W259" t="s">
        <v>106</v>
      </c>
      <c r="X259" s="11" t="s">
        <v>219</v>
      </c>
      <c r="Y259" s="7">
        <v>66402</v>
      </c>
      <c r="Z259" s="11" t="str">
        <f t="shared" ref="Z259:Z322" si="47">MID(X259,1,4)&amp;"-"&amp;IF(MID(X259,6,1)*1=0,MID(X259,7,1),MID(X259,6,2))</f>
        <v>2023-12</v>
      </c>
      <c r="AP259" s="8"/>
      <c r="AQ259" s="8"/>
      <c r="AR259" s="8"/>
      <c r="AT259" s="8"/>
    </row>
    <row r="260" spans="1:46" x14ac:dyDescent="0.25">
      <c r="A260" t="s">
        <v>17</v>
      </c>
      <c r="B260" t="s">
        <v>220</v>
      </c>
      <c r="C260" t="s">
        <v>219</v>
      </c>
      <c r="D260" s="7">
        <v>78223</v>
      </c>
      <c r="E260">
        <v>4</v>
      </c>
      <c r="W260" t="s">
        <v>220</v>
      </c>
      <c r="X260" s="11" t="s">
        <v>219</v>
      </c>
      <c r="Y260" s="7">
        <v>78223</v>
      </c>
      <c r="Z260" s="11" t="str">
        <f t="shared" si="47"/>
        <v>2023-12</v>
      </c>
      <c r="AP260" s="8"/>
      <c r="AQ260" s="8"/>
      <c r="AR260" s="8"/>
      <c r="AT260" s="8"/>
    </row>
    <row r="261" spans="1:46" x14ac:dyDescent="0.25">
      <c r="A261" t="s">
        <v>27</v>
      </c>
      <c r="B261" t="s">
        <v>74</v>
      </c>
      <c r="C261" t="s">
        <v>221</v>
      </c>
      <c r="D261" s="7">
        <v>68065</v>
      </c>
      <c r="E261">
        <v>5</v>
      </c>
      <c r="W261" t="s">
        <v>74</v>
      </c>
      <c r="X261" s="11" t="s">
        <v>221</v>
      </c>
      <c r="Y261" s="7">
        <v>68065</v>
      </c>
      <c r="Z261" s="11" t="str">
        <f t="shared" si="47"/>
        <v>2023-12</v>
      </c>
      <c r="AP261" s="8"/>
      <c r="AQ261" s="8"/>
      <c r="AR261" s="8"/>
      <c r="AT261" s="8"/>
    </row>
    <row r="262" spans="1:46" x14ac:dyDescent="0.25">
      <c r="A262" t="s">
        <v>27</v>
      </c>
      <c r="B262" t="s">
        <v>60</v>
      </c>
      <c r="C262" t="s">
        <v>221</v>
      </c>
      <c r="D262" s="7">
        <v>56948</v>
      </c>
      <c r="E262">
        <v>6</v>
      </c>
      <c r="W262" t="s">
        <v>60</v>
      </c>
      <c r="X262" s="11" t="s">
        <v>221</v>
      </c>
      <c r="Y262" s="7">
        <v>56948</v>
      </c>
      <c r="Z262" s="11" t="str">
        <f t="shared" si="47"/>
        <v>2023-12</v>
      </c>
      <c r="AP262" s="8"/>
      <c r="AQ262" s="8"/>
      <c r="AR262" s="8"/>
      <c r="AT262" s="8"/>
    </row>
    <row r="263" spans="1:46" x14ac:dyDescent="0.25">
      <c r="A263" t="s">
        <v>36</v>
      </c>
      <c r="B263" t="s">
        <v>129</v>
      </c>
      <c r="C263" t="s">
        <v>221</v>
      </c>
      <c r="D263" s="7">
        <v>98496</v>
      </c>
      <c r="E263">
        <v>8</v>
      </c>
      <c r="W263" t="s">
        <v>129</v>
      </c>
      <c r="X263" s="11" t="s">
        <v>221</v>
      </c>
      <c r="Y263" s="7">
        <v>98496</v>
      </c>
      <c r="Z263" s="11" t="str">
        <f t="shared" si="47"/>
        <v>2023-12</v>
      </c>
      <c r="AP263" s="8"/>
      <c r="AQ263" s="8"/>
      <c r="AR263" s="8"/>
      <c r="AT263" s="8"/>
    </row>
    <row r="264" spans="1:46" x14ac:dyDescent="0.25">
      <c r="A264" t="s">
        <v>23</v>
      </c>
      <c r="B264" t="s">
        <v>48</v>
      </c>
      <c r="C264" t="s">
        <v>221</v>
      </c>
      <c r="D264" s="7">
        <v>27487</v>
      </c>
      <c r="E264">
        <v>6</v>
      </c>
      <c r="W264" t="s">
        <v>48</v>
      </c>
      <c r="X264" s="11" t="s">
        <v>221</v>
      </c>
      <c r="Y264" s="7">
        <v>27487</v>
      </c>
      <c r="Z264" s="11" t="str">
        <f t="shared" si="47"/>
        <v>2023-12</v>
      </c>
      <c r="AP264" s="8"/>
      <c r="AQ264" s="8"/>
      <c r="AR264" s="8"/>
      <c r="AT264" s="8"/>
    </row>
    <row r="265" spans="1:46" x14ac:dyDescent="0.25">
      <c r="A265" t="s">
        <v>32</v>
      </c>
      <c r="B265" t="s">
        <v>72</v>
      </c>
      <c r="C265" t="s">
        <v>221</v>
      </c>
      <c r="D265" s="7">
        <v>36556</v>
      </c>
      <c r="E265">
        <v>7</v>
      </c>
      <c r="W265" t="s">
        <v>72</v>
      </c>
      <c r="X265" s="11" t="s">
        <v>221</v>
      </c>
      <c r="Y265" s="7">
        <v>36556</v>
      </c>
      <c r="Z265" s="11" t="str">
        <f t="shared" si="47"/>
        <v>2023-12</v>
      </c>
      <c r="AP265" s="8"/>
      <c r="AQ265" s="8"/>
      <c r="AR265" s="8"/>
      <c r="AT265" s="8"/>
    </row>
    <row r="266" spans="1:46" x14ac:dyDescent="0.25">
      <c r="A266" t="s">
        <v>32</v>
      </c>
      <c r="B266" t="s">
        <v>173</v>
      </c>
      <c r="C266" t="s">
        <v>221</v>
      </c>
      <c r="D266" s="7">
        <v>72215</v>
      </c>
      <c r="E266">
        <v>6</v>
      </c>
      <c r="W266" t="s">
        <v>173</v>
      </c>
      <c r="X266" s="11" t="s">
        <v>221</v>
      </c>
      <c r="Y266" s="7">
        <v>72215</v>
      </c>
      <c r="Z266" s="11" t="str">
        <f t="shared" si="47"/>
        <v>2023-12</v>
      </c>
      <c r="AP266" s="8"/>
      <c r="AQ266" s="8"/>
      <c r="AR266" s="8"/>
      <c r="AT266" s="8"/>
    </row>
    <row r="267" spans="1:46" x14ac:dyDescent="0.25">
      <c r="A267" t="s">
        <v>14</v>
      </c>
      <c r="B267" t="s">
        <v>166</v>
      </c>
      <c r="C267" t="s">
        <v>221</v>
      </c>
      <c r="D267" s="7">
        <v>57392</v>
      </c>
      <c r="E267">
        <v>6</v>
      </c>
      <c r="W267" t="s">
        <v>166</v>
      </c>
      <c r="X267" s="11" t="s">
        <v>221</v>
      </c>
      <c r="Y267" s="7">
        <v>57392</v>
      </c>
      <c r="Z267" s="11" t="str">
        <f t="shared" si="47"/>
        <v>2023-12</v>
      </c>
      <c r="AP267" s="8"/>
      <c r="AQ267" s="8"/>
      <c r="AR267" s="8"/>
      <c r="AT267" s="8"/>
    </row>
    <row r="268" spans="1:46" x14ac:dyDescent="0.25">
      <c r="A268" t="s">
        <v>14</v>
      </c>
      <c r="B268" t="s">
        <v>61</v>
      </c>
      <c r="C268" t="s">
        <v>221</v>
      </c>
      <c r="D268" s="7">
        <v>28737</v>
      </c>
      <c r="E268">
        <v>10</v>
      </c>
      <c r="W268" t="s">
        <v>61</v>
      </c>
      <c r="X268" s="11" t="s">
        <v>221</v>
      </c>
      <c r="Y268" s="7">
        <v>28737</v>
      </c>
      <c r="Z268" s="11" t="str">
        <f t="shared" si="47"/>
        <v>2023-12</v>
      </c>
      <c r="AP268" s="8"/>
      <c r="AQ268" s="8"/>
      <c r="AR268" s="8"/>
      <c r="AT268" s="8"/>
    </row>
    <row r="269" spans="1:46" x14ac:dyDescent="0.25">
      <c r="A269" t="s">
        <v>33</v>
      </c>
      <c r="B269" t="s">
        <v>135</v>
      </c>
      <c r="C269" t="s">
        <v>221</v>
      </c>
      <c r="D269" s="7">
        <v>67398</v>
      </c>
      <c r="E269">
        <v>4</v>
      </c>
      <c r="W269" t="s">
        <v>135</v>
      </c>
      <c r="X269" s="11" t="s">
        <v>221</v>
      </c>
      <c r="Y269" s="7">
        <v>67398</v>
      </c>
      <c r="Z269" s="11" t="str">
        <f t="shared" si="47"/>
        <v>2023-12</v>
      </c>
      <c r="AP269" s="8"/>
      <c r="AQ269" s="8"/>
      <c r="AR269" s="8"/>
      <c r="AT269" s="8"/>
    </row>
    <row r="270" spans="1:46" x14ac:dyDescent="0.25">
      <c r="A270" t="s">
        <v>14</v>
      </c>
      <c r="B270" t="s">
        <v>222</v>
      </c>
      <c r="C270" t="s">
        <v>221</v>
      </c>
      <c r="D270" s="7">
        <v>23480</v>
      </c>
      <c r="E270">
        <v>7</v>
      </c>
      <c r="W270" t="s">
        <v>222</v>
      </c>
      <c r="X270" s="11" t="s">
        <v>221</v>
      </c>
      <c r="Y270" s="7">
        <v>23480</v>
      </c>
      <c r="Z270" s="11" t="str">
        <f t="shared" si="47"/>
        <v>2023-12</v>
      </c>
      <c r="AP270" s="8"/>
      <c r="AQ270" s="8"/>
      <c r="AR270" s="8"/>
      <c r="AT270" s="8"/>
    </row>
    <row r="271" spans="1:46" x14ac:dyDescent="0.25">
      <c r="A271" t="s">
        <v>32</v>
      </c>
      <c r="B271" t="s">
        <v>182</v>
      </c>
      <c r="C271" t="s">
        <v>221</v>
      </c>
      <c r="D271" s="7">
        <v>14230</v>
      </c>
      <c r="E271">
        <v>7</v>
      </c>
      <c r="W271" t="s">
        <v>182</v>
      </c>
      <c r="X271" s="11" t="s">
        <v>221</v>
      </c>
      <c r="Y271" s="7">
        <v>14230</v>
      </c>
      <c r="Z271" s="11" t="str">
        <f t="shared" si="47"/>
        <v>2023-12</v>
      </c>
      <c r="AP271" s="8"/>
      <c r="AQ271" s="8"/>
      <c r="AR271" s="8"/>
      <c r="AT271" s="8"/>
    </row>
    <row r="272" spans="1:46" x14ac:dyDescent="0.25">
      <c r="A272" t="s">
        <v>36</v>
      </c>
      <c r="B272" t="s">
        <v>90</v>
      </c>
      <c r="C272" t="s">
        <v>221</v>
      </c>
      <c r="D272" s="7">
        <v>71491</v>
      </c>
      <c r="E272">
        <v>5</v>
      </c>
      <c r="W272" t="s">
        <v>90</v>
      </c>
      <c r="X272" s="11" t="s">
        <v>221</v>
      </c>
      <c r="Y272" s="7">
        <v>71491</v>
      </c>
      <c r="Z272" s="11" t="str">
        <f t="shared" si="47"/>
        <v>2023-12</v>
      </c>
      <c r="AP272" s="8"/>
      <c r="AQ272" s="8"/>
      <c r="AR272" s="8"/>
      <c r="AT272" s="8"/>
    </row>
    <row r="273" spans="1:46" x14ac:dyDescent="0.25">
      <c r="A273" t="s">
        <v>14</v>
      </c>
      <c r="B273" t="s">
        <v>26</v>
      </c>
      <c r="C273" t="s">
        <v>223</v>
      </c>
      <c r="D273" s="7">
        <v>88120</v>
      </c>
      <c r="E273">
        <v>7</v>
      </c>
      <c r="W273" t="s">
        <v>26</v>
      </c>
      <c r="X273" s="11" t="s">
        <v>223</v>
      </c>
      <c r="Y273" s="7">
        <v>88120</v>
      </c>
      <c r="Z273" s="11" t="str">
        <f t="shared" si="47"/>
        <v>2023-12</v>
      </c>
      <c r="AP273" s="8"/>
      <c r="AQ273" s="8"/>
      <c r="AR273" s="8"/>
      <c r="AT273" s="8"/>
    </row>
    <row r="274" spans="1:46" x14ac:dyDescent="0.25">
      <c r="A274" t="s">
        <v>12</v>
      </c>
      <c r="B274" t="s">
        <v>30</v>
      </c>
      <c r="C274" t="s">
        <v>224</v>
      </c>
      <c r="D274" s="7">
        <v>64447</v>
      </c>
      <c r="E274">
        <v>4</v>
      </c>
      <c r="W274" t="s">
        <v>30</v>
      </c>
      <c r="X274" s="11" t="s">
        <v>224</v>
      </c>
      <c r="Y274" s="7">
        <v>64447</v>
      </c>
      <c r="Z274" s="11" t="str">
        <f t="shared" si="47"/>
        <v>2023-12</v>
      </c>
      <c r="AP274" s="8"/>
      <c r="AQ274" s="8"/>
      <c r="AR274" s="8"/>
      <c r="AT274" s="8"/>
    </row>
    <row r="275" spans="1:46" x14ac:dyDescent="0.25">
      <c r="A275" t="s">
        <v>5</v>
      </c>
      <c r="B275" t="s">
        <v>225</v>
      </c>
      <c r="C275" t="s">
        <v>224</v>
      </c>
      <c r="D275" s="7">
        <v>35209</v>
      </c>
      <c r="E275">
        <v>2</v>
      </c>
      <c r="W275" t="s">
        <v>225</v>
      </c>
      <c r="X275" s="11" t="s">
        <v>224</v>
      </c>
      <c r="Y275" s="7">
        <v>35209</v>
      </c>
      <c r="Z275" s="11" t="str">
        <f t="shared" si="47"/>
        <v>2023-12</v>
      </c>
      <c r="AP275" s="8"/>
      <c r="AQ275" s="8"/>
      <c r="AR275" s="8"/>
      <c r="AT275" s="8"/>
    </row>
    <row r="276" spans="1:46" x14ac:dyDescent="0.25">
      <c r="A276" t="s">
        <v>17</v>
      </c>
      <c r="B276" t="s">
        <v>158</v>
      </c>
      <c r="C276" t="s">
        <v>224</v>
      </c>
      <c r="D276" s="7">
        <v>90020</v>
      </c>
      <c r="E276">
        <v>7</v>
      </c>
      <c r="W276" t="s">
        <v>158</v>
      </c>
      <c r="X276" s="11" t="s">
        <v>224</v>
      </c>
      <c r="Y276" s="7">
        <v>90020</v>
      </c>
      <c r="Z276" s="11" t="str">
        <f t="shared" si="47"/>
        <v>2023-12</v>
      </c>
      <c r="AP276" s="8"/>
      <c r="AQ276" s="8"/>
      <c r="AR276" s="8"/>
      <c r="AT276" s="8"/>
    </row>
    <row r="277" spans="1:46" x14ac:dyDescent="0.25">
      <c r="A277" t="s">
        <v>32</v>
      </c>
      <c r="B277" t="s">
        <v>119</v>
      </c>
      <c r="C277" t="s">
        <v>224</v>
      </c>
      <c r="D277" s="7">
        <v>76503</v>
      </c>
      <c r="E277">
        <v>2</v>
      </c>
      <c r="W277" t="s">
        <v>119</v>
      </c>
      <c r="X277" s="11" t="s">
        <v>224</v>
      </c>
      <c r="Y277" s="7">
        <v>76503</v>
      </c>
      <c r="Z277" s="11" t="str">
        <f t="shared" si="47"/>
        <v>2023-12</v>
      </c>
      <c r="AP277" s="8"/>
      <c r="AQ277" s="8"/>
      <c r="AR277" s="8"/>
      <c r="AT277" s="8"/>
    </row>
    <row r="278" spans="1:46" x14ac:dyDescent="0.25">
      <c r="A278" t="s">
        <v>33</v>
      </c>
      <c r="B278" t="s">
        <v>226</v>
      </c>
      <c r="C278" t="s">
        <v>227</v>
      </c>
      <c r="D278" s="7">
        <v>79157</v>
      </c>
      <c r="E278">
        <v>7</v>
      </c>
      <c r="W278" t="s">
        <v>226</v>
      </c>
      <c r="X278" s="11" t="s">
        <v>227</v>
      </c>
      <c r="Y278" s="7">
        <v>79157</v>
      </c>
      <c r="Z278" s="11" t="str">
        <f t="shared" si="47"/>
        <v>2023-12</v>
      </c>
      <c r="AP278" s="8"/>
      <c r="AQ278" s="8"/>
      <c r="AR278" s="8"/>
      <c r="AT278" s="8"/>
    </row>
    <row r="279" spans="1:46" x14ac:dyDescent="0.25">
      <c r="A279" t="s">
        <v>12</v>
      </c>
      <c r="B279" t="s">
        <v>228</v>
      </c>
      <c r="C279" t="s">
        <v>227</v>
      </c>
      <c r="D279" s="7">
        <v>16870</v>
      </c>
      <c r="E279">
        <v>5</v>
      </c>
      <c r="W279" t="s">
        <v>228</v>
      </c>
      <c r="X279" s="11" t="s">
        <v>227</v>
      </c>
      <c r="Y279" s="7">
        <v>16870</v>
      </c>
      <c r="Z279" s="11" t="str">
        <f t="shared" si="47"/>
        <v>2023-12</v>
      </c>
      <c r="AP279" s="8"/>
      <c r="AQ279" s="8"/>
      <c r="AR279" s="8"/>
      <c r="AT279" s="8"/>
    </row>
    <row r="280" spans="1:46" x14ac:dyDescent="0.25">
      <c r="A280" t="s">
        <v>14</v>
      </c>
      <c r="B280" t="s">
        <v>229</v>
      </c>
      <c r="C280" t="s">
        <v>227</v>
      </c>
      <c r="D280" s="7">
        <v>76066</v>
      </c>
      <c r="E280">
        <v>7</v>
      </c>
      <c r="W280" t="s">
        <v>229</v>
      </c>
      <c r="X280" s="11" t="s">
        <v>227</v>
      </c>
      <c r="Y280" s="7">
        <v>76066</v>
      </c>
      <c r="Z280" s="11" t="str">
        <f t="shared" si="47"/>
        <v>2023-12</v>
      </c>
      <c r="AP280" s="8"/>
      <c r="AQ280" s="8"/>
      <c r="AR280" s="8"/>
      <c r="AT280" s="8"/>
    </row>
    <row r="281" spans="1:46" x14ac:dyDescent="0.25">
      <c r="A281" t="s">
        <v>32</v>
      </c>
      <c r="B281" t="s">
        <v>98</v>
      </c>
      <c r="C281" t="s">
        <v>230</v>
      </c>
      <c r="D281" s="7">
        <v>95880</v>
      </c>
      <c r="E281">
        <v>5</v>
      </c>
      <c r="W281" t="s">
        <v>98</v>
      </c>
      <c r="X281" s="11" t="s">
        <v>230</v>
      </c>
      <c r="Y281" s="7">
        <v>95880</v>
      </c>
      <c r="Z281" s="11" t="str">
        <f t="shared" si="47"/>
        <v>2023-12</v>
      </c>
      <c r="AP281" s="8"/>
      <c r="AQ281" s="8"/>
      <c r="AR281" s="8"/>
      <c r="AT281" s="8"/>
    </row>
    <row r="282" spans="1:46" x14ac:dyDescent="0.25">
      <c r="A282" t="s">
        <v>10</v>
      </c>
      <c r="B282" t="s">
        <v>177</v>
      </c>
      <c r="C282" t="s">
        <v>230</v>
      </c>
      <c r="D282" s="7">
        <v>20819</v>
      </c>
      <c r="E282">
        <v>6</v>
      </c>
      <c r="W282" t="s">
        <v>177</v>
      </c>
      <c r="X282" s="11" t="s">
        <v>230</v>
      </c>
      <c r="Y282" s="7">
        <v>20819</v>
      </c>
      <c r="Z282" s="11" t="str">
        <f t="shared" si="47"/>
        <v>2023-12</v>
      </c>
      <c r="AP282" s="8"/>
      <c r="AQ282" s="8"/>
      <c r="AR282" s="8"/>
      <c r="AT282" s="8"/>
    </row>
    <row r="283" spans="1:46" x14ac:dyDescent="0.25">
      <c r="A283" t="s">
        <v>17</v>
      </c>
      <c r="B283" t="s">
        <v>231</v>
      </c>
      <c r="C283" t="s">
        <v>230</v>
      </c>
      <c r="D283" s="7">
        <v>49551</v>
      </c>
      <c r="E283">
        <v>9</v>
      </c>
      <c r="W283" t="s">
        <v>231</v>
      </c>
      <c r="X283" s="11" t="s">
        <v>230</v>
      </c>
      <c r="Y283" s="7">
        <v>49551</v>
      </c>
      <c r="Z283" s="11" t="str">
        <f t="shared" si="47"/>
        <v>2023-12</v>
      </c>
      <c r="AP283" s="8"/>
      <c r="AQ283" s="8"/>
      <c r="AR283" s="8"/>
      <c r="AT283" s="8"/>
    </row>
    <row r="284" spans="1:46" x14ac:dyDescent="0.25">
      <c r="A284" t="s">
        <v>17</v>
      </c>
      <c r="B284" t="s">
        <v>25</v>
      </c>
      <c r="C284" t="s">
        <v>232</v>
      </c>
      <c r="D284" s="7">
        <v>76331</v>
      </c>
      <c r="E284">
        <v>9</v>
      </c>
      <c r="W284" t="s">
        <v>25</v>
      </c>
      <c r="X284" s="11" t="s">
        <v>232</v>
      </c>
      <c r="Y284" s="7">
        <v>76331</v>
      </c>
      <c r="Z284" s="11" t="str">
        <f t="shared" si="47"/>
        <v>2023-12</v>
      </c>
      <c r="AP284" s="8"/>
      <c r="AQ284" s="8"/>
      <c r="AR284" s="8"/>
      <c r="AT284" s="8"/>
    </row>
    <row r="285" spans="1:46" x14ac:dyDescent="0.25">
      <c r="A285" t="s">
        <v>12</v>
      </c>
      <c r="B285" t="s">
        <v>30</v>
      </c>
      <c r="C285" t="s">
        <v>232</v>
      </c>
      <c r="D285" s="7">
        <v>63153</v>
      </c>
      <c r="E285">
        <v>1</v>
      </c>
      <c r="W285" t="s">
        <v>30</v>
      </c>
      <c r="X285" s="11" t="s">
        <v>232</v>
      </c>
      <c r="Y285" s="7">
        <v>63153</v>
      </c>
      <c r="Z285" s="11" t="str">
        <f t="shared" si="47"/>
        <v>2023-12</v>
      </c>
      <c r="AP285" s="8"/>
      <c r="AQ285" s="8"/>
      <c r="AR285" s="8"/>
      <c r="AT285" s="8"/>
    </row>
    <row r="286" spans="1:46" x14ac:dyDescent="0.25">
      <c r="A286" t="s">
        <v>8</v>
      </c>
      <c r="B286" t="s">
        <v>77</v>
      </c>
      <c r="C286" t="s">
        <v>232</v>
      </c>
      <c r="D286" s="7">
        <v>24658</v>
      </c>
      <c r="E286">
        <v>5</v>
      </c>
      <c r="W286" t="s">
        <v>77</v>
      </c>
      <c r="X286" s="11" t="s">
        <v>232</v>
      </c>
      <c r="Y286" s="7">
        <v>24658</v>
      </c>
      <c r="Z286" s="11" t="str">
        <f t="shared" si="47"/>
        <v>2023-12</v>
      </c>
      <c r="AP286" s="8"/>
      <c r="AQ286" s="8"/>
      <c r="AR286" s="8"/>
      <c r="AT286" s="8"/>
    </row>
    <row r="287" spans="1:46" x14ac:dyDescent="0.25">
      <c r="A287" t="s">
        <v>32</v>
      </c>
      <c r="B287" t="s">
        <v>174</v>
      </c>
      <c r="C287" t="s">
        <v>232</v>
      </c>
      <c r="D287" s="7">
        <v>75509</v>
      </c>
      <c r="E287">
        <v>3</v>
      </c>
      <c r="W287" t="s">
        <v>174</v>
      </c>
      <c r="X287" s="11" t="s">
        <v>232</v>
      </c>
      <c r="Y287" s="7">
        <v>75509</v>
      </c>
      <c r="Z287" s="11" t="str">
        <f t="shared" si="47"/>
        <v>2023-12</v>
      </c>
      <c r="AP287" s="8"/>
      <c r="AQ287" s="8"/>
      <c r="AR287" s="8"/>
      <c r="AT287" s="8"/>
    </row>
    <row r="288" spans="1:46" x14ac:dyDescent="0.25">
      <c r="A288" t="s">
        <v>32</v>
      </c>
      <c r="B288" t="s">
        <v>77</v>
      </c>
      <c r="C288" t="s">
        <v>232</v>
      </c>
      <c r="D288" s="7">
        <v>14719</v>
      </c>
      <c r="E288">
        <v>9</v>
      </c>
      <c r="W288" t="s">
        <v>77</v>
      </c>
      <c r="X288" s="11" t="s">
        <v>232</v>
      </c>
      <c r="Y288" s="7">
        <v>14719</v>
      </c>
      <c r="Z288" s="11" t="str">
        <f t="shared" si="47"/>
        <v>2023-12</v>
      </c>
      <c r="AP288" s="8"/>
      <c r="AQ288" s="8"/>
      <c r="AR288" s="8"/>
      <c r="AT288" s="8"/>
    </row>
    <row r="289" spans="1:46" x14ac:dyDescent="0.25">
      <c r="A289" t="s">
        <v>12</v>
      </c>
      <c r="B289" t="s">
        <v>233</v>
      </c>
      <c r="C289" t="s">
        <v>232</v>
      </c>
      <c r="D289" s="7">
        <v>40349</v>
      </c>
      <c r="E289">
        <v>7</v>
      </c>
      <c r="W289" t="s">
        <v>233</v>
      </c>
      <c r="X289" s="11" t="s">
        <v>232</v>
      </c>
      <c r="Y289" s="7">
        <v>40349</v>
      </c>
      <c r="Z289" s="11" t="str">
        <f t="shared" si="47"/>
        <v>2023-12</v>
      </c>
      <c r="AP289" s="8"/>
      <c r="AQ289" s="8"/>
      <c r="AR289" s="8"/>
      <c r="AT289" s="8"/>
    </row>
    <row r="290" spans="1:46" x14ac:dyDescent="0.25">
      <c r="A290" t="s">
        <v>36</v>
      </c>
      <c r="B290" t="s">
        <v>214</v>
      </c>
      <c r="C290" t="s">
        <v>232</v>
      </c>
      <c r="D290" s="7">
        <v>62434</v>
      </c>
      <c r="E290">
        <v>4</v>
      </c>
      <c r="W290" t="s">
        <v>214</v>
      </c>
      <c r="X290" s="11" t="s">
        <v>232</v>
      </c>
      <c r="Y290" s="7">
        <v>62434</v>
      </c>
      <c r="Z290" s="11" t="str">
        <f t="shared" si="47"/>
        <v>2023-12</v>
      </c>
      <c r="AP290" s="8"/>
      <c r="AQ290" s="8"/>
      <c r="AR290" s="8"/>
      <c r="AT290" s="8"/>
    </row>
    <row r="291" spans="1:46" x14ac:dyDescent="0.25">
      <c r="A291" t="s">
        <v>23</v>
      </c>
      <c r="B291" t="s">
        <v>69</v>
      </c>
      <c r="C291" t="s">
        <v>232</v>
      </c>
      <c r="D291" s="7">
        <v>61562</v>
      </c>
      <c r="E291">
        <v>4</v>
      </c>
      <c r="W291" t="s">
        <v>69</v>
      </c>
      <c r="X291" s="11" t="s">
        <v>232</v>
      </c>
      <c r="Y291" s="7">
        <v>61562</v>
      </c>
      <c r="Z291" s="11" t="str">
        <f t="shared" si="47"/>
        <v>2023-12</v>
      </c>
      <c r="AP291" s="8"/>
      <c r="AQ291" s="8"/>
      <c r="AR291" s="8"/>
      <c r="AT291" s="8"/>
    </row>
    <row r="292" spans="1:46" x14ac:dyDescent="0.25">
      <c r="A292" t="s">
        <v>10</v>
      </c>
      <c r="B292" t="s">
        <v>89</v>
      </c>
      <c r="C292" t="s">
        <v>232</v>
      </c>
      <c r="D292" s="7">
        <v>94634</v>
      </c>
      <c r="E292">
        <v>4</v>
      </c>
      <c r="W292" t="s">
        <v>89</v>
      </c>
      <c r="X292" s="11" t="s">
        <v>232</v>
      </c>
      <c r="Y292" s="7">
        <v>94634</v>
      </c>
      <c r="Z292" s="11" t="str">
        <f t="shared" si="47"/>
        <v>2023-12</v>
      </c>
      <c r="AP292" s="8"/>
      <c r="AQ292" s="8"/>
      <c r="AR292" s="8"/>
      <c r="AT292" s="8"/>
    </row>
    <row r="293" spans="1:46" x14ac:dyDescent="0.25">
      <c r="A293" t="s">
        <v>27</v>
      </c>
      <c r="B293" t="s">
        <v>112</v>
      </c>
      <c r="C293" t="s">
        <v>232</v>
      </c>
      <c r="D293" s="7">
        <v>43107</v>
      </c>
      <c r="E293">
        <v>8</v>
      </c>
      <c r="W293" t="s">
        <v>112</v>
      </c>
      <c r="X293" s="11" t="s">
        <v>232</v>
      </c>
      <c r="Y293" s="7">
        <v>43107</v>
      </c>
      <c r="Z293" s="11" t="str">
        <f t="shared" si="47"/>
        <v>2023-12</v>
      </c>
      <c r="AP293" s="8"/>
      <c r="AQ293" s="8"/>
      <c r="AR293" s="8"/>
      <c r="AT293" s="8"/>
    </row>
    <row r="294" spans="1:46" x14ac:dyDescent="0.25">
      <c r="A294" t="s">
        <v>10</v>
      </c>
      <c r="B294" t="s">
        <v>44</v>
      </c>
      <c r="C294" t="s">
        <v>232</v>
      </c>
      <c r="D294" s="7">
        <v>37294</v>
      </c>
      <c r="E294">
        <v>7</v>
      </c>
      <c r="W294" t="s">
        <v>44</v>
      </c>
      <c r="X294" s="11" t="s">
        <v>232</v>
      </c>
      <c r="Y294" s="7">
        <v>37294</v>
      </c>
      <c r="Z294" s="11" t="str">
        <f t="shared" si="47"/>
        <v>2023-12</v>
      </c>
      <c r="AP294" s="8"/>
      <c r="AQ294" s="8"/>
      <c r="AR294" s="8"/>
      <c r="AT294" s="8"/>
    </row>
    <row r="295" spans="1:46" x14ac:dyDescent="0.25">
      <c r="A295" t="s">
        <v>20</v>
      </c>
      <c r="B295" t="s">
        <v>69</v>
      </c>
      <c r="C295" t="s">
        <v>234</v>
      </c>
      <c r="D295" s="7">
        <v>48159</v>
      </c>
      <c r="E295">
        <v>9</v>
      </c>
      <c r="W295" t="s">
        <v>69</v>
      </c>
      <c r="X295" s="11" t="s">
        <v>234</v>
      </c>
      <c r="Y295" s="7">
        <v>48159</v>
      </c>
      <c r="Z295" s="11" t="str">
        <f t="shared" si="47"/>
        <v>2023-12</v>
      </c>
      <c r="AP295" s="8"/>
      <c r="AQ295" s="8"/>
      <c r="AR295" s="8"/>
      <c r="AT295" s="8"/>
    </row>
    <row r="296" spans="1:46" x14ac:dyDescent="0.25">
      <c r="A296" t="s">
        <v>14</v>
      </c>
      <c r="B296" t="s">
        <v>52</v>
      </c>
      <c r="C296" t="s">
        <v>234</v>
      </c>
      <c r="D296" s="7">
        <v>35752</v>
      </c>
      <c r="E296">
        <v>10</v>
      </c>
      <c r="W296" t="s">
        <v>52</v>
      </c>
      <c r="X296" s="11" t="s">
        <v>234</v>
      </c>
      <c r="Y296" s="7">
        <v>35752</v>
      </c>
      <c r="Z296" s="11" t="str">
        <f t="shared" si="47"/>
        <v>2023-12</v>
      </c>
      <c r="AP296" s="8"/>
      <c r="AQ296" s="8"/>
      <c r="AR296" s="8"/>
      <c r="AT296" s="8"/>
    </row>
    <row r="297" spans="1:46" x14ac:dyDescent="0.25">
      <c r="A297" t="s">
        <v>12</v>
      </c>
      <c r="B297" t="s">
        <v>103</v>
      </c>
      <c r="C297" t="s">
        <v>235</v>
      </c>
      <c r="D297" s="7">
        <v>31649</v>
      </c>
      <c r="E297">
        <v>7</v>
      </c>
      <c r="W297" t="s">
        <v>103</v>
      </c>
      <c r="X297" s="11" t="s">
        <v>235</v>
      </c>
      <c r="Y297" s="7">
        <v>31649</v>
      </c>
      <c r="Z297" s="11" t="str">
        <f t="shared" si="47"/>
        <v>2023-12</v>
      </c>
      <c r="AP297" s="8"/>
      <c r="AQ297" s="8"/>
      <c r="AR297" s="8"/>
      <c r="AT297" s="8"/>
    </row>
    <row r="298" spans="1:46" x14ac:dyDescent="0.25">
      <c r="A298" t="s">
        <v>5</v>
      </c>
      <c r="B298" t="s">
        <v>236</v>
      </c>
      <c r="C298" t="s">
        <v>235</v>
      </c>
      <c r="D298" s="7">
        <v>19599</v>
      </c>
      <c r="E298">
        <v>6</v>
      </c>
      <c r="W298" t="s">
        <v>236</v>
      </c>
      <c r="X298" s="11" t="s">
        <v>235</v>
      </c>
      <c r="Y298" s="7">
        <v>19599</v>
      </c>
      <c r="Z298" s="11" t="str">
        <f t="shared" si="47"/>
        <v>2023-12</v>
      </c>
      <c r="AP298" s="8"/>
      <c r="AQ298" s="8"/>
      <c r="AR298" s="8"/>
      <c r="AT298" s="8"/>
    </row>
    <row r="299" spans="1:46" x14ac:dyDescent="0.25">
      <c r="A299" t="s">
        <v>14</v>
      </c>
      <c r="B299" t="s">
        <v>87</v>
      </c>
      <c r="C299" t="s">
        <v>235</v>
      </c>
      <c r="D299" s="7">
        <v>30355</v>
      </c>
      <c r="E299">
        <v>5</v>
      </c>
      <c r="W299" t="s">
        <v>87</v>
      </c>
      <c r="X299" s="11" t="s">
        <v>235</v>
      </c>
      <c r="Y299" s="7">
        <v>30355</v>
      </c>
      <c r="Z299" s="11" t="str">
        <f t="shared" si="47"/>
        <v>2023-12</v>
      </c>
      <c r="AP299" s="8"/>
      <c r="AQ299" s="8"/>
      <c r="AR299" s="8"/>
      <c r="AT299" s="8"/>
    </row>
    <row r="300" spans="1:46" x14ac:dyDescent="0.25">
      <c r="A300" t="s">
        <v>20</v>
      </c>
      <c r="B300" t="s">
        <v>127</v>
      </c>
      <c r="C300" t="s">
        <v>235</v>
      </c>
      <c r="D300" s="7">
        <v>73882</v>
      </c>
      <c r="E300">
        <v>8</v>
      </c>
      <c r="W300" t="s">
        <v>127</v>
      </c>
      <c r="X300" s="11" t="s">
        <v>235</v>
      </c>
      <c r="Y300" s="7">
        <v>73882</v>
      </c>
      <c r="Z300" s="11" t="str">
        <f t="shared" si="47"/>
        <v>2023-12</v>
      </c>
      <c r="AP300" s="8"/>
      <c r="AQ300" s="8"/>
      <c r="AR300" s="8"/>
      <c r="AT300" s="8"/>
    </row>
    <row r="301" spans="1:46" x14ac:dyDescent="0.25">
      <c r="A301" t="s">
        <v>36</v>
      </c>
      <c r="B301" t="s">
        <v>237</v>
      </c>
      <c r="C301" t="s">
        <v>235</v>
      </c>
      <c r="D301" s="7">
        <v>26961</v>
      </c>
      <c r="E301">
        <v>3</v>
      </c>
      <c r="W301" t="s">
        <v>237</v>
      </c>
      <c r="X301" s="11" t="s">
        <v>235</v>
      </c>
      <c r="Y301" s="7">
        <v>26961</v>
      </c>
      <c r="Z301" s="11" t="str">
        <f t="shared" si="47"/>
        <v>2023-12</v>
      </c>
      <c r="AP301" s="8"/>
      <c r="AQ301" s="8"/>
      <c r="AR301" s="8"/>
      <c r="AT301" s="8"/>
    </row>
    <row r="302" spans="1:46" x14ac:dyDescent="0.25">
      <c r="A302" t="s">
        <v>20</v>
      </c>
      <c r="B302" t="s">
        <v>238</v>
      </c>
      <c r="C302" t="s">
        <v>239</v>
      </c>
      <c r="D302" s="7">
        <v>43139</v>
      </c>
      <c r="E302">
        <v>6</v>
      </c>
      <c r="W302" t="s">
        <v>238</v>
      </c>
      <c r="X302" s="11" t="s">
        <v>239</v>
      </c>
      <c r="Y302" s="7">
        <v>43139</v>
      </c>
      <c r="Z302" s="11" t="str">
        <f t="shared" si="47"/>
        <v>2023-12</v>
      </c>
      <c r="AP302" s="8"/>
      <c r="AQ302" s="8"/>
      <c r="AR302" s="8"/>
      <c r="AT302" s="8"/>
    </row>
    <row r="303" spans="1:46" x14ac:dyDescent="0.25">
      <c r="A303" t="s">
        <v>8</v>
      </c>
      <c r="B303" t="s">
        <v>89</v>
      </c>
      <c r="C303" t="s">
        <v>240</v>
      </c>
      <c r="D303" s="7">
        <v>68202</v>
      </c>
      <c r="E303">
        <v>3</v>
      </c>
      <c r="W303" t="s">
        <v>89</v>
      </c>
      <c r="X303" s="11" t="s">
        <v>240</v>
      </c>
      <c r="Y303" s="7">
        <v>68202</v>
      </c>
      <c r="Z303" s="11" t="str">
        <f t="shared" si="47"/>
        <v>2023-12</v>
      </c>
      <c r="AP303" s="8"/>
      <c r="AQ303" s="8"/>
      <c r="AR303" s="8"/>
      <c r="AT303" s="8"/>
    </row>
    <row r="304" spans="1:46" x14ac:dyDescent="0.25">
      <c r="A304" t="s">
        <v>27</v>
      </c>
      <c r="B304" t="s">
        <v>241</v>
      </c>
      <c r="C304" t="s">
        <v>240</v>
      </c>
      <c r="D304" s="7">
        <v>51582</v>
      </c>
      <c r="E304">
        <v>5</v>
      </c>
      <c r="W304" t="s">
        <v>241</v>
      </c>
      <c r="X304" s="11" t="s">
        <v>240</v>
      </c>
      <c r="Y304" s="7">
        <v>51582</v>
      </c>
      <c r="Z304" s="11" t="str">
        <f t="shared" si="47"/>
        <v>2023-12</v>
      </c>
      <c r="AP304" s="8"/>
      <c r="AQ304" s="8"/>
      <c r="AR304" s="8"/>
      <c r="AT304" s="8"/>
    </row>
    <row r="305" spans="1:46" x14ac:dyDescent="0.25">
      <c r="A305" t="s">
        <v>27</v>
      </c>
      <c r="B305" t="s">
        <v>52</v>
      </c>
      <c r="C305" t="s">
        <v>240</v>
      </c>
      <c r="D305" s="7">
        <v>97292</v>
      </c>
      <c r="E305">
        <v>2</v>
      </c>
      <c r="W305" t="s">
        <v>52</v>
      </c>
      <c r="X305" s="11" t="s">
        <v>240</v>
      </c>
      <c r="Y305" s="7">
        <v>97292</v>
      </c>
      <c r="Z305" s="11" t="str">
        <f t="shared" si="47"/>
        <v>2023-12</v>
      </c>
      <c r="AP305" s="8"/>
      <c r="AQ305" s="8"/>
      <c r="AR305" s="8"/>
      <c r="AT305" s="8"/>
    </row>
    <row r="306" spans="1:46" x14ac:dyDescent="0.25">
      <c r="A306" t="s">
        <v>33</v>
      </c>
      <c r="B306" t="s">
        <v>166</v>
      </c>
      <c r="C306" t="s">
        <v>240</v>
      </c>
      <c r="D306" s="7">
        <v>80146</v>
      </c>
      <c r="E306">
        <v>9</v>
      </c>
      <c r="W306" t="s">
        <v>166</v>
      </c>
      <c r="X306" s="11" t="s">
        <v>240</v>
      </c>
      <c r="Y306" s="7">
        <v>80146</v>
      </c>
      <c r="Z306" s="11" t="str">
        <f t="shared" si="47"/>
        <v>2023-12</v>
      </c>
      <c r="AP306" s="8"/>
      <c r="AQ306" s="8"/>
      <c r="AR306" s="8"/>
      <c r="AT306" s="8"/>
    </row>
    <row r="307" spans="1:46" x14ac:dyDescent="0.25">
      <c r="A307" t="s">
        <v>36</v>
      </c>
      <c r="B307" t="s">
        <v>242</v>
      </c>
      <c r="C307" t="s">
        <v>240</v>
      </c>
      <c r="D307" s="7">
        <v>42924</v>
      </c>
      <c r="E307">
        <v>0</v>
      </c>
      <c r="W307" t="s">
        <v>242</v>
      </c>
      <c r="X307" s="11" t="s">
        <v>240</v>
      </c>
      <c r="Y307" s="7">
        <v>42924</v>
      </c>
      <c r="Z307" s="11" t="str">
        <f t="shared" si="47"/>
        <v>2023-12</v>
      </c>
      <c r="AP307" s="8"/>
      <c r="AQ307" s="8"/>
      <c r="AR307" s="8"/>
      <c r="AT307" s="8"/>
    </row>
    <row r="308" spans="1:46" x14ac:dyDescent="0.25">
      <c r="A308" t="s">
        <v>14</v>
      </c>
      <c r="B308" t="s">
        <v>15</v>
      </c>
      <c r="C308" t="s">
        <v>243</v>
      </c>
      <c r="D308" s="7">
        <v>43448</v>
      </c>
      <c r="E308">
        <v>5</v>
      </c>
      <c r="W308" t="s">
        <v>15</v>
      </c>
      <c r="X308" s="11" t="s">
        <v>243</v>
      </c>
      <c r="Y308" s="7">
        <v>43448</v>
      </c>
      <c r="Z308" s="11" t="str">
        <f t="shared" si="47"/>
        <v>2023-12</v>
      </c>
      <c r="AP308" s="8"/>
      <c r="AQ308" s="8"/>
      <c r="AR308" s="8"/>
      <c r="AT308" s="8"/>
    </row>
    <row r="309" spans="1:46" x14ac:dyDescent="0.25">
      <c r="A309" t="s">
        <v>17</v>
      </c>
      <c r="B309" t="s">
        <v>244</v>
      </c>
      <c r="C309" t="s">
        <v>243</v>
      </c>
      <c r="D309" s="7">
        <v>73979</v>
      </c>
      <c r="E309">
        <v>3</v>
      </c>
      <c r="W309" t="s">
        <v>244</v>
      </c>
      <c r="X309" s="11" t="s">
        <v>243</v>
      </c>
      <c r="Y309" s="7">
        <v>73979</v>
      </c>
      <c r="Z309" s="11" t="str">
        <f t="shared" si="47"/>
        <v>2023-12</v>
      </c>
      <c r="AP309" s="8"/>
      <c r="AQ309" s="8"/>
      <c r="AR309" s="8"/>
      <c r="AT309" s="8"/>
    </row>
    <row r="310" spans="1:46" x14ac:dyDescent="0.25">
      <c r="A310" t="s">
        <v>5</v>
      </c>
      <c r="B310" t="s">
        <v>245</v>
      </c>
      <c r="C310" t="s">
        <v>246</v>
      </c>
      <c r="D310" s="7">
        <v>66502</v>
      </c>
      <c r="E310">
        <v>5</v>
      </c>
      <c r="W310" t="s">
        <v>245</v>
      </c>
      <c r="X310" s="11" t="s">
        <v>246</v>
      </c>
      <c r="Y310" s="7">
        <v>66502</v>
      </c>
      <c r="Z310" s="11" t="str">
        <f t="shared" si="47"/>
        <v>2023-12</v>
      </c>
      <c r="AP310" s="8"/>
      <c r="AQ310" s="8"/>
      <c r="AR310" s="8"/>
      <c r="AT310" s="8"/>
    </row>
    <row r="311" spans="1:46" x14ac:dyDescent="0.25">
      <c r="A311" t="s">
        <v>12</v>
      </c>
      <c r="B311" t="s">
        <v>247</v>
      </c>
      <c r="C311" t="s">
        <v>246</v>
      </c>
      <c r="D311" s="7">
        <v>56529</v>
      </c>
      <c r="E311">
        <v>6</v>
      </c>
      <c r="W311" t="s">
        <v>247</v>
      </c>
      <c r="X311" s="11" t="s">
        <v>246</v>
      </c>
      <c r="Y311" s="7">
        <v>56529</v>
      </c>
      <c r="Z311" s="11" t="str">
        <f t="shared" si="47"/>
        <v>2023-12</v>
      </c>
      <c r="AP311" s="8"/>
      <c r="AQ311" s="8"/>
      <c r="AR311" s="8"/>
      <c r="AT311" s="8"/>
    </row>
    <row r="312" spans="1:46" x14ac:dyDescent="0.25">
      <c r="A312" t="s">
        <v>23</v>
      </c>
      <c r="B312" t="s">
        <v>199</v>
      </c>
      <c r="C312" t="s">
        <v>246</v>
      </c>
      <c r="D312" s="7">
        <v>44093</v>
      </c>
      <c r="E312">
        <v>10</v>
      </c>
      <c r="W312" t="s">
        <v>199</v>
      </c>
      <c r="X312" s="11" t="s">
        <v>246</v>
      </c>
      <c r="Y312" s="7">
        <v>44093</v>
      </c>
      <c r="Z312" s="11" t="str">
        <f t="shared" si="47"/>
        <v>2023-12</v>
      </c>
      <c r="AP312" s="8"/>
      <c r="AQ312" s="8"/>
      <c r="AR312" s="8"/>
      <c r="AT312" s="8"/>
    </row>
    <row r="313" spans="1:46" x14ac:dyDescent="0.25">
      <c r="A313" t="s">
        <v>27</v>
      </c>
      <c r="B313" t="s">
        <v>156</v>
      </c>
      <c r="C313" t="s">
        <v>248</v>
      </c>
      <c r="D313" s="7">
        <v>47042</v>
      </c>
      <c r="E313">
        <v>4</v>
      </c>
      <c r="W313" t="s">
        <v>156</v>
      </c>
      <c r="X313" s="11" t="s">
        <v>248</v>
      </c>
      <c r="Y313" s="7">
        <v>47042</v>
      </c>
      <c r="Z313" s="11" t="str">
        <f t="shared" si="47"/>
        <v>2023-12</v>
      </c>
      <c r="AP313" s="8"/>
      <c r="AQ313" s="8"/>
      <c r="AR313" s="8"/>
      <c r="AT313" s="8"/>
    </row>
    <row r="314" spans="1:46" x14ac:dyDescent="0.25">
      <c r="A314" t="s">
        <v>8</v>
      </c>
      <c r="B314" t="s">
        <v>77</v>
      </c>
      <c r="C314" t="s">
        <v>248</v>
      </c>
      <c r="D314" s="7">
        <v>59311</v>
      </c>
      <c r="E314">
        <v>7</v>
      </c>
      <c r="W314" t="s">
        <v>77</v>
      </c>
      <c r="X314" s="11" t="s">
        <v>248</v>
      </c>
      <c r="Y314" s="7">
        <v>59311</v>
      </c>
      <c r="Z314" s="11" t="str">
        <f t="shared" si="47"/>
        <v>2023-12</v>
      </c>
      <c r="AP314" s="8"/>
      <c r="AQ314" s="8"/>
      <c r="AR314" s="8"/>
      <c r="AT314" s="8"/>
    </row>
    <row r="315" spans="1:46" x14ac:dyDescent="0.25">
      <c r="A315" t="s">
        <v>27</v>
      </c>
      <c r="B315" t="s">
        <v>249</v>
      </c>
      <c r="C315" t="s">
        <v>248</v>
      </c>
      <c r="D315" s="7">
        <v>22947</v>
      </c>
      <c r="E315">
        <v>2</v>
      </c>
      <c r="W315" t="s">
        <v>249</v>
      </c>
      <c r="X315" s="11" t="s">
        <v>248</v>
      </c>
      <c r="Y315" s="7">
        <v>22947</v>
      </c>
      <c r="Z315" s="11" t="str">
        <f t="shared" si="47"/>
        <v>2023-12</v>
      </c>
      <c r="AP315" s="8"/>
      <c r="AQ315" s="8"/>
      <c r="AR315" s="8"/>
      <c r="AT315" s="8"/>
    </row>
    <row r="316" spans="1:46" x14ac:dyDescent="0.25">
      <c r="A316" t="s">
        <v>32</v>
      </c>
      <c r="B316" t="s">
        <v>183</v>
      </c>
      <c r="C316" t="s">
        <v>250</v>
      </c>
      <c r="D316" s="7">
        <v>92381</v>
      </c>
      <c r="E316">
        <v>6</v>
      </c>
      <c r="W316" t="s">
        <v>183</v>
      </c>
      <c r="X316" s="11" t="s">
        <v>250</v>
      </c>
      <c r="Y316" s="7">
        <v>92381</v>
      </c>
      <c r="Z316" s="11" t="str">
        <f t="shared" si="47"/>
        <v>2024-1</v>
      </c>
      <c r="AP316" s="8"/>
      <c r="AQ316" s="8"/>
      <c r="AR316" s="8"/>
      <c r="AT316" s="8"/>
    </row>
    <row r="317" spans="1:46" x14ac:dyDescent="0.25">
      <c r="A317" t="s">
        <v>33</v>
      </c>
      <c r="B317" t="s">
        <v>183</v>
      </c>
      <c r="C317" t="s">
        <v>250</v>
      </c>
      <c r="D317" s="7">
        <v>95435</v>
      </c>
      <c r="E317">
        <v>7</v>
      </c>
      <c r="W317" t="s">
        <v>183</v>
      </c>
      <c r="X317" s="11" t="s">
        <v>250</v>
      </c>
      <c r="Y317" s="7">
        <v>95435</v>
      </c>
      <c r="Z317" s="11" t="str">
        <f t="shared" si="47"/>
        <v>2024-1</v>
      </c>
      <c r="AP317" s="8"/>
      <c r="AQ317" s="8"/>
      <c r="AR317" s="8"/>
      <c r="AT317" s="8"/>
    </row>
    <row r="318" spans="1:46" x14ac:dyDescent="0.25">
      <c r="A318" t="s">
        <v>10</v>
      </c>
      <c r="B318" t="s">
        <v>91</v>
      </c>
      <c r="C318" t="s">
        <v>250</v>
      </c>
      <c r="D318" s="7">
        <v>17985</v>
      </c>
      <c r="E318">
        <v>9</v>
      </c>
      <c r="W318" t="s">
        <v>91</v>
      </c>
      <c r="X318" s="11" t="s">
        <v>250</v>
      </c>
      <c r="Y318" s="7">
        <v>17985</v>
      </c>
      <c r="Z318" s="11" t="str">
        <f t="shared" si="47"/>
        <v>2024-1</v>
      </c>
      <c r="AP318" s="8"/>
      <c r="AQ318" s="8"/>
      <c r="AR318" s="8"/>
      <c r="AT318" s="8"/>
    </row>
    <row r="319" spans="1:46" x14ac:dyDescent="0.25">
      <c r="A319" t="s">
        <v>10</v>
      </c>
      <c r="B319" t="s">
        <v>181</v>
      </c>
      <c r="C319" t="s">
        <v>250</v>
      </c>
      <c r="D319" s="7">
        <v>24784</v>
      </c>
      <c r="E319">
        <v>9</v>
      </c>
      <c r="W319" t="s">
        <v>181</v>
      </c>
      <c r="X319" s="11" t="s">
        <v>250</v>
      </c>
      <c r="Y319" s="7">
        <v>24784</v>
      </c>
      <c r="Z319" s="11" t="str">
        <f t="shared" si="47"/>
        <v>2024-1</v>
      </c>
      <c r="AP319" s="8"/>
      <c r="AQ319" s="8"/>
      <c r="AR319" s="8"/>
      <c r="AT319" s="8"/>
    </row>
    <row r="320" spans="1:46" x14ac:dyDescent="0.25">
      <c r="A320" t="s">
        <v>10</v>
      </c>
      <c r="B320" t="s">
        <v>138</v>
      </c>
      <c r="C320" t="s">
        <v>250</v>
      </c>
      <c r="D320" s="7">
        <v>98145</v>
      </c>
      <c r="E320">
        <v>3</v>
      </c>
      <c r="W320" t="s">
        <v>138</v>
      </c>
      <c r="X320" s="11" t="s">
        <v>250</v>
      </c>
      <c r="Y320" s="7">
        <v>98145</v>
      </c>
      <c r="Z320" s="11" t="str">
        <f t="shared" si="47"/>
        <v>2024-1</v>
      </c>
      <c r="AP320" s="8"/>
      <c r="AQ320" s="8"/>
      <c r="AR320" s="8"/>
      <c r="AT320" s="8"/>
    </row>
    <row r="321" spans="1:46" x14ac:dyDescent="0.25">
      <c r="A321" t="s">
        <v>12</v>
      </c>
      <c r="B321" t="s">
        <v>191</v>
      </c>
      <c r="C321" t="s">
        <v>250</v>
      </c>
      <c r="D321" s="7">
        <v>84442</v>
      </c>
      <c r="E321">
        <v>3</v>
      </c>
      <c r="W321" t="s">
        <v>191</v>
      </c>
      <c r="X321" s="11" t="s">
        <v>250</v>
      </c>
      <c r="Y321" s="7">
        <v>84442</v>
      </c>
      <c r="Z321" s="11" t="str">
        <f t="shared" si="47"/>
        <v>2024-1</v>
      </c>
      <c r="AP321" s="8"/>
      <c r="AQ321" s="8"/>
      <c r="AR321" s="8"/>
      <c r="AT321" s="8"/>
    </row>
    <row r="322" spans="1:46" x14ac:dyDescent="0.25">
      <c r="A322" t="s">
        <v>32</v>
      </c>
      <c r="B322" t="s">
        <v>151</v>
      </c>
      <c r="C322" t="s">
        <v>250</v>
      </c>
      <c r="D322" s="7">
        <v>51341</v>
      </c>
      <c r="E322">
        <v>9</v>
      </c>
      <c r="W322" t="s">
        <v>151</v>
      </c>
      <c r="X322" s="11" t="s">
        <v>250</v>
      </c>
      <c r="Y322" s="7">
        <v>51341</v>
      </c>
      <c r="Z322" s="11" t="str">
        <f t="shared" si="47"/>
        <v>2024-1</v>
      </c>
      <c r="AP322" s="8"/>
      <c r="AQ322" s="8"/>
      <c r="AR322" s="8"/>
      <c r="AT322" s="8"/>
    </row>
    <row r="323" spans="1:46" x14ac:dyDescent="0.25">
      <c r="A323" t="s">
        <v>17</v>
      </c>
      <c r="B323" t="s">
        <v>158</v>
      </c>
      <c r="C323" t="s">
        <v>250</v>
      </c>
      <c r="D323" s="7">
        <v>93952</v>
      </c>
      <c r="E323">
        <v>9</v>
      </c>
      <c r="W323" t="s">
        <v>158</v>
      </c>
      <c r="X323" s="11" t="s">
        <v>250</v>
      </c>
      <c r="Y323" s="7">
        <v>93952</v>
      </c>
      <c r="Z323" s="11" t="str">
        <f t="shared" ref="Z323:Z386" si="48">MID(X323,1,4)&amp;"-"&amp;IF(MID(X323,6,1)*1=0,MID(X323,7,1),MID(X323,6,2))</f>
        <v>2024-1</v>
      </c>
      <c r="AP323" s="8"/>
      <c r="AQ323" s="8"/>
      <c r="AR323" s="8"/>
      <c r="AT323" s="8"/>
    </row>
    <row r="324" spans="1:46" x14ac:dyDescent="0.25">
      <c r="A324" t="s">
        <v>5</v>
      </c>
      <c r="B324" t="s">
        <v>106</v>
      </c>
      <c r="C324" t="s">
        <v>251</v>
      </c>
      <c r="D324" s="7">
        <v>81864</v>
      </c>
      <c r="E324">
        <v>3</v>
      </c>
      <c r="W324" t="s">
        <v>106</v>
      </c>
      <c r="X324" s="11" t="s">
        <v>251</v>
      </c>
      <c r="Y324" s="7">
        <v>81864</v>
      </c>
      <c r="Z324" s="11" t="str">
        <f t="shared" si="48"/>
        <v>2024-1</v>
      </c>
      <c r="AP324" s="8"/>
      <c r="AQ324" s="8"/>
      <c r="AR324" s="8"/>
      <c r="AT324" s="8"/>
    </row>
    <row r="325" spans="1:46" x14ac:dyDescent="0.25">
      <c r="A325" t="s">
        <v>10</v>
      </c>
      <c r="B325" t="s">
        <v>51</v>
      </c>
      <c r="C325" t="s">
        <v>252</v>
      </c>
      <c r="D325" s="7">
        <v>18242</v>
      </c>
      <c r="E325">
        <v>9</v>
      </c>
      <c r="W325" t="s">
        <v>51</v>
      </c>
      <c r="X325" s="11" t="s">
        <v>252</v>
      </c>
      <c r="Y325" s="7">
        <v>18242</v>
      </c>
      <c r="Z325" s="11" t="str">
        <f t="shared" si="48"/>
        <v>2024-1</v>
      </c>
      <c r="AP325" s="8"/>
      <c r="AQ325" s="8"/>
      <c r="AR325" s="8"/>
      <c r="AT325" s="8"/>
    </row>
    <row r="326" spans="1:46" x14ac:dyDescent="0.25">
      <c r="A326" t="s">
        <v>12</v>
      </c>
      <c r="B326" t="s">
        <v>253</v>
      </c>
      <c r="C326" t="s">
        <v>252</v>
      </c>
      <c r="D326" s="7">
        <v>76230</v>
      </c>
      <c r="E326">
        <v>9</v>
      </c>
      <c r="W326" t="s">
        <v>253</v>
      </c>
      <c r="X326" s="11" t="s">
        <v>252</v>
      </c>
      <c r="Y326" s="7">
        <v>76230</v>
      </c>
      <c r="Z326" s="11" t="str">
        <f t="shared" si="48"/>
        <v>2024-1</v>
      </c>
      <c r="AP326" s="8"/>
      <c r="AQ326" s="8"/>
      <c r="AR326" s="8"/>
      <c r="AT326" s="8"/>
    </row>
    <row r="327" spans="1:46" x14ac:dyDescent="0.25">
      <c r="A327" t="s">
        <v>32</v>
      </c>
      <c r="B327" t="s">
        <v>254</v>
      </c>
      <c r="C327" t="s">
        <v>252</v>
      </c>
      <c r="D327" s="7">
        <v>59067</v>
      </c>
      <c r="E327">
        <v>6</v>
      </c>
      <c r="W327" t="s">
        <v>254</v>
      </c>
      <c r="X327" s="11" t="s">
        <v>252</v>
      </c>
      <c r="Y327" s="7">
        <v>59067</v>
      </c>
      <c r="Z327" s="11" t="str">
        <f t="shared" si="48"/>
        <v>2024-1</v>
      </c>
      <c r="AP327" s="8"/>
      <c r="AQ327" s="8"/>
      <c r="AR327" s="8"/>
      <c r="AT327" s="8"/>
    </row>
    <row r="328" spans="1:46" x14ac:dyDescent="0.25">
      <c r="A328" t="s">
        <v>5</v>
      </c>
      <c r="B328" t="s">
        <v>255</v>
      </c>
      <c r="C328" t="s">
        <v>252</v>
      </c>
      <c r="D328" s="7">
        <v>72863</v>
      </c>
      <c r="E328">
        <v>6</v>
      </c>
      <c r="W328" t="s">
        <v>255</v>
      </c>
      <c r="X328" s="11" t="s">
        <v>252</v>
      </c>
      <c r="Y328" s="7">
        <v>72863</v>
      </c>
      <c r="Z328" s="11" t="str">
        <f t="shared" si="48"/>
        <v>2024-1</v>
      </c>
      <c r="AP328" s="8"/>
      <c r="AQ328" s="8"/>
      <c r="AR328" s="8"/>
      <c r="AT328" s="8"/>
    </row>
    <row r="329" spans="1:46" x14ac:dyDescent="0.25">
      <c r="A329" t="s">
        <v>32</v>
      </c>
      <c r="B329" t="s">
        <v>98</v>
      </c>
      <c r="C329" t="s">
        <v>252</v>
      </c>
      <c r="D329" s="7">
        <v>59520</v>
      </c>
      <c r="E329">
        <v>2</v>
      </c>
      <c r="W329" t="s">
        <v>98</v>
      </c>
      <c r="X329" s="11" t="s">
        <v>252</v>
      </c>
      <c r="Y329" s="7">
        <v>59520</v>
      </c>
      <c r="Z329" s="11" t="str">
        <f t="shared" si="48"/>
        <v>2024-1</v>
      </c>
      <c r="AP329" s="8"/>
      <c r="AQ329" s="8"/>
      <c r="AR329" s="8"/>
      <c r="AT329" s="8"/>
    </row>
    <row r="330" spans="1:46" x14ac:dyDescent="0.25">
      <c r="A330" t="s">
        <v>27</v>
      </c>
      <c r="B330" t="s">
        <v>256</v>
      </c>
      <c r="C330" t="s">
        <v>257</v>
      </c>
      <c r="D330" s="7">
        <v>91752</v>
      </c>
      <c r="E330">
        <v>6</v>
      </c>
      <c r="W330" t="s">
        <v>256</v>
      </c>
      <c r="X330" s="11" t="s">
        <v>257</v>
      </c>
      <c r="Y330" s="7">
        <v>91752</v>
      </c>
      <c r="Z330" s="11" t="str">
        <f t="shared" si="48"/>
        <v>2024-1</v>
      </c>
      <c r="AP330" s="8"/>
      <c r="AQ330" s="8"/>
      <c r="AR330" s="8"/>
      <c r="AT330" s="8"/>
    </row>
    <row r="331" spans="1:46" x14ac:dyDescent="0.25">
      <c r="A331" t="s">
        <v>8</v>
      </c>
      <c r="B331" t="s">
        <v>144</v>
      </c>
      <c r="C331" t="s">
        <v>258</v>
      </c>
      <c r="D331" s="7">
        <v>18592</v>
      </c>
      <c r="E331">
        <v>6</v>
      </c>
      <c r="W331" t="s">
        <v>144</v>
      </c>
      <c r="X331" s="11" t="s">
        <v>258</v>
      </c>
      <c r="Y331" s="7">
        <v>18592</v>
      </c>
      <c r="Z331" s="11" t="str">
        <f t="shared" si="48"/>
        <v>2024-1</v>
      </c>
      <c r="AP331" s="8"/>
      <c r="AQ331" s="8"/>
      <c r="AR331" s="8"/>
      <c r="AT331" s="8"/>
    </row>
    <row r="332" spans="1:46" x14ac:dyDescent="0.25">
      <c r="A332" t="s">
        <v>27</v>
      </c>
      <c r="B332" t="s">
        <v>133</v>
      </c>
      <c r="C332" t="s">
        <v>258</v>
      </c>
      <c r="D332" s="7">
        <v>91038</v>
      </c>
      <c r="E332">
        <v>6</v>
      </c>
      <c r="W332" t="s">
        <v>133</v>
      </c>
      <c r="X332" s="11" t="s">
        <v>258</v>
      </c>
      <c r="Y332" s="7">
        <v>91038</v>
      </c>
      <c r="Z332" s="11" t="str">
        <f t="shared" si="48"/>
        <v>2024-1</v>
      </c>
      <c r="AP332" s="8"/>
      <c r="AQ332" s="8"/>
      <c r="AR332" s="8"/>
      <c r="AT332" s="8"/>
    </row>
    <row r="333" spans="1:46" x14ac:dyDescent="0.25">
      <c r="A333" t="s">
        <v>32</v>
      </c>
      <c r="B333" t="s">
        <v>65</v>
      </c>
      <c r="C333" t="s">
        <v>258</v>
      </c>
      <c r="D333" s="7">
        <v>32417</v>
      </c>
      <c r="E333">
        <v>2</v>
      </c>
      <c r="W333" t="s">
        <v>65</v>
      </c>
      <c r="X333" s="11" t="s">
        <v>258</v>
      </c>
      <c r="Y333" s="7">
        <v>32417</v>
      </c>
      <c r="Z333" s="11" t="str">
        <f t="shared" si="48"/>
        <v>2024-1</v>
      </c>
      <c r="AP333" s="8"/>
      <c r="AQ333" s="8"/>
      <c r="AR333" s="8"/>
      <c r="AT333" s="8"/>
    </row>
    <row r="334" spans="1:46" x14ac:dyDescent="0.25">
      <c r="A334" t="s">
        <v>10</v>
      </c>
      <c r="B334" t="s">
        <v>69</v>
      </c>
      <c r="C334" t="s">
        <v>258</v>
      </c>
      <c r="D334" s="7">
        <v>81410</v>
      </c>
      <c r="E334">
        <v>5</v>
      </c>
      <c r="W334" t="s">
        <v>69</v>
      </c>
      <c r="X334" s="11" t="s">
        <v>258</v>
      </c>
      <c r="Y334" s="7">
        <v>81410</v>
      </c>
      <c r="Z334" s="11" t="str">
        <f t="shared" si="48"/>
        <v>2024-1</v>
      </c>
      <c r="AP334" s="8"/>
      <c r="AQ334" s="8"/>
      <c r="AR334" s="8"/>
      <c r="AT334" s="8"/>
    </row>
    <row r="335" spans="1:46" x14ac:dyDescent="0.25">
      <c r="A335" t="s">
        <v>17</v>
      </c>
      <c r="B335" t="s">
        <v>259</v>
      </c>
      <c r="C335" t="s">
        <v>258</v>
      </c>
      <c r="D335" s="7">
        <v>43010</v>
      </c>
      <c r="E335">
        <v>7</v>
      </c>
      <c r="W335" t="s">
        <v>259</v>
      </c>
      <c r="X335" s="11" t="s">
        <v>258</v>
      </c>
      <c r="Y335" s="7">
        <v>43010</v>
      </c>
      <c r="Z335" s="11" t="str">
        <f t="shared" si="48"/>
        <v>2024-1</v>
      </c>
      <c r="AP335" s="8"/>
      <c r="AQ335" s="8"/>
      <c r="AR335" s="8"/>
      <c r="AT335" s="8"/>
    </row>
    <row r="336" spans="1:46" x14ac:dyDescent="0.25">
      <c r="A336" t="s">
        <v>10</v>
      </c>
      <c r="B336" t="s">
        <v>95</v>
      </c>
      <c r="C336" t="s">
        <v>260</v>
      </c>
      <c r="D336" s="7">
        <v>18518</v>
      </c>
      <c r="E336">
        <v>9</v>
      </c>
      <c r="W336" t="s">
        <v>95</v>
      </c>
      <c r="X336" s="11" t="s">
        <v>260</v>
      </c>
      <c r="Y336" s="7">
        <v>18518</v>
      </c>
      <c r="Z336" s="11" t="str">
        <f t="shared" si="48"/>
        <v>2024-1</v>
      </c>
      <c r="AP336" s="8"/>
      <c r="AQ336" s="8"/>
      <c r="AR336" s="8"/>
      <c r="AT336" s="8"/>
    </row>
    <row r="337" spans="1:46" x14ac:dyDescent="0.25">
      <c r="A337" t="s">
        <v>27</v>
      </c>
      <c r="B337" t="s">
        <v>173</v>
      </c>
      <c r="C337" t="s">
        <v>260</v>
      </c>
      <c r="D337" s="7">
        <v>98171</v>
      </c>
      <c r="E337">
        <v>4</v>
      </c>
      <c r="W337" t="s">
        <v>173</v>
      </c>
      <c r="X337" s="11" t="s">
        <v>260</v>
      </c>
      <c r="Y337" s="7">
        <v>98171</v>
      </c>
      <c r="Z337" s="11" t="str">
        <f t="shared" si="48"/>
        <v>2024-1</v>
      </c>
      <c r="AP337" s="8"/>
      <c r="AQ337" s="8"/>
      <c r="AR337" s="8"/>
      <c r="AT337" s="8"/>
    </row>
    <row r="338" spans="1:46" x14ac:dyDescent="0.25">
      <c r="A338" t="s">
        <v>36</v>
      </c>
      <c r="B338" t="s">
        <v>54</v>
      </c>
      <c r="C338" t="s">
        <v>260</v>
      </c>
      <c r="D338" s="7">
        <v>52592</v>
      </c>
      <c r="E338">
        <v>10</v>
      </c>
      <c r="W338" t="s">
        <v>54</v>
      </c>
      <c r="X338" s="11" t="s">
        <v>260</v>
      </c>
      <c r="Y338" s="7">
        <v>52592</v>
      </c>
      <c r="Z338" s="11" t="str">
        <f t="shared" si="48"/>
        <v>2024-1</v>
      </c>
      <c r="AP338" s="8"/>
      <c r="AQ338" s="8"/>
      <c r="AR338" s="8"/>
      <c r="AT338" s="8"/>
    </row>
    <row r="339" spans="1:46" x14ac:dyDescent="0.25">
      <c r="A339" t="s">
        <v>10</v>
      </c>
      <c r="B339" t="s">
        <v>19</v>
      </c>
      <c r="C339" t="s">
        <v>260</v>
      </c>
      <c r="D339" s="7">
        <v>86298</v>
      </c>
      <c r="E339">
        <v>8</v>
      </c>
      <c r="W339" t="s">
        <v>19</v>
      </c>
      <c r="X339" s="11" t="s">
        <v>260</v>
      </c>
      <c r="Y339" s="7">
        <v>86298</v>
      </c>
      <c r="Z339" s="11" t="str">
        <f t="shared" si="48"/>
        <v>2024-1</v>
      </c>
      <c r="AP339" s="8"/>
      <c r="AQ339" s="8"/>
      <c r="AR339" s="8"/>
      <c r="AT339" s="8"/>
    </row>
    <row r="340" spans="1:46" x14ac:dyDescent="0.25">
      <c r="A340" t="s">
        <v>5</v>
      </c>
      <c r="B340" t="s">
        <v>144</v>
      </c>
      <c r="C340" t="s">
        <v>260</v>
      </c>
      <c r="D340" s="7">
        <v>24625</v>
      </c>
      <c r="E340">
        <v>9</v>
      </c>
      <c r="W340" t="s">
        <v>144</v>
      </c>
      <c r="X340" s="11" t="s">
        <v>260</v>
      </c>
      <c r="Y340" s="7">
        <v>24625</v>
      </c>
      <c r="Z340" s="11" t="str">
        <f t="shared" si="48"/>
        <v>2024-1</v>
      </c>
      <c r="AP340" s="8"/>
      <c r="AQ340" s="8"/>
      <c r="AR340" s="8"/>
      <c r="AT340" s="8"/>
    </row>
    <row r="341" spans="1:46" x14ac:dyDescent="0.25">
      <c r="A341" t="s">
        <v>36</v>
      </c>
      <c r="B341" t="s">
        <v>184</v>
      </c>
      <c r="C341" t="s">
        <v>261</v>
      </c>
      <c r="D341" s="7">
        <v>25423</v>
      </c>
      <c r="E341">
        <v>2</v>
      </c>
      <c r="W341" t="s">
        <v>184</v>
      </c>
      <c r="X341" s="11" t="s">
        <v>261</v>
      </c>
      <c r="Y341" s="7">
        <v>25423</v>
      </c>
      <c r="Z341" s="11" t="str">
        <f t="shared" si="48"/>
        <v>2024-1</v>
      </c>
      <c r="AP341" s="8"/>
      <c r="AQ341" s="8"/>
      <c r="AR341" s="8"/>
      <c r="AT341" s="8"/>
    </row>
    <row r="342" spans="1:46" x14ac:dyDescent="0.25">
      <c r="A342" t="s">
        <v>10</v>
      </c>
      <c r="B342" t="s">
        <v>156</v>
      </c>
      <c r="C342" t="s">
        <v>262</v>
      </c>
      <c r="D342" s="7">
        <v>10391</v>
      </c>
      <c r="E342">
        <v>7</v>
      </c>
      <c r="W342" t="s">
        <v>156</v>
      </c>
      <c r="X342" s="11" t="s">
        <v>262</v>
      </c>
      <c r="Y342" s="7">
        <v>10391</v>
      </c>
      <c r="Z342" s="11" t="str">
        <f t="shared" si="48"/>
        <v>2024-1</v>
      </c>
      <c r="AP342" s="8"/>
      <c r="AQ342" s="8"/>
      <c r="AR342" s="8"/>
      <c r="AT342" s="8"/>
    </row>
    <row r="343" spans="1:46" x14ac:dyDescent="0.25">
      <c r="A343" t="s">
        <v>20</v>
      </c>
      <c r="B343" t="s">
        <v>58</v>
      </c>
      <c r="C343" t="s">
        <v>262</v>
      </c>
      <c r="D343" s="7">
        <v>85152</v>
      </c>
      <c r="E343">
        <v>7</v>
      </c>
      <c r="W343" t="s">
        <v>58</v>
      </c>
      <c r="X343" s="11" t="s">
        <v>262</v>
      </c>
      <c r="Y343" s="7">
        <v>85152</v>
      </c>
      <c r="Z343" s="11" t="str">
        <f t="shared" si="48"/>
        <v>2024-1</v>
      </c>
      <c r="AP343" s="8"/>
      <c r="AQ343" s="8"/>
      <c r="AR343" s="8"/>
      <c r="AT343" s="8"/>
    </row>
    <row r="344" spans="1:46" x14ac:dyDescent="0.25">
      <c r="A344" t="s">
        <v>33</v>
      </c>
      <c r="B344" t="s">
        <v>263</v>
      </c>
      <c r="C344" t="s">
        <v>264</v>
      </c>
      <c r="D344" s="7">
        <v>79719</v>
      </c>
      <c r="E344">
        <v>8</v>
      </c>
      <c r="W344" t="s">
        <v>263</v>
      </c>
      <c r="X344" s="11" t="s">
        <v>264</v>
      </c>
      <c r="Y344" s="7">
        <v>79719</v>
      </c>
      <c r="Z344" s="11" t="str">
        <f t="shared" si="48"/>
        <v>2024-1</v>
      </c>
      <c r="AP344" s="8"/>
      <c r="AQ344" s="8"/>
      <c r="AR344" s="8"/>
      <c r="AT344" s="8"/>
    </row>
    <row r="345" spans="1:46" x14ac:dyDescent="0.25">
      <c r="A345" t="s">
        <v>23</v>
      </c>
      <c r="B345" t="s">
        <v>256</v>
      </c>
      <c r="C345" t="s">
        <v>264</v>
      </c>
      <c r="D345" s="7">
        <v>66404</v>
      </c>
      <c r="E345">
        <v>1</v>
      </c>
      <c r="W345" t="s">
        <v>256</v>
      </c>
      <c r="X345" s="11" t="s">
        <v>264</v>
      </c>
      <c r="Y345" s="7">
        <v>66404</v>
      </c>
      <c r="Z345" s="11" t="str">
        <f t="shared" si="48"/>
        <v>2024-1</v>
      </c>
      <c r="AP345" s="8"/>
      <c r="AQ345" s="8"/>
      <c r="AR345" s="8"/>
      <c r="AT345" s="8"/>
    </row>
    <row r="346" spans="1:46" x14ac:dyDescent="0.25">
      <c r="A346" t="s">
        <v>33</v>
      </c>
      <c r="B346" t="s">
        <v>42</v>
      </c>
      <c r="C346" t="s">
        <v>264</v>
      </c>
      <c r="D346" s="7">
        <v>96261</v>
      </c>
      <c r="E346">
        <v>6</v>
      </c>
      <c r="W346" t="s">
        <v>42</v>
      </c>
      <c r="X346" s="11" t="s">
        <v>264</v>
      </c>
      <c r="Y346" s="7">
        <v>96261</v>
      </c>
      <c r="Z346" s="11" t="str">
        <f t="shared" si="48"/>
        <v>2024-1</v>
      </c>
      <c r="AP346" s="8"/>
      <c r="AQ346" s="8"/>
      <c r="AR346" s="8"/>
      <c r="AT346" s="8"/>
    </row>
    <row r="347" spans="1:46" x14ac:dyDescent="0.25">
      <c r="A347" t="s">
        <v>27</v>
      </c>
      <c r="B347" t="s">
        <v>142</v>
      </c>
      <c r="C347" t="s">
        <v>265</v>
      </c>
      <c r="D347" s="7">
        <v>29595</v>
      </c>
      <c r="E347">
        <v>5</v>
      </c>
      <c r="W347" t="s">
        <v>142</v>
      </c>
      <c r="X347" s="11" t="s">
        <v>265</v>
      </c>
      <c r="Y347" s="7">
        <v>29595</v>
      </c>
      <c r="Z347" s="11" t="str">
        <f t="shared" si="48"/>
        <v>2024-1</v>
      </c>
      <c r="AP347" s="8"/>
      <c r="AQ347" s="8"/>
      <c r="AR347" s="8"/>
      <c r="AT347" s="8"/>
    </row>
    <row r="348" spans="1:46" x14ac:dyDescent="0.25">
      <c r="A348" t="s">
        <v>36</v>
      </c>
      <c r="B348" t="s">
        <v>19</v>
      </c>
      <c r="C348" t="s">
        <v>265</v>
      </c>
      <c r="D348" s="7">
        <v>55948</v>
      </c>
      <c r="E348">
        <v>9</v>
      </c>
      <c r="W348" t="s">
        <v>19</v>
      </c>
      <c r="X348" s="11" t="s">
        <v>265</v>
      </c>
      <c r="Y348" s="7">
        <v>55948</v>
      </c>
      <c r="Z348" s="11" t="str">
        <f t="shared" si="48"/>
        <v>2024-1</v>
      </c>
      <c r="AP348" s="8"/>
      <c r="AQ348" s="8"/>
      <c r="AR348" s="8"/>
      <c r="AT348" s="8"/>
    </row>
    <row r="349" spans="1:46" x14ac:dyDescent="0.25">
      <c r="A349" t="s">
        <v>33</v>
      </c>
      <c r="B349" t="s">
        <v>116</v>
      </c>
      <c r="C349" t="s">
        <v>265</v>
      </c>
      <c r="D349" s="7">
        <v>66111</v>
      </c>
      <c r="E349">
        <v>8</v>
      </c>
      <c r="W349" t="s">
        <v>116</v>
      </c>
      <c r="X349" s="11" t="s">
        <v>265</v>
      </c>
      <c r="Y349" s="7">
        <v>66111</v>
      </c>
      <c r="Z349" s="11" t="str">
        <f t="shared" si="48"/>
        <v>2024-1</v>
      </c>
      <c r="AP349" s="8"/>
      <c r="AQ349" s="8"/>
      <c r="AR349" s="8"/>
      <c r="AT349" s="8"/>
    </row>
    <row r="350" spans="1:46" x14ac:dyDescent="0.25">
      <c r="A350" t="s">
        <v>32</v>
      </c>
      <c r="B350" t="s">
        <v>263</v>
      </c>
      <c r="C350" t="s">
        <v>265</v>
      </c>
      <c r="D350" s="7">
        <v>14657</v>
      </c>
      <c r="E350">
        <v>8</v>
      </c>
      <c r="W350" t="s">
        <v>263</v>
      </c>
      <c r="X350" s="11" t="s">
        <v>265</v>
      </c>
      <c r="Y350" s="7">
        <v>14657</v>
      </c>
      <c r="Z350" s="11" t="str">
        <f t="shared" si="48"/>
        <v>2024-1</v>
      </c>
      <c r="AP350" s="8"/>
      <c r="AQ350" s="8"/>
      <c r="AR350" s="8"/>
      <c r="AT350" s="8"/>
    </row>
    <row r="351" spans="1:46" x14ac:dyDescent="0.25">
      <c r="A351" t="s">
        <v>10</v>
      </c>
      <c r="B351" t="s">
        <v>213</v>
      </c>
      <c r="C351" t="s">
        <v>265</v>
      </c>
      <c r="D351" s="7">
        <v>78057</v>
      </c>
      <c r="E351">
        <v>9</v>
      </c>
      <c r="W351" t="s">
        <v>213</v>
      </c>
      <c r="X351" s="11" t="s">
        <v>265</v>
      </c>
      <c r="Y351" s="7">
        <v>78057</v>
      </c>
      <c r="Z351" s="11" t="str">
        <f t="shared" si="48"/>
        <v>2024-1</v>
      </c>
      <c r="AP351" s="8"/>
      <c r="AQ351" s="8"/>
      <c r="AR351" s="8"/>
      <c r="AT351" s="8"/>
    </row>
    <row r="352" spans="1:46" x14ac:dyDescent="0.25">
      <c r="A352" t="s">
        <v>14</v>
      </c>
      <c r="B352" t="s">
        <v>148</v>
      </c>
      <c r="C352" t="s">
        <v>265</v>
      </c>
      <c r="D352" s="7">
        <v>39487</v>
      </c>
      <c r="E352">
        <v>6</v>
      </c>
      <c r="W352" t="s">
        <v>148</v>
      </c>
      <c r="X352" s="11" t="s">
        <v>265</v>
      </c>
      <c r="Y352" s="7">
        <v>39487</v>
      </c>
      <c r="Z352" s="11" t="str">
        <f t="shared" si="48"/>
        <v>2024-1</v>
      </c>
      <c r="AP352" s="8"/>
      <c r="AQ352" s="8"/>
      <c r="AR352" s="8"/>
      <c r="AT352" s="8"/>
    </row>
    <row r="353" spans="1:46" x14ac:dyDescent="0.25">
      <c r="A353" t="s">
        <v>8</v>
      </c>
      <c r="B353" t="s">
        <v>266</v>
      </c>
      <c r="C353" t="s">
        <v>267</v>
      </c>
      <c r="D353" s="7">
        <v>43308</v>
      </c>
      <c r="E353">
        <v>7</v>
      </c>
      <c r="W353" t="s">
        <v>266</v>
      </c>
      <c r="X353" s="11" t="s">
        <v>267</v>
      </c>
      <c r="Y353" s="7">
        <v>43308</v>
      </c>
      <c r="Z353" s="11" t="str">
        <f t="shared" si="48"/>
        <v>2024-1</v>
      </c>
      <c r="AP353" s="8"/>
      <c r="AQ353" s="8"/>
      <c r="AR353" s="8"/>
      <c r="AT353" s="8"/>
    </row>
    <row r="354" spans="1:46" x14ac:dyDescent="0.25">
      <c r="A354" t="s">
        <v>17</v>
      </c>
      <c r="B354" t="s">
        <v>254</v>
      </c>
      <c r="C354" t="s">
        <v>268</v>
      </c>
      <c r="D354" s="7">
        <v>11819</v>
      </c>
      <c r="E354">
        <v>9</v>
      </c>
      <c r="W354" t="s">
        <v>254</v>
      </c>
      <c r="X354" s="11" t="s">
        <v>268</v>
      </c>
      <c r="Y354" s="7">
        <v>11819</v>
      </c>
      <c r="Z354" s="11" t="str">
        <f t="shared" si="48"/>
        <v>2024-1</v>
      </c>
      <c r="AP354" s="8"/>
      <c r="AQ354" s="8"/>
      <c r="AR354" s="8"/>
      <c r="AT354" s="8"/>
    </row>
    <row r="355" spans="1:46" x14ac:dyDescent="0.25">
      <c r="A355" t="s">
        <v>8</v>
      </c>
      <c r="B355" t="s">
        <v>229</v>
      </c>
      <c r="C355" t="s">
        <v>268</v>
      </c>
      <c r="D355" s="7">
        <v>56932</v>
      </c>
      <c r="E355">
        <v>5</v>
      </c>
      <c r="W355" t="s">
        <v>229</v>
      </c>
      <c r="X355" s="11" t="s">
        <v>268</v>
      </c>
      <c r="Y355" s="7">
        <v>56932</v>
      </c>
      <c r="Z355" s="11" t="str">
        <f t="shared" si="48"/>
        <v>2024-1</v>
      </c>
      <c r="AP355" s="8"/>
      <c r="AQ355" s="8"/>
      <c r="AR355" s="8"/>
      <c r="AT355" s="8"/>
    </row>
    <row r="356" spans="1:46" x14ac:dyDescent="0.25">
      <c r="A356" t="s">
        <v>32</v>
      </c>
      <c r="B356" t="s">
        <v>168</v>
      </c>
      <c r="C356" t="s">
        <v>268</v>
      </c>
      <c r="D356" s="7">
        <v>16401</v>
      </c>
      <c r="E356">
        <v>8</v>
      </c>
      <c r="W356" t="s">
        <v>168</v>
      </c>
      <c r="X356" s="11" t="s">
        <v>268</v>
      </c>
      <c r="Y356" s="7">
        <v>16401</v>
      </c>
      <c r="Z356" s="11" t="str">
        <f t="shared" si="48"/>
        <v>2024-1</v>
      </c>
      <c r="AP356" s="8"/>
      <c r="AQ356" s="8"/>
      <c r="AR356" s="8"/>
      <c r="AT356" s="8"/>
    </row>
    <row r="357" spans="1:46" x14ac:dyDescent="0.25">
      <c r="A357" t="s">
        <v>20</v>
      </c>
      <c r="B357" t="s">
        <v>87</v>
      </c>
      <c r="C357" t="s">
        <v>268</v>
      </c>
      <c r="D357" s="7">
        <v>31317</v>
      </c>
      <c r="E357">
        <v>7</v>
      </c>
      <c r="W357" t="s">
        <v>87</v>
      </c>
      <c r="X357" s="11" t="s">
        <v>268</v>
      </c>
      <c r="Y357" s="7">
        <v>31317</v>
      </c>
      <c r="Z357" s="11" t="str">
        <f t="shared" si="48"/>
        <v>2024-1</v>
      </c>
      <c r="AP357" s="8"/>
      <c r="AQ357" s="8"/>
      <c r="AR357" s="8"/>
      <c r="AT357" s="8"/>
    </row>
    <row r="358" spans="1:46" x14ac:dyDescent="0.25">
      <c r="A358" t="s">
        <v>23</v>
      </c>
      <c r="B358" t="s">
        <v>269</v>
      </c>
      <c r="C358" t="s">
        <v>268</v>
      </c>
      <c r="D358" s="7">
        <v>80818</v>
      </c>
      <c r="E358">
        <v>4</v>
      </c>
      <c r="W358" t="s">
        <v>269</v>
      </c>
      <c r="X358" s="11" t="s">
        <v>268</v>
      </c>
      <c r="Y358" s="7">
        <v>80818</v>
      </c>
      <c r="Z358" s="11" t="str">
        <f t="shared" si="48"/>
        <v>2024-1</v>
      </c>
      <c r="AP358" s="8"/>
      <c r="AQ358" s="8"/>
      <c r="AR358" s="8"/>
      <c r="AT358" s="8"/>
    </row>
    <row r="359" spans="1:46" x14ac:dyDescent="0.25">
      <c r="A359" t="s">
        <v>32</v>
      </c>
      <c r="B359" t="s">
        <v>24</v>
      </c>
      <c r="C359" t="s">
        <v>270</v>
      </c>
      <c r="D359" s="7">
        <v>84460</v>
      </c>
      <c r="E359">
        <v>6</v>
      </c>
      <c r="W359" t="s">
        <v>24</v>
      </c>
      <c r="X359" s="11" t="s">
        <v>270</v>
      </c>
      <c r="Y359" s="7">
        <v>84460</v>
      </c>
      <c r="Z359" s="11" t="str">
        <f t="shared" si="48"/>
        <v>2024-1</v>
      </c>
      <c r="AP359" s="8"/>
      <c r="AQ359" s="8"/>
      <c r="AR359" s="8"/>
      <c r="AT359" s="8"/>
    </row>
    <row r="360" spans="1:46" x14ac:dyDescent="0.25">
      <c r="A360" t="s">
        <v>20</v>
      </c>
      <c r="B360" t="s">
        <v>41</v>
      </c>
      <c r="C360" t="s">
        <v>270</v>
      </c>
      <c r="D360" s="7">
        <v>67280</v>
      </c>
      <c r="E360">
        <v>10</v>
      </c>
      <c r="W360" t="s">
        <v>41</v>
      </c>
      <c r="X360" s="11" t="s">
        <v>270</v>
      </c>
      <c r="Y360" s="7">
        <v>67280</v>
      </c>
      <c r="Z360" s="11" t="str">
        <f t="shared" si="48"/>
        <v>2024-1</v>
      </c>
      <c r="AP360" s="8"/>
      <c r="AQ360" s="8"/>
      <c r="AR360" s="8"/>
      <c r="AT360" s="8"/>
    </row>
    <row r="361" spans="1:46" x14ac:dyDescent="0.25">
      <c r="A361" t="s">
        <v>36</v>
      </c>
      <c r="B361" t="s">
        <v>47</v>
      </c>
      <c r="C361" t="s">
        <v>271</v>
      </c>
      <c r="D361" s="7">
        <v>49332</v>
      </c>
      <c r="E361">
        <v>7</v>
      </c>
      <c r="W361" t="s">
        <v>47</v>
      </c>
      <c r="X361" s="11" t="s">
        <v>271</v>
      </c>
      <c r="Y361" s="7">
        <v>49332</v>
      </c>
      <c r="Z361" s="11" t="str">
        <f t="shared" si="48"/>
        <v>2024-1</v>
      </c>
      <c r="AP361" s="8"/>
      <c r="AQ361" s="8"/>
      <c r="AR361" s="8"/>
      <c r="AT361" s="8"/>
    </row>
    <row r="362" spans="1:46" x14ac:dyDescent="0.25">
      <c r="A362" t="s">
        <v>12</v>
      </c>
      <c r="B362" t="s">
        <v>125</v>
      </c>
      <c r="C362" t="s">
        <v>271</v>
      </c>
      <c r="D362" s="7">
        <v>15123</v>
      </c>
      <c r="E362">
        <v>7</v>
      </c>
      <c r="W362" t="s">
        <v>125</v>
      </c>
      <c r="X362" s="11" t="s">
        <v>271</v>
      </c>
      <c r="Y362" s="7">
        <v>15123</v>
      </c>
      <c r="Z362" s="11" t="str">
        <f t="shared" si="48"/>
        <v>2024-1</v>
      </c>
      <c r="AP362" s="8"/>
      <c r="AQ362" s="8"/>
      <c r="AR362" s="8"/>
      <c r="AT362" s="8"/>
    </row>
    <row r="363" spans="1:46" x14ac:dyDescent="0.25">
      <c r="A363" t="s">
        <v>32</v>
      </c>
      <c r="B363" t="s">
        <v>18</v>
      </c>
      <c r="C363" t="s">
        <v>271</v>
      </c>
      <c r="D363" s="7">
        <v>38841</v>
      </c>
      <c r="E363">
        <v>7</v>
      </c>
      <c r="W363" t="s">
        <v>18</v>
      </c>
      <c r="X363" s="11" t="s">
        <v>271</v>
      </c>
      <c r="Y363" s="7">
        <v>38841</v>
      </c>
      <c r="Z363" s="11" t="str">
        <f t="shared" si="48"/>
        <v>2024-1</v>
      </c>
      <c r="AP363" s="8"/>
      <c r="AQ363" s="8"/>
      <c r="AR363" s="8"/>
      <c r="AT363" s="8"/>
    </row>
    <row r="364" spans="1:46" x14ac:dyDescent="0.25">
      <c r="A364" t="s">
        <v>12</v>
      </c>
      <c r="B364" t="s">
        <v>13</v>
      </c>
      <c r="C364" t="s">
        <v>271</v>
      </c>
      <c r="D364" s="7">
        <v>84258</v>
      </c>
      <c r="E364">
        <v>9</v>
      </c>
      <c r="W364" t="s">
        <v>13</v>
      </c>
      <c r="X364" s="11" t="s">
        <v>271</v>
      </c>
      <c r="Y364" s="7">
        <v>84258</v>
      </c>
      <c r="Z364" s="11" t="str">
        <f t="shared" si="48"/>
        <v>2024-1</v>
      </c>
      <c r="AP364" s="8"/>
      <c r="AQ364" s="8"/>
      <c r="AR364" s="8"/>
      <c r="AT364" s="8"/>
    </row>
    <row r="365" spans="1:46" x14ac:dyDescent="0.25">
      <c r="A365" t="s">
        <v>8</v>
      </c>
      <c r="B365" t="s">
        <v>136</v>
      </c>
      <c r="C365" t="s">
        <v>272</v>
      </c>
      <c r="D365" s="7">
        <v>65326</v>
      </c>
      <c r="E365">
        <v>6</v>
      </c>
      <c r="W365" t="s">
        <v>136</v>
      </c>
      <c r="X365" s="11" t="s">
        <v>272</v>
      </c>
      <c r="Y365" s="7">
        <v>65326</v>
      </c>
      <c r="Z365" s="11" t="str">
        <f t="shared" si="48"/>
        <v>2024-1</v>
      </c>
      <c r="AP365" s="8"/>
      <c r="AQ365" s="8"/>
      <c r="AR365" s="8"/>
      <c r="AT365" s="8"/>
    </row>
    <row r="366" spans="1:46" x14ac:dyDescent="0.25">
      <c r="A366" t="s">
        <v>17</v>
      </c>
      <c r="B366" t="s">
        <v>158</v>
      </c>
      <c r="C366" t="s">
        <v>272</v>
      </c>
      <c r="D366" s="7">
        <v>12457</v>
      </c>
      <c r="E366">
        <v>8</v>
      </c>
      <c r="W366" t="s">
        <v>158</v>
      </c>
      <c r="X366" s="11" t="s">
        <v>272</v>
      </c>
      <c r="Y366" s="7">
        <v>12457</v>
      </c>
      <c r="Z366" s="11" t="str">
        <f t="shared" si="48"/>
        <v>2024-1</v>
      </c>
      <c r="AP366" s="8"/>
      <c r="AQ366" s="8"/>
      <c r="AR366" s="8"/>
      <c r="AT366" s="8"/>
    </row>
    <row r="367" spans="1:46" x14ac:dyDescent="0.25">
      <c r="A367" t="s">
        <v>12</v>
      </c>
      <c r="B367" t="s">
        <v>177</v>
      </c>
      <c r="C367" t="s">
        <v>272</v>
      </c>
      <c r="D367" s="7">
        <v>38339</v>
      </c>
      <c r="E367">
        <v>9</v>
      </c>
      <c r="W367" t="s">
        <v>177</v>
      </c>
      <c r="X367" s="11" t="s">
        <v>272</v>
      </c>
      <c r="Y367" s="7">
        <v>38339</v>
      </c>
      <c r="Z367" s="11" t="str">
        <f t="shared" si="48"/>
        <v>2024-1</v>
      </c>
      <c r="AP367" s="8"/>
      <c r="AQ367" s="8"/>
      <c r="AR367" s="8"/>
      <c r="AT367" s="8"/>
    </row>
    <row r="368" spans="1:46" x14ac:dyDescent="0.25">
      <c r="A368" t="s">
        <v>14</v>
      </c>
      <c r="B368" t="s">
        <v>173</v>
      </c>
      <c r="C368" t="s">
        <v>272</v>
      </c>
      <c r="D368" s="7">
        <v>63929</v>
      </c>
      <c r="E368">
        <v>7</v>
      </c>
      <c r="W368" t="s">
        <v>173</v>
      </c>
      <c r="X368" s="11" t="s">
        <v>272</v>
      </c>
      <c r="Y368" s="7">
        <v>63929</v>
      </c>
      <c r="Z368" s="11" t="str">
        <f t="shared" si="48"/>
        <v>2024-1</v>
      </c>
      <c r="AP368" s="8"/>
      <c r="AQ368" s="8"/>
      <c r="AR368" s="8"/>
      <c r="AT368" s="8"/>
    </row>
    <row r="369" spans="1:46" x14ac:dyDescent="0.25">
      <c r="A369" t="s">
        <v>17</v>
      </c>
      <c r="B369" t="s">
        <v>69</v>
      </c>
      <c r="C369" t="s">
        <v>272</v>
      </c>
      <c r="D369" s="7">
        <v>85556</v>
      </c>
      <c r="E369">
        <v>8</v>
      </c>
      <c r="W369" t="s">
        <v>69</v>
      </c>
      <c r="X369" s="11" t="s">
        <v>272</v>
      </c>
      <c r="Y369" s="7">
        <v>85556</v>
      </c>
      <c r="Z369" s="11" t="str">
        <f t="shared" si="48"/>
        <v>2024-1</v>
      </c>
      <c r="AP369" s="8"/>
      <c r="AQ369" s="8"/>
      <c r="AR369" s="8"/>
      <c r="AT369" s="8"/>
    </row>
    <row r="370" spans="1:46" x14ac:dyDescent="0.25">
      <c r="A370" t="s">
        <v>27</v>
      </c>
      <c r="B370" t="s">
        <v>231</v>
      </c>
      <c r="C370" t="s">
        <v>272</v>
      </c>
      <c r="D370" s="7">
        <v>35173</v>
      </c>
      <c r="E370">
        <v>5</v>
      </c>
      <c r="W370" t="s">
        <v>231</v>
      </c>
      <c r="X370" s="11" t="s">
        <v>272</v>
      </c>
      <c r="Y370" s="7">
        <v>35173</v>
      </c>
      <c r="Z370" s="11" t="str">
        <f t="shared" si="48"/>
        <v>2024-1</v>
      </c>
      <c r="AP370" s="8"/>
      <c r="AQ370" s="8"/>
      <c r="AR370" s="8"/>
      <c r="AT370" s="8"/>
    </row>
    <row r="371" spans="1:46" x14ac:dyDescent="0.25">
      <c r="A371" t="s">
        <v>33</v>
      </c>
      <c r="B371" t="s">
        <v>47</v>
      </c>
      <c r="C371" t="s">
        <v>272</v>
      </c>
      <c r="D371" s="7">
        <v>57403</v>
      </c>
      <c r="E371">
        <v>6</v>
      </c>
      <c r="W371" t="s">
        <v>47</v>
      </c>
      <c r="X371" s="11" t="s">
        <v>272</v>
      </c>
      <c r="Y371" s="7">
        <v>57403</v>
      </c>
      <c r="Z371" s="11" t="str">
        <f t="shared" si="48"/>
        <v>2024-1</v>
      </c>
      <c r="AP371" s="8"/>
      <c r="AQ371" s="8"/>
      <c r="AR371" s="8"/>
      <c r="AT371" s="8"/>
    </row>
    <row r="372" spans="1:46" x14ac:dyDescent="0.25">
      <c r="A372" t="s">
        <v>10</v>
      </c>
      <c r="B372" t="s">
        <v>111</v>
      </c>
      <c r="C372" t="s">
        <v>272</v>
      </c>
      <c r="D372" s="7">
        <v>33252</v>
      </c>
      <c r="E372">
        <v>6</v>
      </c>
      <c r="W372" t="s">
        <v>111</v>
      </c>
      <c r="X372" s="11" t="s">
        <v>272</v>
      </c>
      <c r="Y372" s="7">
        <v>33252</v>
      </c>
      <c r="Z372" s="11" t="str">
        <f t="shared" si="48"/>
        <v>2024-1</v>
      </c>
      <c r="AP372" s="8"/>
      <c r="AQ372" s="8"/>
      <c r="AR372" s="8"/>
      <c r="AT372" s="8"/>
    </row>
    <row r="373" spans="1:46" x14ac:dyDescent="0.25">
      <c r="A373" t="s">
        <v>27</v>
      </c>
      <c r="B373" t="s">
        <v>165</v>
      </c>
      <c r="C373" t="s">
        <v>272</v>
      </c>
      <c r="D373" s="7">
        <v>83184</v>
      </c>
      <c r="E373">
        <v>9</v>
      </c>
      <c r="W373" t="s">
        <v>165</v>
      </c>
      <c r="X373" s="11" t="s">
        <v>272</v>
      </c>
      <c r="Y373" s="7">
        <v>83184</v>
      </c>
      <c r="Z373" s="11" t="str">
        <f t="shared" si="48"/>
        <v>2024-1</v>
      </c>
      <c r="AP373" s="8"/>
      <c r="AQ373" s="8"/>
      <c r="AR373" s="8"/>
      <c r="AT373" s="8"/>
    </row>
    <row r="374" spans="1:46" x14ac:dyDescent="0.25">
      <c r="A374" t="s">
        <v>17</v>
      </c>
      <c r="B374" t="s">
        <v>74</v>
      </c>
      <c r="C374" t="s">
        <v>273</v>
      </c>
      <c r="D374" s="7">
        <v>36532</v>
      </c>
      <c r="E374">
        <v>8</v>
      </c>
      <c r="W374" t="s">
        <v>74</v>
      </c>
      <c r="X374" s="11" t="s">
        <v>273</v>
      </c>
      <c r="Y374" s="7">
        <v>36532</v>
      </c>
      <c r="Z374" s="11" t="str">
        <f t="shared" si="48"/>
        <v>2024-1</v>
      </c>
      <c r="AP374" s="8"/>
      <c r="AQ374" s="8"/>
      <c r="AR374" s="8"/>
      <c r="AT374" s="8"/>
    </row>
    <row r="375" spans="1:46" x14ac:dyDescent="0.25">
      <c r="A375" t="s">
        <v>10</v>
      </c>
      <c r="B375" t="s">
        <v>121</v>
      </c>
      <c r="C375" t="s">
        <v>273</v>
      </c>
      <c r="D375" s="7">
        <v>20859</v>
      </c>
      <c r="E375">
        <v>6</v>
      </c>
      <c r="W375" t="s">
        <v>121</v>
      </c>
      <c r="X375" s="11" t="s">
        <v>273</v>
      </c>
      <c r="Y375" s="7">
        <v>20859</v>
      </c>
      <c r="Z375" s="11" t="str">
        <f t="shared" si="48"/>
        <v>2024-1</v>
      </c>
      <c r="AP375" s="8"/>
      <c r="AQ375" s="8"/>
      <c r="AR375" s="8"/>
      <c r="AT375" s="8"/>
    </row>
    <row r="376" spans="1:46" x14ac:dyDescent="0.25">
      <c r="A376" t="s">
        <v>27</v>
      </c>
      <c r="B376" t="s">
        <v>84</v>
      </c>
      <c r="C376" t="s">
        <v>273</v>
      </c>
      <c r="D376" s="7">
        <v>91876</v>
      </c>
      <c r="E376">
        <v>1</v>
      </c>
      <c r="W376" t="s">
        <v>84</v>
      </c>
      <c r="X376" s="11" t="s">
        <v>273</v>
      </c>
      <c r="Y376" s="7">
        <v>91876</v>
      </c>
      <c r="Z376" s="11" t="str">
        <f t="shared" si="48"/>
        <v>2024-1</v>
      </c>
      <c r="AP376" s="8"/>
      <c r="AQ376" s="8"/>
      <c r="AR376" s="8"/>
      <c r="AT376" s="8"/>
    </row>
    <row r="377" spans="1:46" x14ac:dyDescent="0.25">
      <c r="A377" t="s">
        <v>17</v>
      </c>
      <c r="B377" t="s">
        <v>274</v>
      </c>
      <c r="C377" t="s">
        <v>275</v>
      </c>
      <c r="D377" s="7">
        <v>64079</v>
      </c>
      <c r="E377">
        <v>9</v>
      </c>
      <c r="W377" t="s">
        <v>274</v>
      </c>
      <c r="X377" s="11" t="s">
        <v>275</v>
      </c>
      <c r="Y377" s="7">
        <v>64079</v>
      </c>
      <c r="Z377" s="11" t="str">
        <f t="shared" si="48"/>
        <v>2024-1</v>
      </c>
      <c r="AP377" s="8"/>
      <c r="AQ377" s="8"/>
      <c r="AR377" s="8"/>
      <c r="AT377" s="8"/>
    </row>
    <row r="378" spans="1:46" x14ac:dyDescent="0.25">
      <c r="A378" t="s">
        <v>10</v>
      </c>
      <c r="B378" t="s">
        <v>222</v>
      </c>
      <c r="C378" t="s">
        <v>275</v>
      </c>
      <c r="D378" s="7">
        <v>86170</v>
      </c>
      <c r="E378">
        <v>7</v>
      </c>
      <c r="W378" t="s">
        <v>222</v>
      </c>
      <c r="X378" s="11" t="s">
        <v>275</v>
      </c>
      <c r="Y378" s="7">
        <v>86170</v>
      </c>
      <c r="Z378" s="11" t="str">
        <f t="shared" si="48"/>
        <v>2024-1</v>
      </c>
      <c r="AP378" s="8"/>
      <c r="AQ378" s="8"/>
      <c r="AR378" s="8"/>
      <c r="AT378" s="8"/>
    </row>
    <row r="379" spans="1:46" x14ac:dyDescent="0.25">
      <c r="A379" t="s">
        <v>27</v>
      </c>
      <c r="B379" t="s">
        <v>129</v>
      </c>
      <c r="C379" t="s">
        <v>275</v>
      </c>
      <c r="D379" s="7">
        <v>73813</v>
      </c>
      <c r="E379">
        <v>10</v>
      </c>
      <c r="W379" t="s">
        <v>129</v>
      </c>
      <c r="X379" s="11" t="s">
        <v>275</v>
      </c>
      <c r="Y379" s="7">
        <v>73813</v>
      </c>
      <c r="Z379" s="11" t="str">
        <f t="shared" si="48"/>
        <v>2024-1</v>
      </c>
      <c r="AP379" s="8"/>
      <c r="AQ379" s="8"/>
      <c r="AR379" s="8"/>
      <c r="AT379" s="8"/>
    </row>
    <row r="380" spans="1:46" x14ac:dyDescent="0.25">
      <c r="A380" t="s">
        <v>33</v>
      </c>
      <c r="B380" t="s">
        <v>225</v>
      </c>
      <c r="C380" t="s">
        <v>275</v>
      </c>
      <c r="D380" s="7">
        <v>54723</v>
      </c>
      <c r="E380">
        <v>9</v>
      </c>
      <c r="W380" t="s">
        <v>225</v>
      </c>
      <c r="X380" s="11" t="s">
        <v>275</v>
      </c>
      <c r="Y380" s="7">
        <v>54723</v>
      </c>
      <c r="Z380" s="11" t="str">
        <f t="shared" si="48"/>
        <v>2024-1</v>
      </c>
      <c r="AP380" s="8"/>
      <c r="AQ380" s="8"/>
      <c r="AR380" s="8"/>
      <c r="AT380" s="8"/>
    </row>
    <row r="381" spans="1:46" x14ac:dyDescent="0.25">
      <c r="A381" t="s">
        <v>8</v>
      </c>
      <c r="B381" t="s">
        <v>276</v>
      </c>
      <c r="C381" t="s">
        <v>277</v>
      </c>
      <c r="D381" s="7">
        <v>38822</v>
      </c>
      <c r="E381">
        <v>9</v>
      </c>
      <c r="W381" t="s">
        <v>276</v>
      </c>
      <c r="X381" s="11" t="s">
        <v>277</v>
      </c>
      <c r="Y381" s="7">
        <v>38822</v>
      </c>
      <c r="Z381" s="11" t="str">
        <f t="shared" si="48"/>
        <v>2024-1</v>
      </c>
      <c r="AP381" s="8"/>
      <c r="AQ381" s="8"/>
      <c r="AR381" s="8"/>
      <c r="AT381" s="8"/>
    </row>
    <row r="382" spans="1:46" x14ac:dyDescent="0.25">
      <c r="A382" t="s">
        <v>32</v>
      </c>
      <c r="B382" t="s">
        <v>278</v>
      </c>
      <c r="C382" t="s">
        <v>277</v>
      </c>
      <c r="D382" s="7">
        <v>73054</v>
      </c>
      <c r="E382">
        <v>6</v>
      </c>
      <c r="W382" t="s">
        <v>278</v>
      </c>
      <c r="X382" s="11" t="s">
        <v>277</v>
      </c>
      <c r="Y382" s="7">
        <v>73054</v>
      </c>
      <c r="Z382" s="11" t="str">
        <f t="shared" si="48"/>
        <v>2024-1</v>
      </c>
      <c r="AP382" s="8"/>
      <c r="AQ382" s="8"/>
      <c r="AR382" s="8"/>
      <c r="AT382" s="8"/>
    </row>
    <row r="383" spans="1:46" x14ac:dyDescent="0.25">
      <c r="A383" t="s">
        <v>33</v>
      </c>
      <c r="B383" t="s">
        <v>30</v>
      </c>
      <c r="C383" t="s">
        <v>277</v>
      </c>
      <c r="D383" s="7">
        <v>86564</v>
      </c>
      <c r="E383">
        <v>8</v>
      </c>
      <c r="W383" t="s">
        <v>30</v>
      </c>
      <c r="X383" s="11" t="s">
        <v>277</v>
      </c>
      <c r="Y383" s="7">
        <v>86564</v>
      </c>
      <c r="Z383" s="11" t="str">
        <f t="shared" si="48"/>
        <v>2024-1</v>
      </c>
      <c r="AP383" s="8"/>
      <c r="AQ383" s="8"/>
      <c r="AR383" s="8"/>
      <c r="AT383" s="8"/>
    </row>
    <row r="384" spans="1:46" x14ac:dyDescent="0.25">
      <c r="A384" t="s">
        <v>10</v>
      </c>
      <c r="B384" t="s">
        <v>110</v>
      </c>
      <c r="C384" t="s">
        <v>277</v>
      </c>
      <c r="D384" s="7">
        <v>70083</v>
      </c>
      <c r="E384">
        <v>6</v>
      </c>
      <c r="W384" t="s">
        <v>110</v>
      </c>
      <c r="X384" s="11" t="s">
        <v>277</v>
      </c>
      <c r="Y384" s="7">
        <v>70083</v>
      </c>
      <c r="Z384" s="11" t="str">
        <f t="shared" si="48"/>
        <v>2024-1</v>
      </c>
      <c r="AP384" s="8"/>
      <c r="AQ384" s="8"/>
      <c r="AR384" s="8"/>
      <c r="AT384" s="8"/>
    </row>
    <row r="385" spans="1:46" x14ac:dyDescent="0.25">
      <c r="A385" t="s">
        <v>12</v>
      </c>
      <c r="B385" t="s">
        <v>279</v>
      </c>
      <c r="C385" t="s">
        <v>280</v>
      </c>
      <c r="D385" s="7">
        <v>76727</v>
      </c>
      <c r="E385">
        <v>8</v>
      </c>
      <c r="W385" t="s">
        <v>279</v>
      </c>
      <c r="X385" s="11" t="s">
        <v>280</v>
      </c>
      <c r="Y385" s="7">
        <v>76727</v>
      </c>
      <c r="Z385" s="11" t="str">
        <f t="shared" si="48"/>
        <v>2024-1</v>
      </c>
      <c r="AP385" s="8"/>
      <c r="AQ385" s="8"/>
      <c r="AR385" s="8"/>
      <c r="AT385" s="8"/>
    </row>
    <row r="386" spans="1:46" x14ac:dyDescent="0.25">
      <c r="A386" t="s">
        <v>36</v>
      </c>
      <c r="B386" t="s">
        <v>274</v>
      </c>
      <c r="C386" t="s">
        <v>280</v>
      </c>
      <c r="D386" s="7">
        <v>44344</v>
      </c>
      <c r="E386">
        <v>3</v>
      </c>
      <c r="W386" t="s">
        <v>274</v>
      </c>
      <c r="X386" s="11" t="s">
        <v>280</v>
      </c>
      <c r="Y386" s="7">
        <v>44344</v>
      </c>
      <c r="Z386" s="11" t="str">
        <f t="shared" si="48"/>
        <v>2024-1</v>
      </c>
      <c r="AP386" s="8"/>
      <c r="AQ386" s="8"/>
      <c r="AR386" s="8"/>
      <c r="AT386" s="8"/>
    </row>
    <row r="387" spans="1:46" x14ac:dyDescent="0.25">
      <c r="A387" t="s">
        <v>12</v>
      </c>
      <c r="B387" t="s">
        <v>93</v>
      </c>
      <c r="C387" t="s">
        <v>280</v>
      </c>
      <c r="D387" s="7">
        <v>50818</v>
      </c>
      <c r="E387">
        <v>3</v>
      </c>
      <c r="W387" t="s">
        <v>93</v>
      </c>
      <c r="X387" s="11" t="s">
        <v>280</v>
      </c>
      <c r="Y387" s="7">
        <v>50818</v>
      </c>
      <c r="Z387" s="11" t="str">
        <f t="shared" ref="Z387:Z450" si="49">MID(X387,1,4)&amp;"-"&amp;IF(MID(X387,6,1)*1=0,MID(X387,7,1),MID(X387,6,2))</f>
        <v>2024-1</v>
      </c>
      <c r="AP387" s="8"/>
      <c r="AQ387" s="8"/>
      <c r="AR387" s="8"/>
      <c r="AT387" s="8"/>
    </row>
    <row r="388" spans="1:46" x14ac:dyDescent="0.25">
      <c r="A388" t="s">
        <v>36</v>
      </c>
      <c r="B388" t="s">
        <v>107</v>
      </c>
      <c r="C388" t="s">
        <v>280</v>
      </c>
      <c r="D388" s="7">
        <v>95020</v>
      </c>
      <c r="E388">
        <v>5</v>
      </c>
      <c r="W388" t="s">
        <v>107</v>
      </c>
      <c r="X388" s="11" t="s">
        <v>280</v>
      </c>
      <c r="Y388" s="7">
        <v>95020</v>
      </c>
      <c r="Z388" s="11" t="str">
        <f t="shared" si="49"/>
        <v>2024-1</v>
      </c>
      <c r="AP388" s="8"/>
      <c r="AQ388" s="8"/>
      <c r="AR388" s="8"/>
      <c r="AT388" s="8"/>
    </row>
    <row r="389" spans="1:46" x14ac:dyDescent="0.25">
      <c r="A389" t="s">
        <v>20</v>
      </c>
      <c r="B389" t="s">
        <v>281</v>
      </c>
      <c r="C389" t="s">
        <v>282</v>
      </c>
      <c r="D389" s="7">
        <v>50614</v>
      </c>
      <c r="E389">
        <v>10</v>
      </c>
      <c r="W389" t="s">
        <v>281</v>
      </c>
      <c r="X389" s="11" t="s">
        <v>282</v>
      </c>
      <c r="Y389" s="7">
        <v>50614</v>
      </c>
      <c r="Z389" s="11" t="str">
        <f t="shared" si="49"/>
        <v>2024-1</v>
      </c>
      <c r="AP389" s="8"/>
      <c r="AQ389" s="8"/>
      <c r="AR389" s="8"/>
      <c r="AT389" s="8"/>
    </row>
    <row r="390" spans="1:46" x14ac:dyDescent="0.25">
      <c r="A390" t="s">
        <v>10</v>
      </c>
      <c r="B390" t="s">
        <v>135</v>
      </c>
      <c r="C390" t="s">
        <v>282</v>
      </c>
      <c r="D390" s="7">
        <v>50474</v>
      </c>
      <c r="E390">
        <v>5</v>
      </c>
      <c r="W390" t="s">
        <v>135</v>
      </c>
      <c r="X390" s="11" t="s">
        <v>282</v>
      </c>
      <c r="Y390" s="7">
        <v>50474</v>
      </c>
      <c r="Z390" s="11" t="str">
        <f t="shared" si="49"/>
        <v>2024-1</v>
      </c>
      <c r="AP390" s="8"/>
      <c r="AQ390" s="8"/>
      <c r="AR390" s="8"/>
      <c r="AT390" s="8"/>
    </row>
    <row r="391" spans="1:46" x14ac:dyDescent="0.25">
      <c r="A391" t="s">
        <v>5</v>
      </c>
      <c r="B391" t="s">
        <v>48</v>
      </c>
      <c r="C391" t="s">
        <v>282</v>
      </c>
      <c r="D391" s="7">
        <v>52204</v>
      </c>
      <c r="E391">
        <v>5</v>
      </c>
      <c r="W391" t="s">
        <v>48</v>
      </c>
      <c r="X391" s="11" t="s">
        <v>282</v>
      </c>
      <c r="Y391" s="7">
        <v>52204</v>
      </c>
      <c r="Z391" s="11" t="str">
        <f t="shared" si="49"/>
        <v>2024-1</v>
      </c>
      <c r="AP391" s="8"/>
      <c r="AQ391" s="8"/>
      <c r="AR391" s="8"/>
      <c r="AT391" s="8"/>
    </row>
    <row r="392" spans="1:46" x14ac:dyDescent="0.25">
      <c r="A392" t="s">
        <v>17</v>
      </c>
      <c r="B392" t="s">
        <v>139</v>
      </c>
      <c r="C392" t="s">
        <v>282</v>
      </c>
      <c r="D392" s="7">
        <v>29481</v>
      </c>
      <c r="E392">
        <v>9</v>
      </c>
      <c r="W392" t="s">
        <v>139</v>
      </c>
      <c r="X392" s="11" t="s">
        <v>282</v>
      </c>
      <c r="Y392" s="7">
        <v>29481</v>
      </c>
      <c r="Z392" s="11" t="str">
        <f t="shared" si="49"/>
        <v>2024-1</v>
      </c>
      <c r="AP392" s="8"/>
      <c r="AQ392" s="8"/>
      <c r="AR392" s="8"/>
      <c r="AT392" s="8"/>
    </row>
    <row r="393" spans="1:46" x14ac:dyDescent="0.25">
      <c r="A393" t="s">
        <v>17</v>
      </c>
      <c r="B393" t="s">
        <v>152</v>
      </c>
      <c r="C393" t="s">
        <v>282</v>
      </c>
      <c r="D393" s="7">
        <v>22344</v>
      </c>
      <c r="E393">
        <v>6</v>
      </c>
      <c r="W393" t="s">
        <v>152</v>
      </c>
      <c r="X393" s="11" t="s">
        <v>282</v>
      </c>
      <c r="Y393" s="7">
        <v>22344</v>
      </c>
      <c r="Z393" s="11" t="str">
        <f t="shared" si="49"/>
        <v>2024-1</v>
      </c>
      <c r="AP393" s="8"/>
      <c r="AQ393" s="8"/>
      <c r="AR393" s="8"/>
      <c r="AT393" s="8"/>
    </row>
    <row r="394" spans="1:46" x14ac:dyDescent="0.25">
      <c r="A394" t="s">
        <v>17</v>
      </c>
      <c r="B394" t="s">
        <v>283</v>
      </c>
      <c r="C394" t="s">
        <v>282</v>
      </c>
      <c r="D394" s="7">
        <v>34416</v>
      </c>
      <c r="E394">
        <v>6</v>
      </c>
      <c r="W394" t="s">
        <v>283</v>
      </c>
      <c r="X394" s="11" t="s">
        <v>282</v>
      </c>
      <c r="Y394" s="7">
        <v>34416</v>
      </c>
      <c r="Z394" s="11" t="str">
        <f t="shared" si="49"/>
        <v>2024-1</v>
      </c>
      <c r="AP394" s="8"/>
      <c r="AQ394" s="8"/>
      <c r="AR394" s="8"/>
      <c r="AT394" s="8"/>
    </row>
    <row r="395" spans="1:46" x14ac:dyDescent="0.25">
      <c r="A395" t="s">
        <v>14</v>
      </c>
      <c r="B395" t="s">
        <v>177</v>
      </c>
      <c r="C395" t="s">
        <v>282</v>
      </c>
      <c r="D395" s="7">
        <v>16091</v>
      </c>
      <c r="E395">
        <v>7</v>
      </c>
      <c r="W395" t="s">
        <v>177</v>
      </c>
      <c r="X395" s="11" t="s">
        <v>282</v>
      </c>
      <c r="Y395" s="7">
        <v>16091</v>
      </c>
      <c r="Z395" s="11" t="str">
        <f t="shared" si="49"/>
        <v>2024-1</v>
      </c>
      <c r="AP395" s="8"/>
      <c r="AQ395" s="8"/>
      <c r="AR395" s="8"/>
      <c r="AT395" s="8"/>
    </row>
    <row r="396" spans="1:46" x14ac:dyDescent="0.25">
      <c r="A396" t="s">
        <v>8</v>
      </c>
      <c r="B396" t="s">
        <v>45</v>
      </c>
      <c r="C396" t="s">
        <v>282</v>
      </c>
      <c r="D396" s="7">
        <v>79184</v>
      </c>
      <c r="E396">
        <v>6</v>
      </c>
      <c r="W396" t="s">
        <v>45</v>
      </c>
      <c r="X396" s="11" t="s">
        <v>282</v>
      </c>
      <c r="Y396" s="7">
        <v>79184</v>
      </c>
      <c r="Z396" s="11" t="str">
        <f t="shared" si="49"/>
        <v>2024-1</v>
      </c>
      <c r="AP396" s="8"/>
      <c r="AQ396" s="8"/>
      <c r="AR396" s="8"/>
      <c r="AT396" s="8"/>
    </row>
    <row r="397" spans="1:46" x14ac:dyDescent="0.25">
      <c r="A397" t="s">
        <v>27</v>
      </c>
      <c r="B397" t="s">
        <v>41</v>
      </c>
      <c r="C397" t="s">
        <v>282</v>
      </c>
      <c r="D397" s="7">
        <v>92995</v>
      </c>
      <c r="E397">
        <v>5</v>
      </c>
      <c r="W397" t="s">
        <v>41</v>
      </c>
      <c r="X397" s="11" t="s">
        <v>282</v>
      </c>
      <c r="Y397" s="7">
        <v>92995</v>
      </c>
      <c r="Z397" s="11" t="str">
        <f t="shared" si="49"/>
        <v>2024-1</v>
      </c>
      <c r="AP397" s="8"/>
      <c r="AQ397" s="8"/>
      <c r="AR397" s="8"/>
      <c r="AT397" s="8"/>
    </row>
    <row r="398" spans="1:46" x14ac:dyDescent="0.25">
      <c r="A398" t="s">
        <v>17</v>
      </c>
      <c r="B398" t="s">
        <v>62</v>
      </c>
      <c r="C398" t="s">
        <v>282</v>
      </c>
      <c r="D398" s="7">
        <v>58525</v>
      </c>
      <c r="E398">
        <v>5</v>
      </c>
      <c r="W398" t="s">
        <v>62</v>
      </c>
      <c r="X398" s="11" t="s">
        <v>282</v>
      </c>
      <c r="Y398" s="7">
        <v>58525</v>
      </c>
      <c r="Z398" s="11" t="str">
        <f t="shared" si="49"/>
        <v>2024-1</v>
      </c>
      <c r="AP398" s="8"/>
      <c r="AQ398" s="8"/>
      <c r="AR398" s="8"/>
      <c r="AT398" s="8"/>
    </row>
    <row r="399" spans="1:46" x14ac:dyDescent="0.25">
      <c r="A399" t="s">
        <v>32</v>
      </c>
      <c r="B399" t="s">
        <v>47</v>
      </c>
      <c r="C399" t="s">
        <v>282</v>
      </c>
      <c r="D399" s="7">
        <v>42241</v>
      </c>
      <c r="E399">
        <v>7</v>
      </c>
      <c r="W399" t="s">
        <v>47</v>
      </c>
      <c r="X399" s="11" t="s">
        <v>282</v>
      </c>
      <c r="Y399" s="7">
        <v>42241</v>
      </c>
      <c r="Z399" s="11" t="str">
        <f t="shared" si="49"/>
        <v>2024-1</v>
      </c>
      <c r="AP399" s="8"/>
      <c r="AQ399" s="8"/>
      <c r="AR399" s="8"/>
      <c r="AT399" s="8"/>
    </row>
    <row r="400" spans="1:46" x14ac:dyDescent="0.25">
      <c r="A400" t="s">
        <v>36</v>
      </c>
      <c r="B400" t="s">
        <v>244</v>
      </c>
      <c r="C400" t="s">
        <v>284</v>
      </c>
      <c r="D400" s="7">
        <v>20342</v>
      </c>
      <c r="E400">
        <v>8</v>
      </c>
      <c r="W400" t="s">
        <v>244</v>
      </c>
      <c r="X400" s="11" t="s">
        <v>284</v>
      </c>
      <c r="Y400" s="7">
        <v>20342</v>
      </c>
      <c r="Z400" s="11" t="str">
        <f t="shared" si="49"/>
        <v>2024-1</v>
      </c>
      <c r="AP400" s="8"/>
      <c r="AQ400" s="8"/>
      <c r="AR400" s="8"/>
      <c r="AT400" s="8"/>
    </row>
    <row r="401" spans="1:46" x14ac:dyDescent="0.25">
      <c r="A401" t="s">
        <v>8</v>
      </c>
      <c r="B401" t="s">
        <v>133</v>
      </c>
      <c r="C401" t="s">
        <v>284</v>
      </c>
      <c r="D401" s="7">
        <v>32345</v>
      </c>
      <c r="E401">
        <v>8</v>
      </c>
      <c r="W401" t="s">
        <v>133</v>
      </c>
      <c r="X401" s="11" t="s">
        <v>284</v>
      </c>
      <c r="Y401" s="7">
        <v>32345</v>
      </c>
      <c r="Z401" s="11" t="str">
        <f t="shared" si="49"/>
        <v>2024-1</v>
      </c>
      <c r="AP401" s="8"/>
      <c r="AQ401" s="8"/>
      <c r="AR401" s="8"/>
      <c r="AT401" s="8"/>
    </row>
    <row r="402" spans="1:46" x14ac:dyDescent="0.25">
      <c r="A402" t="s">
        <v>8</v>
      </c>
      <c r="B402" t="s">
        <v>121</v>
      </c>
      <c r="C402" t="s">
        <v>284</v>
      </c>
      <c r="D402" s="7">
        <v>99293</v>
      </c>
      <c r="E402">
        <v>7</v>
      </c>
      <c r="W402" t="s">
        <v>121</v>
      </c>
      <c r="X402" s="11" t="s">
        <v>284</v>
      </c>
      <c r="Y402" s="7">
        <v>99293</v>
      </c>
      <c r="Z402" s="11" t="str">
        <f t="shared" si="49"/>
        <v>2024-1</v>
      </c>
      <c r="AP402" s="8"/>
      <c r="AQ402" s="8"/>
      <c r="AR402" s="8"/>
      <c r="AT402" s="8"/>
    </row>
    <row r="403" spans="1:46" x14ac:dyDescent="0.25">
      <c r="A403" t="s">
        <v>5</v>
      </c>
      <c r="B403" t="s">
        <v>220</v>
      </c>
      <c r="C403" t="s">
        <v>285</v>
      </c>
      <c r="D403" s="7">
        <v>51384</v>
      </c>
      <c r="E403">
        <v>6</v>
      </c>
      <c r="W403" t="s">
        <v>220</v>
      </c>
      <c r="X403" s="11" t="s">
        <v>285</v>
      </c>
      <c r="Y403" s="7">
        <v>51384</v>
      </c>
      <c r="Z403" s="11" t="str">
        <f t="shared" si="49"/>
        <v>2024-2</v>
      </c>
      <c r="AP403" s="8"/>
      <c r="AQ403" s="8"/>
      <c r="AR403" s="8"/>
      <c r="AT403" s="8"/>
    </row>
    <row r="404" spans="1:46" x14ac:dyDescent="0.25">
      <c r="A404" t="s">
        <v>14</v>
      </c>
      <c r="B404" t="s">
        <v>266</v>
      </c>
      <c r="C404" t="s">
        <v>285</v>
      </c>
      <c r="D404" s="7">
        <v>75168</v>
      </c>
      <c r="E404">
        <v>1</v>
      </c>
      <c r="W404" t="s">
        <v>266</v>
      </c>
      <c r="X404" s="11" t="s">
        <v>285</v>
      </c>
      <c r="Y404" s="7">
        <v>75168</v>
      </c>
      <c r="Z404" s="11" t="str">
        <f t="shared" si="49"/>
        <v>2024-2</v>
      </c>
      <c r="AP404" s="8"/>
      <c r="AQ404" s="8"/>
      <c r="AR404" s="8"/>
      <c r="AT404" s="8"/>
    </row>
    <row r="405" spans="1:46" x14ac:dyDescent="0.25">
      <c r="A405" t="s">
        <v>14</v>
      </c>
      <c r="B405" t="s">
        <v>125</v>
      </c>
      <c r="C405" t="s">
        <v>285</v>
      </c>
      <c r="D405" s="7">
        <v>26239</v>
      </c>
      <c r="E405">
        <v>8</v>
      </c>
      <c r="W405" t="s">
        <v>125</v>
      </c>
      <c r="X405" s="11" t="s">
        <v>285</v>
      </c>
      <c r="Y405" s="7">
        <v>26239</v>
      </c>
      <c r="Z405" s="11" t="str">
        <f t="shared" si="49"/>
        <v>2024-2</v>
      </c>
      <c r="AP405" s="8"/>
      <c r="AQ405" s="8"/>
      <c r="AR405" s="8"/>
      <c r="AT405" s="8"/>
    </row>
    <row r="406" spans="1:46" x14ac:dyDescent="0.25">
      <c r="A406" t="s">
        <v>32</v>
      </c>
      <c r="B406" t="s">
        <v>286</v>
      </c>
      <c r="C406" t="s">
        <v>285</v>
      </c>
      <c r="D406" s="7">
        <v>43744</v>
      </c>
      <c r="E406">
        <v>9</v>
      </c>
      <c r="W406" t="s">
        <v>286</v>
      </c>
      <c r="X406" s="11" t="s">
        <v>285</v>
      </c>
      <c r="Y406" s="7">
        <v>43744</v>
      </c>
      <c r="Z406" s="11" t="str">
        <f t="shared" si="49"/>
        <v>2024-2</v>
      </c>
      <c r="AP406" s="8"/>
      <c r="AQ406" s="8"/>
      <c r="AR406" s="8"/>
      <c r="AT406" s="8"/>
    </row>
    <row r="407" spans="1:46" x14ac:dyDescent="0.25">
      <c r="A407" t="s">
        <v>33</v>
      </c>
      <c r="B407" t="s">
        <v>287</v>
      </c>
      <c r="C407" t="s">
        <v>285</v>
      </c>
      <c r="D407" s="7">
        <v>89651</v>
      </c>
      <c r="E407">
        <v>7</v>
      </c>
      <c r="W407" t="s">
        <v>287</v>
      </c>
      <c r="X407" s="11" t="s">
        <v>285</v>
      </c>
      <c r="Y407" s="7">
        <v>89651</v>
      </c>
      <c r="Z407" s="11" t="str">
        <f t="shared" si="49"/>
        <v>2024-2</v>
      </c>
      <c r="AP407" s="8"/>
      <c r="AQ407" s="8"/>
      <c r="AR407" s="8"/>
      <c r="AT407" s="8"/>
    </row>
    <row r="408" spans="1:46" x14ac:dyDescent="0.25">
      <c r="A408" t="s">
        <v>36</v>
      </c>
      <c r="B408" t="s">
        <v>67</v>
      </c>
      <c r="C408" t="s">
        <v>285</v>
      </c>
      <c r="D408" s="7">
        <v>40591</v>
      </c>
      <c r="E408">
        <v>9</v>
      </c>
      <c r="W408" t="s">
        <v>67</v>
      </c>
      <c r="X408" s="11" t="s">
        <v>285</v>
      </c>
      <c r="Y408" s="7">
        <v>40591</v>
      </c>
      <c r="Z408" s="11" t="str">
        <f t="shared" si="49"/>
        <v>2024-2</v>
      </c>
      <c r="AP408" s="8"/>
      <c r="AQ408" s="8"/>
      <c r="AR408" s="8"/>
      <c r="AT408" s="8"/>
    </row>
    <row r="409" spans="1:46" x14ac:dyDescent="0.25">
      <c r="A409" t="s">
        <v>8</v>
      </c>
      <c r="B409" t="s">
        <v>41</v>
      </c>
      <c r="C409" t="s">
        <v>288</v>
      </c>
      <c r="D409" s="7">
        <v>73267</v>
      </c>
      <c r="E409">
        <v>10</v>
      </c>
      <c r="W409" t="s">
        <v>41</v>
      </c>
      <c r="X409" s="11" t="s">
        <v>288</v>
      </c>
      <c r="Y409" s="7">
        <v>73267</v>
      </c>
      <c r="Z409" s="11" t="str">
        <f t="shared" si="49"/>
        <v>2024-2</v>
      </c>
      <c r="AP409" s="8"/>
      <c r="AQ409" s="8"/>
      <c r="AR409" s="8"/>
      <c r="AT409" s="8"/>
    </row>
    <row r="410" spans="1:46" x14ac:dyDescent="0.25">
      <c r="A410" t="s">
        <v>12</v>
      </c>
      <c r="B410" t="s">
        <v>69</v>
      </c>
      <c r="C410" t="s">
        <v>288</v>
      </c>
      <c r="D410" s="7">
        <v>60228</v>
      </c>
      <c r="E410">
        <v>8</v>
      </c>
      <c r="W410" t="s">
        <v>69</v>
      </c>
      <c r="X410" s="11" t="s">
        <v>288</v>
      </c>
      <c r="Y410" s="7">
        <v>60228</v>
      </c>
      <c r="Z410" s="11" t="str">
        <f t="shared" si="49"/>
        <v>2024-2</v>
      </c>
      <c r="AP410" s="8"/>
      <c r="AQ410" s="8"/>
      <c r="AR410" s="8"/>
      <c r="AT410" s="8"/>
    </row>
    <row r="411" spans="1:46" x14ac:dyDescent="0.25">
      <c r="A411" t="s">
        <v>10</v>
      </c>
      <c r="B411" t="s">
        <v>182</v>
      </c>
      <c r="C411" t="s">
        <v>288</v>
      </c>
      <c r="D411" s="7">
        <v>88601</v>
      </c>
      <c r="E411">
        <v>2</v>
      </c>
      <c r="W411" t="s">
        <v>182</v>
      </c>
      <c r="X411" s="11" t="s">
        <v>288</v>
      </c>
      <c r="Y411" s="7">
        <v>88601</v>
      </c>
      <c r="Z411" s="11" t="str">
        <f t="shared" si="49"/>
        <v>2024-2</v>
      </c>
      <c r="AP411" s="8"/>
      <c r="AQ411" s="8"/>
      <c r="AR411" s="8"/>
      <c r="AT411" s="8"/>
    </row>
    <row r="412" spans="1:46" x14ac:dyDescent="0.25">
      <c r="A412" t="s">
        <v>17</v>
      </c>
      <c r="B412" t="s">
        <v>263</v>
      </c>
      <c r="C412" t="s">
        <v>288</v>
      </c>
      <c r="D412" s="7">
        <v>83003</v>
      </c>
      <c r="E412">
        <v>10</v>
      </c>
      <c r="W412" t="s">
        <v>263</v>
      </c>
      <c r="X412" s="11" t="s">
        <v>288</v>
      </c>
      <c r="Y412" s="7">
        <v>83003</v>
      </c>
      <c r="Z412" s="11" t="str">
        <f t="shared" si="49"/>
        <v>2024-2</v>
      </c>
      <c r="AP412" s="8"/>
      <c r="AQ412" s="8"/>
      <c r="AR412" s="8"/>
      <c r="AT412" s="8"/>
    </row>
    <row r="413" spans="1:46" x14ac:dyDescent="0.25">
      <c r="A413" t="s">
        <v>33</v>
      </c>
      <c r="B413" t="s">
        <v>156</v>
      </c>
      <c r="C413" t="s">
        <v>289</v>
      </c>
      <c r="D413" s="7">
        <v>61773</v>
      </c>
      <c r="E413">
        <v>8</v>
      </c>
      <c r="W413" t="s">
        <v>156</v>
      </c>
      <c r="X413" s="11" t="s">
        <v>289</v>
      </c>
      <c r="Y413" s="7">
        <v>61773</v>
      </c>
      <c r="Z413" s="11" t="str">
        <f t="shared" si="49"/>
        <v>2024-2</v>
      </c>
      <c r="AP413" s="8"/>
      <c r="AQ413" s="8"/>
      <c r="AR413" s="8"/>
      <c r="AT413" s="8"/>
    </row>
    <row r="414" spans="1:46" x14ac:dyDescent="0.25">
      <c r="A414" t="s">
        <v>32</v>
      </c>
      <c r="B414" t="s">
        <v>120</v>
      </c>
      <c r="C414" t="s">
        <v>289</v>
      </c>
      <c r="D414" s="7">
        <v>72100</v>
      </c>
      <c r="E414">
        <v>8</v>
      </c>
      <c r="W414" t="s">
        <v>120</v>
      </c>
      <c r="X414" s="11" t="s">
        <v>289</v>
      </c>
      <c r="Y414" s="7">
        <v>72100</v>
      </c>
      <c r="Z414" s="11" t="str">
        <f t="shared" si="49"/>
        <v>2024-2</v>
      </c>
      <c r="AP414" s="8"/>
      <c r="AQ414" s="8"/>
      <c r="AR414" s="8"/>
      <c r="AT414" s="8"/>
    </row>
    <row r="415" spans="1:46" x14ac:dyDescent="0.25">
      <c r="A415" t="s">
        <v>10</v>
      </c>
      <c r="B415" t="s">
        <v>290</v>
      </c>
      <c r="C415" t="s">
        <v>289</v>
      </c>
      <c r="D415" s="7">
        <v>86245</v>
      </c>
      <c r="E415">
        <v>7</v>
      </c>
      <c r="W415" t="s">
        <v>290</v>
      </c>
      <c r="X415" s="11" t="s">
        <v>289</v>
      </c>
      <c r="Y415" s="7">
        <v>86245</v>
      </c>
      <c r="Z415" s="11" t="str">
        <f t="shared" si="49"/>
        <v>2024-2</v>
      </c>
      <c r="AP415" s="8"/>
      <c r="AQ415" s="8"/>
      <c r="AR415" s="8"/>
      <c r="AT415" s="8"/>
    </row>
    <row r="416" spans="1:46" x14ac:dyDescent="0.25">
      <c r="A416" t="s">
        <v>23</v>
      </c>
      <c r="B416" t="s">
        <v>173</v>
      </c>
      <c r="C416" t="s">
        <v>289</v>
      </c>
      <c r="D416" s="7">
        <v>54038</v>
      </c>
      <c r="E416">
        <v>9</v>
      </c>
      <c r="W416" t="s">
        <v>173</v>
      </c>
      <c r="X416" s="11" t="s">
        <v>289</v>
      </c>
      <c r="Y416" s="7">
        <v>54038</v>
      </c>
      <c r="Z416" s="11" t="str">
        <f t="shared" si="49"/>
        <v>2024-2</v>
      </c>
      <c r="AP416" s="8"/>
      <c r="AQ416" s="8"/>
      <c r="AR416" s="8"/>
      <c r="AT416" s="8"/>
    </row>
    <row r="417" spans="1:46" x14ac:dyDescent="0.25">
      <c r="A417" t="s">
        <v>12</v>
      </c>
      <c r="B417" t="s">
        <v>254</v>
      </c>
      <c r="C417" t="s">
        <v>289</v>
      </c>
      <c r="D417" s="7">
        <v>83514</v>
      </c>
      <c r="E417">
        <v>10</v>
      </c>
      <c r="W417" t="s">
        <v>254</v>
      </c>
      <c r="X417" s="11" t="s">
        <v>289</v>
      </c>
      <c r="Y417" s="7">
        <v>83514</v>
      </c>
      <c r="Z417" s="11" t="str">
        <f t="shared" si="49"/>
        <v>2024-2</v>
      </c>
      <c r="AP417" s="8"/>
      <c r="AQ417" s="8"/>
      <c r="AR417" s="8"/>
      <c r="AT417" s="8"/>
    </row>
    <row r="418" spans="1:46" x14ac:dyDescent="0.25">
      <c r="A418" t="s">
        <v>36</v>
      </c>
      <c r="B418" t="s">
        <v>125</v>
      </c>
      <c r="C418" t="s">
        <v>289</v>
      </c>
      <c r="D418" s="7">
        <v>13213</v>
      </c>
      <c r="E418">
        <v>9</v>
      </c>
      <c r="W418" t="s">
        <v>125</v>
      </c>
      <c r="X418" s="11" t="s">
        <v>289</v>
      </c>
      <c r="Y418" s="7">
        <v>13213</v>
      </c>
      <c r="Z418" s="11" t="str">
        <f t="shared" si="49"/>
        <v>2024-2</v>
      </c>
      <c r="AP418" s="8"/>
      <c r="AQ418" s="8"/>
      <c r="AR418" s="8"/>
      <c r="AT418" s="8"/>
    </row>
    <row r="419" spans="1:46" x14ac:dyDescent="0.25">
      <c r="A419" t="s">
        <v>32</v>
      </c>
      <c r="B419" t="s">
        <v>269</v>
      </c>
      <c r="C419" t="s">
        <v>289</v>
      </c>
      <c r="D419" s="7">
        <v>74835</v>
      </c>
      <c r="E419">
        <v>7</v>
      </c>
      <c r="W419" t="s">
        <v>269</v>
      </c>
      <c r="X419" s="11" t="s">
        <v>289</v>
      </c>
      <c r="Y419" s="7">
        <v>74835</v>
      </c>
      <c r="Z419" s="11" t="str">
        <f t="shared" si="49"/>
        <v>2024-2</v>
      </c>
      <c r="AP419" s="8"/>
      <c r="AQ419" s="8"/>
      <c r="AR419" s="8"/>
      <c r="AT419" s="8"/>
    </row>
    <row r="420" spans="1:46" x14ac:dyDescent="0.25">
      <c r="A420" t="s">
        <v>32</v>
      </c>
      <c r="B420" t="s">
        <v>45</v>
      </c>
      <c r="C420" t="s">
        <v>289</v>
      </c>
      <c r="D420" s="7">
        <v>86652</v>
      </c>
      <c r="E420">
        <v>4</v>
      </c>
      <c r="W420" t="s">
        <v>45</v>
      </c>
      <c r="X420" s="11" t="s">
        <v>289</v>
      </c>
      <c r="Y420" s="7">
        <v>86652</v>
      </c>
      <c r="Z420" s="11" t="str">
        <f t="shared" si="49"/>
        <v>2024-2</v>
      </c>
      <c r="AP420" s="8"/>
      <c r="AQ420" s="8"/>
      <c r="AR420" s="8"/>
      <c r="AT420" s="8"/>
    </row>
    <row r="421" spans="1:46" x14ac:dyDescent="0.25">
      <c r="A421" t="s">
        <v>36</v>
      </c>
      <c r="B421" t="s">
        <v>171</v>
      </c>
      <c r="C421" t="s">
        <v>291</v>
      </c>
      <c r="D421" s="7">
        <v>79426</v>
      </c>
      <c r="E421">
        <v>1</v>
      </c>
      <c r="W421" t="s">
        <v>171</v>
      </c>
      <c r="X421" s="11" t="s">
        <v>291</v>
      </c>
      <c r="Y421" s="7">
        <v>79426</v>
      </c>
      <c r="Z421" s="11" t="str">
        <f t="shared" si="49"/>
        <v>2024-2</v>
      </c>
      <c r="AP421" s="8"/>
      <c r="AQ421" s="8"/>
      <c r="AR421" s="8"/>
      <c r="AT421" s="8"/>
    </row>
    <row r="422" spans="1:46" x14ac:dyDescent="0.25">
      <c r="A422" t="s">
        <v>32</v>
      </c>
      <c r="B422" t="s">
        <v>249</v>
      </c>
      <c r="C422" t="s">
        <v>291</v>
      </c>
      <c r="D422" s="7">
        <v>26909</v>
      </c>
      <c r="E422">
        <v>5</v>
      </c>
      <c r="W422" t="s">
        <v>249</v>
      </c>
      <c r="X422" s="11" t="s">
        <v>291</v>
      </c>
      <c r="Y422" s="7">
        <v>26909</v>
      </c>
      <c r="Z422" s="11" t="str">
        <f t="shared" si="49"/>
        <v>2024-2</v>
      </c>
      <c r="AP422" s="8"/>
      <c r="AQ422" s="8"/>
      <c r="AR422" s="8"/>
      <c r="AT422" s="8"/>
    </row>
    <row r="423" spans="1:46" x14ac:dyDescent="0.25">
      <c r="A423" t="s">
        <v>14</v>
      </c>
      <c r="B423" t="s">
        <v>48</v>
      </c>
      <c r="C423" t="s">
        <v>291</v>
      </c>
      <c r="D423" s="7">
        <v>40137</v>
      </c>
      <c r="E423">
        <v>5</v>
      </c>
      <c r="W423" t="s">
        <v>48</v>
      </c>
      <c r="X423" s="11" t="s">
        <v>291</v>
      </c>
      <c r="Y423" s="7">
        <v>40137</v>
      </c>
      <c r="Z423" s="11" t="str">
        <f t="shared" si="49"/>
        <v>2024-2</v>
      </c>
      <c r="AP423" s="8"/>
      <c r="AQ423" s="8"/>
      <c r="AR423" s="8"/>
      <c r="AT423" s="8"/>
    </row>
    <row r="424" spans="1:46" x14ac:dyDescent="0.25">
      <c r="A424" t="s">
        <v>8</v>
      </c>
      <c r="B424" t="s">
        <v>195</v>
      </c>
      <c r="C424" t="s">
        <v>291</v>
      </c>
      <c r="D424" s="7">
        <v>53843</v>
      </c>
      <c r="E424">
        <v>7</v>
      </c>
      <c r="W424" t="s">
        <v>195</v>
      </c>
      <c r="X424" s="11" t="s">
        <v>291</v>
      </c>
      <c r="Y424" s="7">
        <v>53843</v>
      </c>
      <c r="Z424" s="11" t="str">
        <f t="shared" si="49"/>
        <v>2024-2</v>
      </c>
      <c r="AP424" s="8"/>
      <c r="AQ424" s="8"/>
      <c r="AR424" s="8"/>
      <c r="AT424" s="8"/>
    </row>
    <row r="425" spans="1:46" x14ac:dyDescent="0.25">
      <c r="A425" t="s">
        <v>36</v>
      </c>
      <c r="B425" t="s">
        <v>53</v>
      </c>
      <c r="C425" t="s">
        <v>291</v>
      </c>
      <c r="D425" s="7">
        <v>48516</v>
      </c>
      <c r="E425">
        <v>7</v>
      </c>
      <c r="W425" t="s">
        <v>53</v>
      </c>
      <c r="X425" s="11" t="s">
        <v>291</v>
      </c>
      <c r="Y425" s="7">
        <v>48516</v>
      </c>
      <c r="Z425" s="11" t="str">
        <f t="shared" si="49"/>
        <v>2024-2</v>
      </c>
      <c r="AP425" s="8"/>
      <c r="AQ425" s="8"/>
      <c r="AR425" s="8"/>
      <c r="AT425" s="8"/>
    </row>
    <row r="426" spans="1:46" x14ac:dyDescent="0.25">
      <c r="A426" t="s">
        <v>10</v>
      </c>
      <c r="B426" t="s">
        <v>30</v>
      </c>
      <c r="C426" t="s">
        <v>292</v>
      </c>
      <c r="D426" s="7">
        <v>14224</v>
      </c>
      <c r="E426">
        <v>7</v>
      </c>
      <c r="W426" t="s">
        <v>30</v>
      </c>
      <c r="X426" s="11" t="s">
        <v>292</v>
      </c>
      <c r="Y426" s="7">
        <v>14224</v>
      </c>
      <c r="Z426" s="11" t="str">
        <f t="shared" si="49"/>
        <v>2024-2</v>
      </c>
      <c r="AP426" s="8"/>
      <c r="AQ426" s="8"/>
      <c r="AR426" s="8"/>
      <c r="AT426" s="8"/>
    </row>
    <row r="427" spans="1:46" x14ac:dyDescent="0.25">
      <c r="A427" t="s">
        <v>27</v>
      </c>
      <c r="B427" t="s">
        <v>269</v>
      </c>
      <c r="C427" t="s">
        <v>292</v>
      </c>
      <c r="D427" s="7">
        <v>97310</v>
      </c>
      <c r="E427">
        <v>10</v>
      </c>
      <c r="W427" t="s">
        <v>269</v>
      </c>
      <c r="X427" s="11" t="s">
        <v>292</v>
      </c>
      <c r="Y427" s="7">
        <v>97310</v>
      </c>
      <c r="Z427" s="11" t="str">
        <f t="shared" si="49"/>
        <v>2024-2</v>
      </c>
      <c r="AP427" s="8"/>
      <c r="AQ427" s="8"/>
      <c r="AR427" s="8"/>
      <c r="AT427" s="8"/>
    </row>
    <row r="428" spans="1:46" x14ac:dyDescent="0.25">
      <c r="A428" t="s">
        <v>32</v>
      </c>
      <c r="B428" t="s">
        <v>180</v>
      </c>
      <c r="C428" t="s">
        <v>292</v>
      </c>
      <c r="D428" s="7">
        <v>82676</v>
      </c>
      <c r="E428">
        <v>2</v>
      </c>
      <c r="W428" t="s">
        <v>180</v>
      </c>
      <c r="X428" s="11" t="s">
        <v>292</v>
      </c>
      <c r="Y428" s="7">
        <v>82676</v>
      </c>
      <c r="Z428" s="11" t="str">
        <f t="shared" si="49"/>
        <v>2024-2</v>
      </c>
      <c r="AP428" s="8"/>
      <c r="AQ428" s="8"/>
      <c r="AR428" s="8"/>
      <c r="AT428" s="8"/>
    </row>
    <row r="429" spans="1:46" x14ac:dyDescent="0.25">
      <c r="A429" t="s">
        <v>27</v>
      </c>
      <c r="B429" t="s">
        <v>276</v>
      </c>
      <c r="C429" t="s">
        <v>293</v>
      </c>
      <c r="D429" s="7">
        <v>33500</v>
      </c>
      <c r="E429">
        <v>9</v>
      </c>
      <c r="W429" t="s">
        <v>276</v>
      </c>
      <c r="X429" s="11" t="s">
        <v>293</v>
      </c>
      <c r="Y429" s="7">
        <v>33500</v>
      </c>
      <c r="Z429" s="11" t="str">
        <f t="shared" si="49"/>
        <v>2024-2</v>
      </c>
      <c r="AP429" s="8"/>
      <c r="AQ429" s="8"/>
      <c r="AR429" s="8"/>
      <c r="AT429" s="8"/>
    </row>
    <row r="430" spans="1:46" x14ac:dyDescent="0.25">
      <c r="A430" t="s">
        <v>5</v>
      </c>
      <c r="B430" t="s">
        <v>42</v>
      </c>
      <c r="C430" t="s">
        <v>293</v>
      </c>
      <c r="D430" s="7">
        <v>34584</v>
      </c>
      <c r="E430">
        <v>3</v>
      </c>
      <c r="W430" t="s">
        <v>42</v>
      </c>
      <c r="X430" s="11" t="s">
        <v>293</v>
      </c>
      <c r="Y430" s="7">
        <v>34584</v>
      </c>
      <c r="Z430" s="11" t="str">
        <f t="shared" si="49"/>
        <v>2024-2</v>
      </c>
      <c r="AP430" s="8"/>
      <c r="AQ430" s="8"/>
      <c r="AR430" s="8"/>
      <c r="AT430" s="8"/>
    </row>
    <row r="431" spans="1:46" x14ac:dyDescent="0.25">
      <c r="A431" t="s">
        <v>33</v>
      </c>
      <c r="B431" t="s">
        <v>245</v>
      </c>
      <c r="C431" t="s">
        <v>293</v>
      </c>
      <c r="D431" s="7">
        <v>40859</v>
      </c>
      <c r="E431">
        <v>8</v>
      </c>
      <c r="W431" t="s">
        <v>245</v>
      </c>
      <c r="X431" s="11" t="s">
        <v>293</v>
      </c>
      <c r="Y431" s="7">
        <v>40859</v>
      </c>
      <c r="Z431" s="11" t="str">
        <f t="shared" si="49"/>
        <v>2024-2</v>
      </c>
      <c r="AP431" s="8"/>
      <c r="AQ431" s="8"/>
      <c r="AR431" s="8"/>
      <c r="AT431" s="8"/>
    </row>
    <row r="432" spans="1:46" x14ac:dyDescent="0.25">
      <c r="A432" t="s">
        <v>17</v>
      </c>
      <c r="B432" t="s">
        <v>244</v>
      </c>
      <c r="C432" t="s">
        <v>293</v>
      </c>
      <c r="D432" s="7">
        <v>75703</v>
      </c>
      <c r="E432">
        <v>6</v>
      </c>
      <c r="W432" t="s">
        <v>244</v>
      </c>
      <c r="X432" s="11" t="s">
        <v>293</v>
      </c>
      <c r="Y432" s="7">
        <v>75703</v>
      </c>
      <c r="Z432" s="11" t="str">
        <f t="shared" si="49"/>
        <v>2024-2</v>
      </c>
      <c r="AP432" s="8"/>
      <c r="AQ432" s="8"/>
      <c r="AR432" s="8"/>
      <c r="AT432" s="8"/>
    </row>
    <row r="433" spans="1:46" x14ac:dyDescent="0.25">
      <c r="A433" t="s">
        <v>32</v>
      </c>
      <c r="B433" t="s">
        <v>60</v>
      </c>
      <c r="C433" t="s">
        <v>293</v>
      </c>
      <c r="D433" s="7">
        <v>43997</v>
      </c>
      <c r="E433">
        <v>3</v>
      </c>
      <c r="W433" t="s">
        <v>60</v>
      </c>
      <c r="X433" s="11" t="s">
        <v>293</v>
      </c>
      <c r="Y433" s="7">
        <v>43997</v>
      </c>
      <c r="Z433" s="11" t="str">
        <f t="shared" si="49"/>
        <v>2024-2</v>
      </c>
      <c r="AP433" s="8"/>
      <c r="AQ433" s="8"/>
      <c r="AR433" s="8"/>
      <c r="AT433" s="8"/>
    </row>
    <row r="434" spans="1:46" x14ac:dyDescent="0.25">
      <c r="A434" t="s">
        <v>33</v>
      </c>
      <c r="B434" t="s">
        <v>294</v>
      </c>
      <c r="C434" t="s">
        <v>295</v>
      </c>
      <c r="D434" s="7">
        <v>11526</v>
      </c>
      <c r="E434">
        <v>7</v>
      </c>
      <c r="W434" t="s">
        <v>294</v>
      </c>
      <c r="X434" s="11" t="s">
        <v>295</v>
      </c>
      <c r="Y434" s="7">
        <v>11526</v>
      </c>
      <c r="Z434" s="11" t="str">
        <f t="shared" si="49"/>
        <v>2024-2</v>
      </c>
      <c r="AP434" s="8"/>
      <c r="AQ434" s="8"/>
      <c r="AR434" s="8"/>
      <c r="AT434" s="8"/>
    </row>
    <row r="435" spans="1:46" x14ac:dyDescent="0.25">
      <c r="A435" t="s">
        <v>32</v>
      </c>
      <c r="B435" t="s">
        <v>296</v>
      </c>
      <c r="C435" t="s">
        <v>295</v>
      </c>
      <c r="D435" s="7">
        <v>99692</v>
      </c>
      <c r="E435">
        <v>7</v>
      </c>
      <c r="W435" t="s">
        <v>296</v>
      </c>
      <c r="X435" s="11" t="s">
        <v>295</v>
      </c>
      <c r="Y435" s="7">
        <v>99692</v>
      </c>
      <c r="Z435" s="11" t="str">
        <f t="shared" si="49"/>
        <v>2024-2</v>
      </c>
      <c r="AP435" s="8"/>
      <c r="AQ435" s="8"/>
      <c r="AR435" s="8"/>
      <c r="AT435" s="8"/>
    </row>
    <row r="436" spans="1:46" x14ac:dyDescent="0.25">
      <c r="A436" t="s">
        <v>23</v>
      </c>
      <c r="B436" t="s">
        <v>162</v>
      </c>
      <c r="C436" t="s">
        <v>295</v>
      </c>
      <c r="D436" s="7">
        <v>46734</v>
      </c>
      <c r="E436">
        <v>9</v>
      </c>
      <c r="W436" t="s">
        <v>162</v>
      </c>
      <c r="X436" s="11" t="s">
        <v>295</v>
      </c>
      <c r="Y436" s="7">
        <v>46734</v>
      </c>
      <c r="Z436" s="11" t="str">
        <f t="shared" si="49"/>
        <v>2024-2</v>
      </c>
      <c r="AP436" s="8"/>
      <c r="AQ436" s="8"/>
      <c r="AR436" s="8"/>
      <c r="AT436" s="8"/>
    </row>
    <row r="437" spans="1:46" x14ac:dyDescent="0.25">
      <c r="A437" t="s">
        <v>17</v>
      </c>
      <c r="B437" t="s">
        <v>297</v>
      </c>
      <c r="C437" t="s">
        <v>298</v>
      </c>
      <c r="D437" s="7">
        <v>15953</v>
      </c>
      <c r="E437">
        <v>4</v>
      </c>
      <c r="W437" t="s">
        <v>297</v>
      </c>
      <c r="X437" s="11" t="s">
        <v>298</v>
      </c>
      <c r="Y437" s="7">
        <v>15953</v>
      </c>
      <c r="Z437" s="11" t="str">
        <f t="shared" si="49"/>
        <v>2024-2</v>
      </c>
      <c r="AP437" s="8"/>
      <c r="AQ437" s="8"/>
      <c r="AR437" s="8"/>
      <c r="AT437" s="8"/>
    </row>
    <row r="438" spans="1:46" x14ac:dyDescent="0.25">
      <c r="A438" t="s">
        <v>10</v>
      </c>
      <c r="B438" t="s">
        <v>9</v>
      </c>
      <c r="C438" t="s">
        <v>298</v>
      </c>
      <c r="D438" s="7">
        <v>11950</v>
      </c>
      <c r="E438">
        <v>4</v>
      </c>
      <c r="W438" t="s">
        <v>9</v>
      </c>
      <c r="X438" s="11" t="s">
        <v>298</v>
      </c>
      <c r="Y438" s="7">
        <v>11950</v>
      </c>
      <c r="Z438" s="11" t="str">
        <f t="shared" si="49"/>
        <v>2024-2</v>
      </c>
      <c r="AP438" s="8"/>
      <c r="AQ438" s="8"/>
      <c r="AR438" s="8"/>
      <c r="AT438" s="8"/>
    </row>
    <row r="439" spans="1:46" x14ac:dyDescent="0.25">
      <c r="A439" t="s">
        <v>10</v>
      </c>
      <c r="B439" t="s">
        <v>41</v>
      </c>
      <c r="C439" t="s">
        <v>298</v>
      </c>
      <c r="D439" s="7">
        <v>75973</v>
      </c>
      <c r="E439">
        <v>0</v>
      </c>
      <c r="W439" t="s">
        <v>41</v>
      </c>
      <c r="X439" s="11" t="s">
        <v>298</v>
      </c>
      <c r="Y439" s="7">
        <v>75973</v>
      </c>
      <c r="Z439" s="11" t="str">
        <f t="shared" si="49"/>
        <v>2024-2</v>
      </c>
      <c r="AP439" s="8"/>
      <c r="AQ439" s="8"/>
      <c r="AR439" s="8"/>
      <c r="AT439" s="8"/>
    </row>
    <row r="440" spans="1:46" x14ac:dyDescent="0.25">
      <c r="A440" t="s">
        <v>20</v>
      </c>
      <c r="B440" t="s">
        <v>244</v>
      </c>
      <c r="C440" t="s">
        <v>298</v>
      </c>
      <c r="D440" s="7">
        <v>63123</v>
      </c>
      <c r="E440">
        <v>4</v>
      </c>
      <c r="W440" t="s">
        <v>244</v>
      </c>
      <c r="X440" s="11" t="s">
        <v>298</v>
      </c>
      <c r="Y440" s="7">
        <v>63123</v>
      </c>
      <c r="Z440" s="11" t="str">
        <f t="shared" si="49"/>
        <v>2024-2</v>
      </c>
      <c r="AP440" s="8"/>
      <c r="AQ440" s="8"/>
      <c r="AR440" s="8"/>
      <c r="AT440" s="8"/>
    </row>
    <row r="441" spans="1:46" x14ac:dyDescent="0.25">
      <c r="A441" t="s">
        <v>23</v>
      </c>
      <c r="B441" t="s">
        <v>166</v>
      </c>
      <c r="C441" t="s">
        <v>299</v>
      </c>
      <c r="D441" s="7">
        <v>51789</v>
      </c>
      <c r="E441">
        <v>5</v>
      </c>
      <c r="W441" t="s">
        <v>166</v>
      </c>
      <c r="X441" s="11" t="s">
        <v>299</v>
      </c>
      <c r="Y441" s="7">
        <v>51789</v>
      </c>
      <c r="Z441" s="11" t="str">
        <f t="shared" si="49"/>
        <v>2024-2</v>
      </c>
      <c r="AP441" s="8"/>
      <c r="AQ441" s="8"/>
      <c r="AR441" s="8"/>
      <c r="AT441" s="8"/>
    </row>
    <row r="442" spans="1:46" x14ac:dyDescent="0.25">
      <c r="A442" t="s">
        <v>5</v>
      </c>
      <c r="B442" t="s">
        <v>276</v>
      </c>
      <c r="C442" t="s">
        <v>299</v>
      </c>
      <c r="D442" s="7">
        <v>28767</v>
      </c>
      <c r="E442">
        <v>7</v>
      </c>
      <c r="W442" t="s">
        <v>276</v>
      </c>
      <c r="X442" s="11" t="s">
        <v>299</v>
      </c>
      <c r="Y442" s="7">
        <v>28767</v>
      </c>
      <c r="Z442" s="11" t="str">
        <f t="shared" si="49"/>
        <v>2024-2</v>
      </c>
      <c r="AP442" s="8"/>
      <c r="AQ442" s="8"/>
      <c r="AR442" s="8"/>
      <c r="AT442" s="8"/>
    </row>
    <row r="443" spans="1:46" x14ac:dyDescent="0.25">
      <c r="A443" t="s">
        <v>10</v>
      </c>
      <c r="B443" t="s">
        <v>162</v>
      </c>
      <c r="C443" t="s">
        <v>299</v>
      </c>
      <c r="D443" s="7">
        <v>91586</v>
      </c>
      <c r="E443">
        <v>6</v>
      </c>
      <c r="W443" t="s">
        <v>162</v>
      </c>
      <c r="X443" s="11" t="s">
        <v>299</v>
      </c>
      <c r="Y443" s="7">
        <v>91586</v>
      </c>
      <c r="Z443" s="11" t="str">
        <f t="shared" si="49"/>
        <v>2024-2</v>
      </c>
      <c r="AP443" s="8"/>
      <c r="AQ443" s="8"/>
      <c r="AR443" s="8"/>
      <c r="AT443" s="8"/>
    </row>
    <row r="444" spans="1:46" x14ac:dyDescent="0.25">
      <c r="A444" t="s">
        <v>17</v>
      </c>
      <c r="B444" t="s">
        <v>290</v>
      </c>
      <c r="C444" t="s">
        <v>300</v>
      </c>
      <c r="D444" s="7">
        <v>91812</v>
      </c>
      <c r="E444">
        <v>1</v>
      </c>
      <c r="W444" t="s">
        <v>290</v>
      </c>
      <c r="X444" s="11" t="s">
        <v>300</v>
      </c>
      <c r="Y444" s="7">
        <v>91812</v>
      </c>
      <c r="Z444" s="11" t="str">
        <f t="shared" si="49"/>
        <v>2024-2</v>
      </c>
      <c r="AP444" s="8"/>
      <c r="AQ444" s="8"/>
      <c r="AR444" s="8"/>
      <c r="AT444" s="8"/>
    </row>
    <row r="445" spans="1:46" x14ac:dyDescent="0.25">
      <c r="A445" t="s">
        <v>20</v>
      </c>
      <c r="B445" t="s">
        <v>120</v>
      </c>
      <c r="C445" t="s">
        <v>300</v>
      </c>
      <c r="D445" s="7">
        <v>93574</v>
      </c>
      <c r="E445">
        <v>4</v>
      </c>
      <c r="W445" t="s">
        <v>120</v>
      </c>
      <c r="X445" s="11" t="s">
        <v>300</v>
      </c>
      <c r="Y445" s="7">
        <v>93574</v>
      </c>
      <c r="Z445" s="11" t="str">
        <f t="shared" si="49"/>
        <v>2024-2</v>
      </c>
      <c r="AP445" s="8"/>
      <c r="AQ445" s="8"/>
      <c r="AR445" s="8"/>
      <c r="AT445" s="8"/>
    </row>
    <row r="446" spans="1:46" x14ac:dyDescent="0.25">
      <c r="A446" t="s">
        <v>20</v>
      </c>
      <c r="B446" t="s">
        <v>203</v>
      </c>
      <c r="C446" t="s">
        <v>300</v>
      </c>
      <c r="D446" s="7">
        <v>28193</v>
      </c>
      <c r="E446">
        <v>4</v>
      </c>
      <c r="W446" t="s">
        <v>203</v>
      </c>
      <c r="X446" s="11" t="s">
        <v>300</v>
      </c>
      <c r="Y446" s="7">
        <v>28193</v>
      </c>
      <c r="Z446" s="11" t="str">
        <f t="shared" si="49"/>
        <v>2024-2</v>
      </c>
      <c r="AP446" s="8"/>
      <c r="AQ446" s="8"/>
      <c r="AR446" s="8"/>
      <c r="AT446" s="8"/>
    </row>
    <row r="447" spans="1:46" x14ac:dyDescent="0.25">
      <c r="A447" t="s">
        <v>17</v>
      </c>
      <c r="B447" t="s">
        <v>56</v>
      </c>
      <c r="C447" t="s">
        <v>300</v>
      </c>
      <c r="D447" s="7">
        <v>31020</v>
      </c>
      <c r="E447">
        <v>3</v>
      </c>
      <c r="W447" t="s">
        <v>56</v>
      </c>
      <c r="X447" s="11" t="s">
        <v>300</v>
      </c>
      <c r="Y447" s="7">
        <v>31020</v>
      </c>
      <c r="Z447" s="11" t="str">
        <f t="shared" si="49"/>
        <v>2024-2</v>
      </c>
      <c r="AP447" s="8"/>
      <c r="AQ447" s="8"/>
      <c r="AR447" s="8"/>
      <c r="AT447" s="8"/>
    </row>
    <row r="448" spans="1:46" x14ac:dyDescent="0.25">
      <c r="A448" t="s">
        <v>32</v>
      </c>
      <c r="B448" t="s">
        <v>215</v>
      </c>
      <c r="C448" t="s">
        <v>301</v>
      </c>
      <c r="D448" s="7">
        <v>51068</v>
      </c>
      <c r="E448">
        <v>6</v>
      </c>
      <c r="W448" t="s">
        <v>215</v>
      </c>
      <c r="X448" s="11" t="s">
        <v>301</v>
      </c>
      <c r="Y448" s="7">
        <v>51068</v>
      </c>
      <c r="Z448" s="11" t="str">
        <f t="shared" si="49"/>
        <v>2024-2</v>
      </c>
      <c r="AP448" s="8"/>
      <c r="AQ448" s="8"/>
      <c r="AR448" s="8"/>
      <c r="AT448" s="8"/>
    </row>
    <row r="449" spans="1:46" x14ac:dyDescent="0.25">
      <c r="A449" t="s">
        <v>27</v>
      </c>
      <c r="B449" t="s">
        <v>34</v>
      </c>
      <c r="C449" t="s">
        <v>301</v>
      </c>
      <c r="D449" s="7">
        <v>38983</v>
      </c>
      <c r="E449">
        <v>7</v>
      </c>
      <c r="W449" t="s">
        <v>34</v>
      </c>
      <c r="X449" s="11" t="s">
        <v>301</v>
      </c>
      <c r="Y449" s="7">
        <v>38983</v>
      </c>
      <c r="Z449" s="11" t="str">
        <f t="shared" si="49"/>
        <v>2024-2</v>
      </c>
      <c r="AP449" s="8"/>
      <c r="AQ449" s="8"/>
      <c r="AR449" s="8"/>
      <c r="AT449" s="8"/>
    </row>
    <row r="450" spans="1:46" x14ac:dyDescent="0.25">
      <c r="A450" t="s">
        <v>14</v>
      </c>
      <c r="B450" t="s">
        <v>190</v>
      </c>
      <c r="C450" t="s">
        <v>301</v>
      </c>
      <c r="D450" s="7">
        <v>24162</v>
      </c>
      <c r="E450">
        <v>6</v>
      </c>
      <c r="W450" t="s">
        <v>190</v>
      </c>
      <c r="X450" s="11" t="s">
        <v>301</v>
      </c>
      <c r="Y450" s="7">
        <v>24162</v>
      </c>
      <c r="Z450" s="11" t="str">
        <f t="shared" si="49"/>
        <v>2024-2</v>
      </c>
      <c r="AP450" s="8"/>
      <c r="AQ450" s="8"/>
      <c r="AR450" s="8"/>
      <c r="AT450" s="8"/>
    </row>
    <row r="451" spans="1:46" x14ac:dyDescent="0.25">
      <c r="A451" t="s">
        <v>33</v>
      </c>
      <c r="B451" t="s">
        <v>101</v>
      </c>
      <c r="C451" t="s">
        <v>302</v>
      </c>
      <c r="D451" s="7">
        <v>21249</v>
      </c>
      <c r="E451">
        <v>6</v>
      </c>
      <c r="W451" t="s">
        <v>101</v>
      </c>
      <c r="X451" s="11" t="s">
        <v>302</v>
      </c>
      <c r="Y451" s="7">
        <v>21249</v>
      </c>
      <c r="Z451" s="11" t="str">
        <f t="shared" ref="Z451:Z514" si="50">MID(X451,1,4)&amp;"-"&amp;IF(MID(X451,6,1)*1=0,MID(X451,7,1),MID(X451,6,2))</f>
        <v>2024-2</v>
      </c>
      <c r="AP451" s="8"/>
      <c r="AQ451" s="8"/>
      <c r="AR451" s="8"/>
      <c r="AT451" s="8"/>
    </row>
    <row r="452" spans="1:46" x14ac:dyDescent="0.25">
      <c r="A452" t="s">
        <v>12</v>
      </c>
      <c r="B452" t="s">
        <v>118</v>
      </c>
      <c r="C452" t="s">
        <v>302</v>
      </c>
      <c r="D452" s="7">
        <v>82916</v>
      </c>
      <c r="E452">
        <v>4</v>
      </c>
      <c r="W452" t="s">
        <v>118</v>
      </c>
      <c r="X452" s="11" t="s">
        <v>302</v>
      </c>
      <c r="Y452" s="7">
        <v>82916</v>
      </c>
      <c r="Z452" s="11" t="str">
        <f t="shared" si="50"/>
        <v>2024-2</v>
      </c>
      <c r="AP452" s="8"/>
      <c r="AQ452" s="8"/>
      <c r="AR452" s="8"/>
      <c r="AT452" s="8"/>
    </row>
    <row r="453" spans="1:46" x14ac:dyDescent="0.25">
      <c r="A453" t="s">
        <v>27</v>
      </c>
      <c r="B453" t="s">
        <v>303</v>
      </c>
      <c r="C453" t="s">
        <v>302</v>
      </c>
      <c r="D453" s="7">
        <v>81393</v>
      </c>
      <c r="E453">
        <v>6</v>
      </c>
      <c r="W453" t="s">
        <v>303</v>
      </c>
      <c r="X453" s="11" t="s">
        <v>302</v>
      </c>
      <c r="Y453" s="7">
        <v>81393</v>
      </c>
      <c r="Z453" s="11" t="str">
        <f t="shared" si="50"/>
        <v>2024-2</v>
      </c>
      <c r="AP453" s="8"/>
      <c r="AQ453" s="8"/>
      <c r="AR453" s="8"/>
      <c r="AT453" s="8"/>
    </row>
    <row r="454" spans="1:46" x14ac:dyDescent="0.25">
      <c r="A454" t="s">
        <v>17</v>
      </c>
      <c r="B454" t="s">
        <v>97</v>
      </c>
      <c r="C454" t="s">
        <v>302</v>
      </c>
      <c r="D454" s="7">
        <v>38875</v>
      </c>
      <c r="E454">
        <v>6</v>
      </c>
      <c r="W454" t="s">
        <v>97</v>
      </c>
      <c r="X454" s="11" t="s">
        <v>302</v>
      </c>
      <c r="Y454" s="7">
        <v>38875</v>
      </c>
      <c r="Z454" s="11" t="str">
        <f t="shared" si="50"/>
        <v>2024-2</v>
      </c>
      <c r="AP454" s="8"/>
      <c r="AQ454" s="8"/>
      <c r="AR454" s="8"/>
      <c r="AT454" s="8"/>
    </row>
    <row r="455" spans="1:46" x14ac:dyDescent="0.25">
      <c r="A455" t="s">
        <v>36</v>
      </c>
      <c r="B455" t="s">
        <v>202</v>
      </c>
      <c r="C455" t="s">
        <v>302</v>
      </c>
      <c r="D455" s="7">
        <v>83897</v>
      </c>
      <c r="E455">
        <v>8</v>
      </c>
      <c r="W455" t="s">
        <v>202</v>
      </c>
      <c r="X455" s="11" t="s">
        <v>302</v>
      </c>
      <c r="Y455" s="7">
        <v>83897</v>
      </c>
      <c r="Z455" s="11" t="str">
        <f t="shared" si="50"/>
        <v>2024-2</v>
      </c>
      <c r="AP455" s="8"/>
      <c r="AQ455" s="8"/>
      <c r="AR455" s="8"/>
      <c r="AT455" s="8"/>
    </row>
    <row r="456" spans="1:46" x14ac:dyDescent="0.25">
      <c r="A456" t="s">
        <v>20</v>
      </c>
      <c r="B456" t="s">
        <v>79</v>
      </c>
      <c r="C456" t="s">
        <v>302</v>
      </c>
      <c r="D456" s="7">
        <v>46369</v>
      </c>
      <c r="E456">
        <v>2</v>
      </c>
      <c r="W456" t="s">
        <v>79</v>
      </c>
      <c r="X456" s="11" t="s">
        <v>302</v>
      </c>
      <c r="Y456" s="7">
        <v>46369</v>
      </c>
      <c r="Z456" s="11" t="str">
        <f t="shared" si="50"/>
        <v>2024-2</v>
      </c>
      <c r="AP456" s="8"/>
      <c r="AQ456" s="8"/>
      <c r="AR456" s="8"/>
      <c r="AT456" s="8"/>
    </row>
    <row r="457" spans="1:46" x14ac:dyDescent="0.25">
      <c r="A457" t="s">
        <v>5</v>
      </c>
      <c r="B457" t="s">
        <v>85</v>
      </c>
      <c r="C457" t="s">
        <v>304</v>
      </c>
      <c r="D457" s="7">
        <v>87934</v>
      </c>
      <c r="E457">
        <v>10</v>
      </c>
      <c r="W457" t="s">
        <v>85</v>
      </c>
      <c r="X457" s="11" t="s">
        <v>304</v>
      </c>
      <c r="Y457" s="7">
        <v>87934</v>
      </c>
      <c r="Z457" s="11" t="str">
        <f t="shared" si="50"/>
        <v>2024-2</v>
      </c>
      <c r="AP457" s="8"/>
      <c r="AQ457" s="8"/>
      <c r="AR457" s="8"/>
      <c r="AT457" s="8"/>
    </row>
    <row r="458" spans="1:46" x14ac:dyDescent="0.25">
      <c r="A458" t="s">
        <v>5</v>
      </c>
      <c r="B458" t="s">
        <v>76</v>
      </c>
      <c r="C458" t="s">
        <v>304</v>
      </c>
      <c r="D458" s="7">
        <v>54046</v>
      </c>
      <c r="E458">
        <v>8</v>
      </c>
      <c r="W458" t="s">
        <v>76</v>
      </c>
      <c r="X458" s="11" t="s">
        <v>304</v>
      </c>
      <c r="Y458" s="7">
        <v>54046</v>
      </c>
      <c r="Z458" s="11" t="str">
        <f t="shared" si="50"/>
        <v>2024-2</v>
      </c>
      <c r="AP458" s="8"/>
      <c r="AQ458" s="8"/>
      <c r="AR458" s="8"/>
      <c r="AT458" s="8"/>
    </row>
    <row r="459" spans="1:46" x14ac:dyDescent="0.25">
      <c r="A459" t="s">
        <v>17</v>
      </c>
      <c r="B459" t="s">
        <v>35</v>
      </c>
      <c r="C459" t="s">
        <v>304</v>
      </c>
      <c r="D459" s="7">
        <v>83530</v>
      </c>
      <c r="E459">
        <v>7</v>
      </c>
      <c r="W459" t="s">
        <v>35</v>
      </c>
      <c r="X459" s="11" t="s">
        <v>304</v>
      </c>
      <c r="Y459" s="7">
        <v>83530</v>
      </c>
      <c r="Z459" s="11" t="str">
        <f t="shared" si="50"/>
        <v>2024-2</v>
      </c>
      <c r="AP459" s="8"/>
      <c r="AQ459" s="8"/>
      <c r="AR459" s="8"/>
      <c r="AT459" s="8"/>
    </row>
    <row r="460" spans="1:46" x14ac:dyDescent="0.25">
      <c r="A460" t="s">
        <v>17</v>
      </c>
      <c r="B460" t="s">
        <v>55</v>
      </c>
      <c r="C460" t="s">
        <v>305</v>
      </c>
      <c r="D460" s="7">
        <v>21382</v>
      </c>
      <c r="E460">
        <v>7</v>
      </c>
      <c r="W460" t="s">
        <v>55</v>
      </c>
      <c r="X460" s="11" t="s">
        <v>305</v>
      </c>
      <c r="Y460" s="7">
        <v>21382</v>
      </c>
      <c r="Z460" s="11" t="str">
        <f t="shared" si="50"/>
        <v>2024-2</v>
      </c>
      <c r="AP460" s="8"/>
      <c r="AQ460" s="8"/>
      <c r="AR460" s="8"/>
      <c r="AT460" s="8"/>
    </row>
    <row r="461" spans="1:46" x14ac:dyDescent="0.25">
      <c r="A461" t="s">
        <v>10</v>
      </c>
      <c r="B461" t="s">
        <v>155</v>
      </c>
      <c r="C461" t="s">
        <v>305</v>
      </c>
      <c r="D461" s="7">
        <v>21362</v>
      </c>
      <c r="E461">
        <v>9</v>
      </c>
      <c r="W461" t="s">
        <v>155</v>
      </c>
      <c r="X461" s="11" t="s">
        <v>305</v>
      </c>
      <c r="Y461" s="7">
        <v>21362</v>
      </c>
      <c r="Z461" s="11" t="str">
        <f t="shared" si="50"/>
        <v>2024-2</v>
      </c>
      <c r="AP461" s="8"/>
      <c r="AQ461" s="8"/>
      <c r="AR461" s="8"/>
      <c r="AT461" s="8"/>
    </row>
    <row r="462" spans="1:46" x14ac:dyDescent="0.25">
      <c r="A462" t="s">
        <v>5</v>
      </c>
      <c r="B462" t="s">
        <v>199</v>
      </c>
      <c r="C462" t="s">
        <v>306</v>
      </c>
      <c r="D462" s="7">
        <v>17785</v>
      </c>
      <c r="E462">
        <v>6</v>
      </c>
      <c r="W462" t="s">
        <v>199</v>
      </c>
      <c r="X462" s="11" t="s">
        <v>306</v>
      </c>
      <c r="Y462" s="7">
        <v>17785</v>
      </c>
      <c r="Z462" s="11" t="str">
        <f t="shared" si="50"/>
        <v>2024-2</v>
      </c>
      <c r="AP462" s="8"/>
      <c r="AQ462" s="8"/>
      <c r="AR462" s="8"/>
      <c r="AT462" s="8"/>
    </row>
    <row r="463" spans="1:46" x14ac:dyDescent="0.25">
      <c r="A463" t="s">
        <v>33</v>
      </c>
      <c r="B463" t="s">
        <v>131</v>
      </c>
      <c r="C463" t="s">
        <v>306</v>
      </c>
      <c r="D463" s="7">
        <v>17012</v>
      </c>
      <c r="E463">
        <v>4</v>
      </c>
      <c r="W463" t="s">
        <v>131</v>
      </c>
      <c r="X463" s="11" t="s">
        <v>306</v>
      </c>
      <c r="Y463" s="7">
        <v>17012</v>
      </c>
      <c r="Z463" s="11" t="str">
        <f t="shared" si="50"/>
        <v>2024-2</v>
      </c>
      <c r="AP463" s="8"/>
      <c r="AQ463" s="8"/>
      <c r="AR463" s="8"/>
      <c r="AT463" s="8"/>
    </row>
    <row r="464" spans="1:46" x14ac:dyDescent="0.25">
      <c r="A464" t="s">
        <v>8</v>
      </c>
      <c r="B464" t="s">
        <v>307</v>
      </c>
      <c r="C464" t="s">
        <v>306</v>
      </c>
      <c r="D464" s="7">
        <v>57668</v>
      </c>
      <c r="E464">
        <v>9</v>
      </c>
      <c r="W464" t="s">
        <v>307</v>
      </c>
      <c r="X464" s="11" t="s">
        <v>306</v>
      </c>
      <c r="Y464" s="7">
        <v>57668</v>
      </c>
      <c r="Z464" s="11" t="str">
        <f t="shared" si="50"/>
        <v>2024-2</v>
      </c>
      <c r="AP464" s="8"/>
      <c r="AQ464" s="8"/>
      <c r="AR464" s="8"/>
      <c r="AT464" s="8"/>
    </row>
    <row r="465" spans="1:46" x14ac:dyDescent="0.25">
      <c r="A465" t="s">
        <v>17</v>
      </c>
      <c r="B465" t="s">
        <v>308</v>
      </c>
      <c r="C465" t="s">
        <v>309</v>
      </c>
      <c r="D465" s="7">
        <v>77177</v>
      </c>
      <c r="E465">
        <v>8</v>
      </c>
      <c r="W465" t="s">
        <v>308</v>
      </c>
      <c r="X465" s="11" t="s">
        <v>309</v>
      </c>
      <c r="Y465" s="7">
        <v>77177</v>
      </c>
      <c r="Z465" s="11" t="str">
        <f t="shared" si="50"/>
        <v>2024-2</v>
      </c>
      <c r="AP465" s="8"/>
      <c r="AQ465" s="8"/>
      <c r="AR465" s="8"/>
      <c r="AT465" s="8"/>
    </row>
    <row r="466" spans="1:46" x14ac:dyDescent="0.25">
      <c r="A466" t="s">
        <v>23</v>
      </c>
      <c r="B466" t="s">
        <v>26</v>
      </c>
      <c r="C466" t="s">
        <v>309</v>
      </c>
      <c r="D466" s="7">
        <v>82646</v>
      </c>
      <c r="E466">
        <v>6</v>
      </c>
      <c r="W466" t="s">
        <v>26</v>
      </c>
      <c r="X466" s="11" t="s">
        <v>309</v>
      </c>
      <c r="Y466" s="7">
        <v>82646</v>
      </c>
      <c r="Z466" s="11" t="str">
        <f t="shared" si="50"/>
        <v>2024-2</v>
      </c>
      <c r="AP466" s="8"/>
      <c r="AQ466" s="8"/>
      <c r="AR466" s="8"/>
      <c r="AT466" s="8"/>
    </row>
    <row r="467" spans="1:46" x14ac:dyDescent="0.25">
      <c r="A467" t="s">
        <v>27</v>
      </c>
      <c r="B467" t="s">
        <v>229</v>
      </c>
      <c r="C467" t="s">
        <v>309</v>
      </c>
      <c r="D467" s="7">
        <v>35748</v>
      </c>
      <c r="E467">
        <v>8</v>
      </c>
      <c r="W467" t="s">
        <v>229</v>
      </c>
      <c r="X467" s="11" t="s">
        <v>309</v>
      </c>
      <c r="Y467" s="7">
        <v>35748</v>
      </c>
      <c r="Z467" s="11" t="str">
        <f t="shared" si="50"/>
        <v>2024-2</v>
      </c>
      <c r="AP467" s="8"/>
      <c r="AQ467" s="8"/>
      <c r="AR467" s="8"/>
      <c r="AT467" s="8"/>
    </row>
    <row r="468" spans="1:46" x14ac:dyDescent="0.25">
      <c r="A468" t="s">
        <v>14</v>
      </c>
      <c r="B468" t="s">
        <v>53</v>
      </c>
      <c r="C468" t="s">
        <v>310</v>
      </c>
      <c r="D468" s="7">
        <v>42037</v>
      </c>
      <c r="E468">
        <v>6</v>
      </c>
      <c r="W468" t="s">
        <v>53</v>
      </c>
      <c r="X468" s="11" t="s">
        <v>310</v>
      </c>
      <c r="Y468" s="7">
        <v>42037</v>
      </c>
      <c r="Z468" s="11" t="str">
        <f t="shared" si="50"/>
        <v>2024-2</v>
      </c>
      <c r="AP468" s="8"/>
      <c r="AQ468" s="8"/>
      <c r="AR468" s="8"/>
      <c r="AT468" s="8"/>
    </row>
    <row r="469" spans="1:46" x14ac:dyDescent="0.25">
      <c r="A469" t="s">
        <v>12</v>
      </c>
      <c r="B469" t="s">
        <v>231</v>
      </c>
      <c r="C469" t="s">
        <v>310</v>
      </c>
      <c r="D469" s="7">
        <v>81175</v>
      </c>
      <c r="E469">
        <v>1</v>
      </c>
      <c r="W469" t="s">
        <v>231</v>
      </c>
      <c r="X469" s="11" t="s">
        <v>310</v>
      </c>
      <c r="Y469" s="7">
        <v>81175</v>
      </c>
      <c r="Z469" s="11" t="str">
        <f t="shared" si="50"/>
        <v>2024-2</v>
      </c>
      <c r="AP469" s="8"/>
      <c r="AQ469" s="8"/>
      <c r="AR469" s="8"/>
      <c r="AT469" s="8"/>
    </row>
    <row r="470" spans="1:46" x14ac:dyDescent="0.25">
      <c r="A470" t="s">
        <v>32</v>
      </c>
      <c r="B470" t="s">
        <v>6</v>
      </c>
      <c r="C470" t="s">
        <v>310</v>
      </c>
      <c r="D470" s="7">
        <v>93788</v>
      </c>
      <c r="E470">
        <v>2</v>
      </c>
      <c r="W470" t="s">
        <v>6</v>
      </c>
      <c r="X470" s="11" t="s">
        <v>310</v>
      </c>
      <c r="Y470" s="7">
        <v>93788</v>
      </c>
      <c r="Z470" s="11" t="str">
        <f t="shared" si="50"/>
        <v>2024-2</v>
      </c>
      <c r="AP470" s="8"/>
      <c r="AQ470" s="8"/>
      <c r="AR470" s="8"/>
      <c r="AT470" s="8"/>
    </row>
    <row r="471" spans="1:46" x14ac:dyDescent="0.25">
      <c r="A471" t="s">
        <v>8</v>
      </c>
      <c r="B471" t="s">
        <v>124</v>
      </c>
      <c r="C471" t="s">
        <v>310</v>
      </c>
      <c r="D471" s="7">
        <v>47010</v>
      </c>
      <c r="E471">
        <v>7</v>
      </c>
      <c r="W471" t="s">
        <v>124</v>
      </c>
      <c r="X471" s="11" t="s">
        <v>310</v>
      </c>
      <c r="Y471" s="7">
        <v>47010</v>
      </c>
      <c r="Z471" s="11" t="str">
        <f t="shared" si="50"/>
        <v>2024-2</v>
      </c>
      <c r="AP471" s="8"/>
      <c r="AQ471" s="8"/>
      <c r="AR471" s="8"/>
      <c r="AT471" s="8"/>
    </row>
    <row r="472" spans="1:46" x14ac:dyDescent="0.25">
      <c r="A472" t="s">
        <v>14</v>
      </c>
      <c r="B472" t="s">
        <v>311</v>
      </c>
      <c r="C472" t="s">
        <v>310</v>
      </c>
      <c r="D472" s="7">
        <v>68339</v>
      </c>
      <c r="E472">
        <v>7</v>
      </c>
      <c r="W472" t="s">
        <v>311</v>
      </c>
      <c r="X472" s="11" t="s">
        <v>310</v>
      </c>
      <c r="Y472" s="7">
        <v>68339</v>
      </c>
      <c r="Z472" s="11" t="str">
        <f t="shared" si="50"/>
        <v>2024-2</v>
      </c>
      <c r="AP472" s="8"/>
      <c r="AQ472" s="8"/>
      <c r="AR472" s="8"/>
      <c r="AT472" s="8"/>
    </row>
    <row r="473" spans="1:46" x14ac:dyDescent="0.25">
      <c r="A473" t="s">
        <v>36</v>
      </c>
      <c r="B473" t="s">
        <v>22</v>
      </c>
      <c r="C473" t="s">
        <v>310</v>
      </c>
      <c r="D473" s="7">
        <v>51116</v>
      </c>
      <c r="E473">
        <v>8</v>
      </c>
      <c r="W473" t="s">
        <v>22</v>
      </c>
      <c r="X473" s="11" t="s">
        <v>310</v>
      </c>
      <c r="Y473" s="7">
        <v>51116</v>
      </c>
      <c r="Z473" s="11" t="str">
        <f t="shared" si="50"/>
        <v>2024-2</v>
      </c>
      <c r="AP473" s="8"/>
      <c r="AQ473" s="8"/>
      <c r="AR473" s="8"/>
      <c r="AT473" s="8"/>
    </row>
    <row r="474" spans="1:46" x14ac:dyDescent="0.25">
      <c r="A474" t="s">
        <v>10</v>
      </c>
      <c r="B474" t="s">
        <v>161</v>
      </c>
      <c r="C474" t="s">
        <v>310</v>
      </c>
      <c r="D474" s="7">
        <v>92805</v>
      </c>
      <c r="E474">
        <v>5</v>
      </c>
      <c r="W474" t="s">
        <v>161</v>
      </c>
      <c r="X474" s="11" t="s">
        <v>310</v>
      </c>
      <c r="Y474" s="7">
        <v>92805</v>
      </c>
      <c r="Z474" s="11" t="str">
        <f t="shared" si="50"/>
        <v>2024-2</v>
      </c>
      <c r="AP474" s="8"/>
      <c r="AQ474" s="8"/>
      <c r="AR474" s="8"/>
      <c r="AT474" s="8"/>
    </row>
    <row r="475" spans="1:46" x14ac:dyDescent="0.25">
      <c r="A475" t="s">
        <v>32</v>
      </c>
      <c r="B475" t="s">
        <v>39</v>
      </c>
      <c r="C475" t="s">
        <v>312</v>
      </c>
      <c r="D475" s="7">
        <v>80690</v>
      </c>
      <c r="E475">
        <v>7</v>
      </c>
      <c r="W475" t="s">
        <v>39</v>
      </c>
      <c r="X475" s="11" t="s">
        <v>312</v>
      </c>
      <c r="Y475" s="7">
        <v>80690</v>
      </c>
      <c r="Z475" s="11" t="str">
        <f t="shared" si="50"/>
        <v>2024-2</v>
      </c>
      <c r="AP475" s="8"/>
      <c r="AQ475" s="8"/>
      <c r="AR475" s="8"/>
      <c r="AT475" s="8"/>
    </row>
    <row r="476" spans="1:46" x14ac:dyDescent="0.25">
      <c r="A476" t="s">
        <v>20</v>
      </c>
      <c r="B476" t="s">
        <v>47</v>
      </c>
      <c r="C476" t="s">
        <v>312</v>
      </c>
      <c r="D476" s="7">
        <v>79058</v>
      </c>
      <c r="E476">
        <v>3</v>
      </c>
      <c r="W476" t="s">
        <v>47</v>
      </c>
      <c r="X476" s="11" t="s">
        <v>312</v>
      </c>
      <c r="Y476" s="7">
        <v>79058</v>
      </c>
      <c r="Z476" s="11" t="str">
        <f t="shared" si="50"/>
        <v>2024-2</v>
      </c>
      <c r="AP476" s="8"/>
      <c r="AQ476" s="8"/>
      <c r="AR476" s="8"/>
      <c r="AT476" s="8"/>
    </row>
    <row r="477" spans="1:46" x14ac:dyDescent="0.25">
      <c r="A477" t="s">
        <v>17</v>
      </c>
      <c r="B477" t="s">
        <v>165</v>
      </c>
      <c r="C477" t="s">
        <v>313</v>
      </c>
      <c r="D477" s="7">
        <v>77111</v>
      </c>
      <c r="E477">
        <v>7</v>
      </c>
      <c r="W477" t="s">
        <v>165</v>
      </c>
      <c r="X477" s="11" t="s">
        <v>313</v>
      </c>
      <c r="Y477" s="7">
        <v>77111</v>
      </c>
      <c r="Z477" s="11" t="str">
        <f t="shared" si="50"/>
        <v>2024-2</v>
      </c>
      <c r="AP477" s="8"/>
      <c r="AQ477" s="8"/>
      <c r="AR477" s="8"/>
      <c r="AT477" s="8"/>
    </row>
    <row r="478" spans="1:46" x14ac:dyDescent="0.25">
      <c r="A478" t="s">
        <v>17</v>
      </c>
      <c r="B478" t="s">
        <v>155</v>
      </c>
      <c r="C478" t="s">
        <v>313</v>
      </c>
      <c r="D478" s="7">
        <v>42552</v>
      </c>
      <c r="E478">
        <v>9</v>
      </c>
      <c r="W478" t="s">
        <v>155</v>
      </c>
      <c r="X478" s="11" t="s">
        <v>313</v>
      </c>
      <c r="Y478" s="7">
        <v>42552</v>
      </c>
      <c r="Z478" s="11" t="str">
        <f t="shared" si="50"/>
        <v>2024-2</v>
      </c>
      <c r="AP478" s="8"/>
      <c r="AQ478" s="8"/>
      <c r="AR478" s="8"/>
      <c r="AT478" s="8"/>
    </row>
    <row r="479" spans="1:46" x14ac:dyDescent="0.25">
      <c r="A479" t="s">
        <v>33</v>
      </c>
      <c r="B479" t="s">
        <v>56</v>
      </c>
      <c r="C479" t="s">
        <v>313</v>
      </c>
      <c r="D479" s="7">
        <v>87824</v>
      </c>
      <c r="E479">
        <v>4</v>
      </c>
      <c r="W479" t="s">
        <v>56</v>
      </c>
      <c r="X479" s="11" t="s">
        <v>313</v>
      </c>
      <c r="Y479" s="7">
        <v>87824</v>
      </c>
      <c r="Z479" s="11" t="str">
        <f t="shared" si="50"/>
        <v>2024-2</v>
      </c>
      <c r="AP479" s="8"/>
      <c r="AQ479" s="8"/>
      <c r="AR479" s="8"/>
      <c r="AT479" s="8"/>
    </row>
    <row r="480" spans="1:46" x14ac:dyDescent="0.25">
      <c r="A480" t="s">
        <v>32</v>
      </c>
      <c r="B480" t="s">
        <v>53</v>
      </c>
      <c r="C480" t="s">
        <v>313</v>
      </c>
      <c r="D480" s="7">
        <v>18602</v>
      </c>
      <c r="E480">
        <v>8</v>
      </c>
      <c r="W480" t="s">
        <v>53</v>
      </c>
      <c r="X480" s="11" t="s">
        <v>313</v>
      </c>
      <c r="Y480" s="7">
        <v>18602</v>
      </c>
      <c r="Z480" s="11" t="str">
        <f t="shared" si="50"/>
        <v>2024-2</v>
      </c>
      <c r="AP480" s="8"/>
      <c r="AQ480" s="8"/>
      <c r="AR480" s="8"/>
      <c r="AT480" s="8"/>
    </row>
    <row r="481" spans="1:46" x14ac:dyDescent="0.25">
      <c r="A481" t="s">
        <v>23</v>
      </c>
      <c r="B481" t="s">
        <v>253</v>
      </c>
      <c r="C481" t="s">
        <v>313</v>
      </c>
      <c r="D481" s="7">
        <v>33136</v>
      </c>
      <c r="E481">
        <v>8</v>
      </c>
      <c r="W481" t="s">
        <v>253</v>
      </c>
      <c r="X481" s="11" t="s">
        <v>313</v>
      </c>
      <c r="Y481" s="7">
        <v>33136</v>
      </c>
      <c r="Z481" s="11" t="str">
        <f t="shared" si="50"/>
        <v>2024-2</v>
      </c>
      <c r="AP481" s="8"/>
      <c r="AQ481" s="8"/>
      <c r="AR481" s="8"/>
      <c r="AT481" s="8"/>
    </row>
    <row r="482" spans="1:46" x14ac:dyDescent="0.25">
      <c r="A482" t="s">
        <v>23</v>
      </c>
      <c r="B482" t="s">
        <v>112</v>
      </c>
      <c r="C482" t="s">
        <v>314</v>
      </c>
      <c r="D482" s="7">
        <v>43277</v>
      </c>
      <c r="E482">
        <v>9</v>
      </c>
      <c r="W482" t="s">
        <v>112</v>
      </c>
      <c r="X482" s="11" t="s">
        <v>314</v>
      </c>
      <c r="Y482" s="7">
        <v>43277</v>
      </c>
      <c r="Z482" s="11" t="str">
        <f t="shared" si="50"/>
        <v>2024-3</v>
      </c>
      <c r="AP482" s="8"/>
      <c r="AQ482" s="8"/>
      <c r="AR482" s="8"/>
      <c r="AT482" s="8"/>
    </row>
    <row r="483" spans="1:46" x14ac:dyDescent="0.25">
      <c r="A483" t="s">
        <v>32</v>
      </c>
      <c r="B483" t="s">
        <v>238</v>
      </c>
      <c r="C483" t="s">
        <v>314</v>
      </c>
      <c r="D483" s="7">
        <v>32047</v>
      </c>
      <c r="E483">
        <v>8</v>
      </c>
      <c r="W483" t="s">
        <v>238</v>
      </c>
      <c r="X483" s="11" t="s">
        <v>314</v>
      </c>
      <c r="Y483" s="7">
        <v>32047</v>
      </c>
      <c r="Z483" s="11" t="str">
        <f t="shared" si="50"/>
        <v>2024-3</v>
      </c>
      <c r="AP483" s="8"/>
      <c r="AQ483" s="8"/>
      <c r="AR483" s="8"/>
      <c r="AT483" s="8"/>
    </row>
    <row r="484" spans="1:46" x14ac:dyDescent="0.25">
      <c r="A484" t="s">
        <v>20</v>
      </c>
      <c r="B484" t="s">
        <v>107</v>
      </c>
      <c r="C484" t="s">
        <v>315</v>
      </c>
      <c r="D484" s="7">
        <v>28775</v>
      </c>
      <c r="E484">
        <v>5</v>
      </c>
      <c r="W484" t="s">
        <v>107</v>
      </c>
      <c r="X484" s="11" t="s">
        <v>315</v>
      </c>
      <c r="Y484" s="7">
        <v>28775</v>
      </c>
      <c r="Z484" s="11" t="str">
        <f t="shared" si="50"/>
        <v>2024-3</v>
      </c>
      <c r="AP484" s="8"/>
      <c r="AQ484" s="8"/>
      <c r="AR484" s="8"/>
      <c r="AT484" s="8"/>
    </row>
    <row r="485" spans="1:46" x14ac:dyDescent="0.25">
      <c r="A485" t="s">
        <v>23</v>
      </c>
      <c r="B485" t="s">
        <v>18</v>
      </c>
      <c r="C485" t="s">
        <v>315</v>
      </c>
      <c r="D485" s="7">
        <v>29833</v>
      </c>
      <c r="E485">
        <v>10</v>
      </c>
      <c r="W485" t="s">
        <v>18</v>
      </c>
      <c r="X485" s="11" t="s">
        <v>315</v>
      </c>
      <c r="Y485" s="7">
        <v>29833</v>
      </c>
      <c r="Z485" s="11" t="str">
        <f t="shared" si="50"/>
        <v>2024-3</v>
      </c>
      <c r="AP485" s="8"/>
      <c r="AQ485" s="8"/>
      <c r="AR485" s="8"/>
      <c r="AT485" s="8"/>
    </row>
    <row r="486" spans="1:46" x14ac:dyDescent="0.25">
      <c r="A486" t="s">
        <v>17</v>
      </c>
      <c r="B486" t="s">
        <v>67</v>
      </c>
      <c r="C486" t="s">
        <v>315</v>
      </c>
      <c r="D486" s="7">
        <v>83404</v>
      </c>
      <c r="E486">
        <v>4</v>
      </c>
      <c r="W486" t="s">
        <v>67</v>
      </c>
      <c r="X486" s="11" t="s">
        <v>315</v>
      </c>
      <c r="Y486" s="7">
        <v>83404</v>
      </c>
      <c r="Z486" s="11" t="str">
        <f t="shared" si="50"/>
        <v>2024-3</v>
      </c>
      <c r="AP486" s="8"/>
      <c r="AQ486" s="8"/>
      <c r="AR486" s="8"/>
      <c r="AT486" s="8"/>
    </row>
    <row r="487" spans="1:46" x14ac:dyDescent="0.25">
      <c r="A487" t="s">
        <v>33</v>
      </c>
      <c r="B487" t="s">
        <v>236</v>
      </c>
      <c r="C487" t="s">
        <v>315</v>
      </c>
      <c r="D487" s="7">
        <v>32412</v>
      </c>
      <c r="E487">
        <v>0</v>
      </c>
      <c r="W487" t="s">
        <v>236</v>
      </c>
      <c r="X487" s="11" t="s">
        <v>315</v>
      </c>
      <c r="Y487" s="7">
        <v>32412</v>
      </c>
      <c r="Z487" s="11" t="str">
        <f t="shared" si="50"/>
        <v>2024-3</v>
      </c>
      <c r="AP487" s="8"/>
      <c r="AQ487" s="8"/>
      <c r="AR487" s="8"/>
      <c r="AT487" s="8"/>
    </row>
    <row r="488" spans="1:46" x14ac:dyDescent="0.25">
      <c r="A488" t="s">
        <v>10</v>
      </c>
      <c r="B488" t="s">
        <v>283</v>
      </c>
      <c r="C488" t="s">
        <v>315</v>
      </c>
      <c r="D488" s="7">
        <v>67464</v>
      </c>
      <c r="E488">
        <v>8</v>
      </c>
      <c r="W488" t="s">
        <v>283</v>
      </c>
      <c r="X488" s="11" t="s">
        <v>315</v>
      </c>
      <c r="Y488" s="7">
        <v>67464</v>
      </c>
      <c r="Z488" s="11" t="str">
        <f t="shared" si="50"/>
        <v>2024-3</v>
      </c>
      <c r="AP488" s="8"/>
      <c r="AQ488" s="8"/>
      <c r="AR488" s="8"/>
      <c r="AT488" s="8"/>
    </row>
    <row r="489" spans="1:46" x14ac:dyDescent="0.25">
      <c r="A489" t="s">
        <v>17</v>
      </c>
      <c r="B489" t="s">
        <v>256</v>
      </c>
      <c r="C489" t="s">
        <v>315</v>
      </c>
      <c r="D489" s="7">
        <v>55964</v>
      </c>
      <c r="E489">
        <v>10</v>
      </c>
      <c r="W489" t="s">
        <v>256</v>
      </c>
      <c r="X489" s="11" t="s">
        <v>315</v>
      </c>
      <c r="Y489" s="7">
        <v>55964</v>
      </c>
      <c r="Z489" s="11" t="str">
        <f t="shared" si="50"/>
        <v>2024-3</v>
      </c>
      <c r="AP489" s="8"/>
      <c r="AQ489" s="8"/>
      <c r="AR489" s="8"/>
      <c r="AT489" s="8"/>
    </row>
    <row r="490" spans="1:46" x14ac:dyDescent="0.25">
      <c r="A490" t="s">
        <v>8</v>
      </c>
      <c r="B490" t="s">
        <v>274</v>
      </c>
      <c r="C490" t="s">
        <v>315</v>
      </c>
      <c r="D490" s="7">
        <v>43288</v>
      </c>
      <c r="E490">
        <v>7</v>
      </c>
      <c r="W490" t="s">
        <v>274</v>
      </c>
      <c r="X490" s="11" t="s">
        <v>315</v>
      </c>
      <c r="Y490" s="7">
        <v>43288</v>
      </c>
      <c r="Z490" s="11" t="str">
        <f t="shared" si="50"/>
        <v>2024-3</v>
      </c>
      <c r="AP490" s="8"/>
      <c r="AQ490" s="8"/>
      <c r="AR490" s="8"/>
      <c r="AT490" s="8"/>
    </row>
    <row r="491" spans="1:46" x14ac:dyDescent="0.25">
      <c r="A491" t="s">
        <v>14</v>
      </c>
      <c r="B491" t="s">
        <v>290</v>
      </c>
      <c r="C491" t="s">
        <v>315</v>
      </c>
      <c r="D491" s="7">
        <v>26196</v>
      </c>
      <c r="E491">
        <v>7</v>
      </c>
      <c r="W491" t="s">
        <v>290</v>
      </c>
      <c r="X491" s="11" t="s">
        <v>315</v>
      </c>
      <c r="Y491" s="7">
        <v>26196</v>
      </c>
      <c r="Z491" s="11" t="str">
        <f t="shared" si="50"/>
        <v>2024-3</v>
      </c>
      <c r="AP491" s="8"/>
      <c r="AQ491" s="8"/>
      <c r="AR491" s="8"/>
      <c r="AT491" s="8"/>
    </row>
    <row r="492" spans="1:46" x14ac:dyDescent="0.25">
      <c r="A492" t="s">
        <v>5</v>
      </c>
      <c r="B492" t="s">
        <v>316</v>
      </c>
      <c r="C492" t="s">
        <v>315</v>
      </c>
      <c r="D492" s="7">
        <v>47710</v>
      </c>
      <c r="E492">
        <v>10</v>
      </c>
      <c r="W492" t="s">
        <v>316</v>
      </c>
      <c r="X492" s="11" t="s">
        <v>315</v>
      </c>
      <c r="Y492" s="7">
        <v>47710</v>
      </c>
      <c r="Z492" s="11" t="str">
        <f t="shared" si="50"/>
        <v>2024-3</v>
      </c>
      <c r="AP492" s="8"/>
      <c r="AQ492" s="8"/>
      <c r="AR492" s="8"/>
      <c r="AT492" s="8"/>
    </row>
    <row r="493" spans="1:46" x14ac:dyDescent="0.25">
      <c r="A493" t="s">
        <v>32</v>
      </c>
      <c r="B493" t="s">
        <v>214</v>
      </c>
      <c r="C493" t="s">
        <v>315</v>
      </c>
      <c r="D493" s="7">
        <v>65397</v>
      </c>
      <c r="E493">
        <v>10</v>
      </c>
      <c r="W493" t="s">
        <v>214</v>
      </c>
      <c r="X493" s="11" t="s">
        <v>315</v>
      </c>
      <c r="Y493" s="7">
        <v>65397</v>
      </c>
      <c r="Z493" s="11" t="str">
        <f t="shared" si="50"/>
        <v>2024-3</v>
      </c>
      <c r="AP493" s="8"/>
      <c r="AQ493" s="8"/>
      <c r="AR493" s="8"/>
      <c r="AT493" s="8"/>
    </row>
    <row r="494" spans="1:46" x14ac:dyDescent="0.25">
      <c r="A494" t="s">
        <v>5</v>
      </c>
      <c r="B494" t="s">
        <v>222</v>
      </c>
      <c r="C494" t="s">
        <v>315</v>
      </c>
      <c r="D494" s="7">
        <v>54526</v>
      </c>
      <c r="E494">
        <v>6</v>
      </c>
      <c r="W494" t="s">
        <v>222</v>
      </c>
      <c r="X494" s="11" t="s">
        <v>315</v>
      </c>
      <c r="Y494" s="7">
        <v>54526</v>
      </c>
      <c r="Z494" s="11" t="str">
        <f t="shared" si="50"/>
        <v>2024-3</v>
      </c>
      <c r="AP494" s="8"/>
      <c r="AQ494" s="8"/>
      <c r="AR494" s="8"/>
      <c r="AT494" s="8"/>
    </row>
    <row r="495" spans="1:46" x14ac:dyDescent="0.25">
      <c r="A495" t="s">
        <v>36</v>
      </c>
      <c r="B495" t="s">
        <v>133</v>
      </c>
      <c r="C495" t="s">
        <v>317</v>
      </c>
      <c r="D495" s="7">
        <v>54634</v>
      </c>
      <c r="E495">
        <v>6</v>
      </c>
      <c r="W495" t="s">
        <v>133</v>
      </c>
      <c r="X495" s="11" t="s">
        <v>317</v>
      </c>
      <c r="Y495" s="7">
        <v>54634</v>
      </c>
      <c r="Z495" s="11" t="str">
        <f t="shared" si="50"/>
        <v>2024-3</v>
      </c>
      <c r="AP495" s="8"/>
      <c r="AQ495" s="8"/>
      <c r="AR495" s="8"/>
      <c r="AT495" s="8"/>
    </row>
    <row r="496" spans="1:46" x14ac:dyDescent="0.25">
      <c r="A496" t="s">
        <v>33</v>
      </c>
      <c r="B496" t="s">
        <v>276</v>
      </c>
      <c r="C496" t="s">
        <v>317</v>
      </c>
      <c r="D496" s="7">
        <v>32501</v>
      </c>
      <c r="E496">
        <v>5</v>
      </c>
      <c r="W496" t="s">
        <v>276</v>
      </c>
      <c r="X496" s="11" t="s">
        <v>317</v>
      </c>
      <c r="Y496" s="7">
        <v>32501</v>
      </c>
      <c r="Z496" s="11" t="str">
        <f t="shared" si="50"/>
        <v>2024-3</v>
      </c>
      <c r="AP496" s="8"/>
      <c r="AQ496" s="8"/>
      <c r="AR496" s="8"/>
      <c r="AT496" s="8"/>
    </row>
    <row r="497" spans="1:46" x14ac:dyDescent="0.25">
      <c r="A497" t="s">
        <v>5</v>
      </c>
      <c r="B497" t="s">
        <v>150</v>
      </c>
      <c r="C497" t="s">
        <v>318</v>
      </c>
      <c r="D497" s="7">
        <v>54946</v>
      </c>
      <c r="E497">
        <v>6</v>
      </c>
      <c r="W497" t="s">
        <v>150</v>
      </c>
      <c r="X497" s="11" t="s">
        <v>318</v>
      </c>
      <c r="Y497" s="7">
        <v>54946</v>
      </c>
      <c r="Z497" s="11" t="str">
        <f t="shared" si="50"/>
        <v>2024-3</v>
      </c>
      <c r="AP497" s="8"/>
      <c r="AQ497" s="8"/>
      <c r="AR497" s="8"/>
      <c r="AT497" s="8"/>
    </row>
    <row r="498" spans="1:46" x14ac:dyDescent="0.25">
      <c r="A498" t="s">
        <v>17</v>
      </c>
      <c r="B498" t="s">
        <v>319</v>
      </c>
      <c r="C498" t="s">
        <v>318</v>
      </c>
      <c r="D498" s="7">
        <v>96206</v>
      </c>
      <c r="E498">
        <v>7</v>
      </c>
      <c r="W498" t="s">
        <v>319</v>
      </c>
      <c r="X498" s="11" t="s">
        <v>318</v>
      </c>
      <c r="Y498" s="7">
        <v>96206</v>
      </c>
      <c r="Z498" s="11" t="str">
        <f t="shared" si="50"/>
        <v>2024-3</v>
      </c>
      <c r="AP498" s="8"/>
      <c r="AQ498" s="8"/>
      <c r="AR498" s="8"/>
      <c r="AT498" s="8"/>
    </row>
    <row r="499" spans="1:46" x14ac:dyDescent="0.25">
      <c r="A499" t="s">
        <v>23</v>
      </c>
      <c r="B499" t="s">
        <v>91</v>
      </c>
      <c r="C499" t="s">
        <v>318</v>
      </c>
      <c r="D499" s="7">
        <v>77642</v>
      </c>
      <c r="E499">
        <v>9</v>
      </c>
      <c r="W499" t="s">
        <v>91</v>
      </c>
      <c r="X499" s="11" t="s">
        <v>318</v>
      </c>
      <c r="Y499" s="7">
        <v>77642</v>
      </c>
      <c r="Z499" s="11" t="str">
        <f t="shared" si="50"/>
        <v>2024-3</v>
      </c>
      <c r="AP499" s="8"/>
      <c r="AQ499" s="8"/>
      <c r="AR499" s="8"/>
      <c r="AT499" s="8"/>
    </row>
    <row r="500" spans="1:46" x14ac:dyDescent="0.25">
      <c r="A500" t="s">
        <v>10</v>
      </c>
      <c r="B500" t="s">
        <v>303</v>
      </c>
      <c r="C500" t="s">
        <v>318</v>
      </c>
      <c r="D500" s="7">
        <v>29176</v>
      </c>
      <c r="E500">
        <v>8</v>
      </c>
      <c r="W500" t="s">
        <v>303</v>
      </c>
      <c r="X500" s="11" t="s">
        <v>318</v>
      </c>
      <c r="Y500" s="7">
        <v>29176</v>
      </c>
      <c r="Z500" s="11" t="str">
        <f t="shared" si="50"/>
        <v>2024-3</v>
      </c>
      <c r="AP500" s="8"/>
      <c r="AQ500" s="8"/>
      <c r="AR500" s="8"/>
      <c r="AT500" s="8"/>
    </row>
    <row r="501" spans="1:46" x14ac:dyDescent="0.25">
      <c r="A501" t="s">
        <v>23</v>
      </c>
      <c r="B501" t="s">
        <v>196</v>
      </c>
      <c r="C501" t="s">
        <v>320</v>
      </c>
      <c r="D501" s="7">
        <v>97998</v>
      </c>
      <c r="E501">
        <v>2</v>
      </c>
      <c r="W501" t="s">
        <v>196</v>
      </c>
      <c r="X501" s="11" t="s">
        <v>320</v>
      </c>
      <c r="Y501" s="7">
        <v>97998</v>
      </c>
      <c r="Z501" s="11" t="str">
        <f t="shared" si="50"/>
        <v>2024-3</v>
      </c>
      <c r="AP501" s="8"/>
      <c r="AQ501" s="8"/>
      <c r="AR501" s="8"/>
      <c r="AT501" s="8"/>
    </row>
    <row r="502" spans="1:46" x14ac:dyDescent="0.25">
      <c r="A502" t="s">
        <v>23</v>
      </c>
      <c r="B502" t="s">
        <v>197</v>
      </c>
      <c r="C502" t="s">
        <v>320</v>
      </c>
      <c r="D502" s="7">
        <v>63014</v>
      </c>
      <c r="E502">
        <v>3</v>
      </c>
      <c r="W502" t="s">
        <v>197</v>
      </c>
      <c r="X502" s="11" t="s">
        <v>320</v>
      </c>
      <c r="Y502" s="7">
        <v>63014</v>
      </c>
      <c r="Z502" s="11" t="str">
        <f t="shared" si="50"/>
        <v>2024-3</v>
      </c>
      <c r="AP502" s="8"/>
      <c r="AQ502" s="8"/>
      <c r="AR502" s="8"/>
      <c r="AT502" s="8"/>
    </row>
    <row r="503" spans="1:46" x14ac:dyDescent="0.25">
      <c r="A503" t="s">
        <v>20</v>
      </c>
      <c r="B503" t="s">
        <v>19</v>
      </c>
      <c r="C503" t="s">
        <v>321</v>
      </c>
      <c r="D503" s="7">
        <v>74047</v>
      </c>
      <c r="E503">
        <v>5</v>
      </c>
      <c r="W503" t="s">
        <v>19</v>
      </c>
      <c r="X503" s="11" t="s">
        <v>321</v>
      </c>
      <c r="Y503" s="7">
        <v>74047</v>
      </c>
      <c r="Z503" s="11" t="str">
        <f t="shared" si="50"/>
        <v>2024-3</v>
      </c>
      <c r="AP503" s="8"/>
      <c r="AQ503" s="8"/>
      <c r="AR503" s="8"/>
      <c r="AT503" s="8"/>
    </row>
    <row r="504" spans="1:46" x14ac:dyDescent="0.25">
      <c r="A504" t="s">
        <v>5</v>
      </c>
      <c r="B504" t="s">
        <v>147</v>
      </c>
      <c r="C504" t="s">
        <v>321</v>
      </c>
      <c r="D504" s="7">
        <v>73749</v>
      </c>
      <c r="E504">
        <v>5</v>
      </c>
      <c r="W504" t="s">
        <v>147</v>
      </c>
      <c r="X504" s="11" t="s">
        <v>321</v>
      </c>
      <c r="Y504" s="7">
        <v>73749</v>
      </c>
      <c r="Z504" s="11" t="str">
        <f t="shared" si="50"/>
        <v>2024-3</v>
      </c>
      <c r="AP504" s="8"/>
      <c r="AQ504" s="8"/>
      <c r="AR504" s="8"/>
      <c r="AT504" s="8"/>
    </row>
    <row r="505" spans="1:46" x14ac:dyDescent="0.25">
      <c r="A505" t="s">
        <v>8</v>
      </c>
      <c r="B505" t="s">
        <v>269</v>
      </c>
      <c r="C505" t="s">
        <v>321</v>
      </c>
      <c r="D505" s="7">
        <v>71847</v>
      </c>
      <c r="E505">
        <v>8</v>
      </c>
      <c r="W505" t="s">
        <v>269</v>
      </c>
      <c r="X505" s="11" t="s">
        <v>321</v>
      </c>
      <c r="Y505" s="7">
        <v>71847</v>
      </c>
      <c r="Z505" s="11" t="str">
        <f t="shared" si="50"/>
        <v>2024-3</v>
      </c>
      <c r="AP505" s="8"/>
      <c r="AQ505" s="8"/>
      <c r="AR505" s="8"/>
      <c r="AT505" s="8"/>
    </row>
    <row r="506" spans="1:46" x14ac:dyDescent="0.25">
      <c r="A506" t="s">
        <v>20</v>
      </c>
      <c r="B506" t="s">
        <v>254</v>
      </c>
      <c r="C506" t="s">
        <v>321</v>
      </c>
      <c r="D506" s="7">
        <v>51955</v>
      </c>
      <c r="E506">
        <v>6</v>
      </c>
      <c r="W506" t="s">
        <v>254</v>
      </c>
      <c r="X506" s="11" t="s">
        <v>321</v>
      </c>
      <c r="Y506" s="7">
        <v>51955</v>
      </c>
      <c r="Z506" s="11" t="str">
        <f t="shared" si="50"/>
        <v>2024-3</v>
      </c>
      <c r="AP506" s="8"/>
      <c r="AQ506" s="8"/>
      <c r="AR506" s="8"/>
      <c r="AT506" s="8"/>
    </row>
    <row r="507" spans="1:46" x14ac:dyDescent="0.25">
      <c r="A507" t="s">
        <v>32</v>
      </c>
      <c r="B507" t="s">
        <v>60</v>
      </c>
      <c r="C507" t="s">
        <v>321</v>
      </c>
      <c r="D507" s="7">
        <v>55831</v>
      </c>
      <c r="E507">
        <v>3</v>
      </c>
      <c r="W507" t="s">
        <v>60</v>
      </c>
      <c r="X507" s="11" t="s">
        <v>321</v>
      </c>
      <c r="Y507" s="7">
        <v>55831</v>
      </c>
      <c r="Z507" s="11" t="str">
        <f t="shared" si="50"/>
        <v>2024-3</v>
      </c>
      <c r="AP507" s="8"/>
      <c r="AQ507" s="8"/>
      <c r="AR507" s="8"/>
      <c r="AT507" s="8"/>
    </row>
    <row r="508" spans="1:46" x14ac:dyDescent="0.25">
      <c r="A508" t="s">
        <v>20</v>
      </c>
      <c r="B508" t="s">
        <v>98</v>
      </c>
      <c r="C508" t="s">
        <v>321</v>
      </c>
      <c r="D508" s="7">
        <v>97630</v>
      </c>
      <c r="E508">
        <v>2</v>
      </c>
      <c r="W508" t="s">
        <v>98</v>
      </c>
      <c r="X508" s="11" t="s">
        <v>321</v>
      </c>
      <c r="Y508" s="7">
        <v>97630</v>
      </c>
      <c r="Z508" s="11" t="str">
        <f t="shared" si="50"/>
        <v>2024-3</v>
      </c>
      <c r="AP508" s="8"/>
      <c r="AQ508" s="8"/>
      <c r="AR508" s="8"/>
      <c r="AT508" s="8"/>
    </row>
    <row r="509" spans="1:46" x14ac:dyDescent="0.25">
      <c r="A509" t="s">
        <v>36</v>
      </c>
      <c r="B509" t="s">
        <v>48</v>
      </c>
      <c r="C509" t="s">
        <v>321</v>
      </c>
      <c r="D509" s="7">
        <v>36362</v>
      </c>
      <c r="E509">
        <v>6</v>
      </c>
      <c r="W509" t="s">
        <v>48</v>
      </c>
      <c r="X509" s="11" t="s">
        <v>321</v>
      </c>
      <c r="Y509" s="7">
        <v>36362</v>
      </c>
      <c r="Z509" s="11" t="str">
        <f t="shared" si="50"/>
        <v>2024-3</v>
      </c>
      <c r="AP509" s="8"/>
      <c r="AQ509" s="8"/>
      <c r="AR509" s="8"/>
      <c r="AT509" s="8"/>
    </row>
    <row r="510" spans="1:46" x14ac:dyDescent="0.25">
      <c r="A510" t="s">
        <v>17</v>
      </c>
      <c r="B510" t="s">
        <v>294</v>
      </c>
      <c r="C510" t="s">
        <v>321</v>
      </c>
      <c r="D510" s="7">
        <v>45832</v>
      </c>
      <c r="E510">
        <v>2</v>
      </c>
      <c r="W510" t="s">
        <v>294</v>
      </c>
      <c r="X510" s="11" t="s">
        <v>321</v>
      </c>
      <c r="Y510" s="7">
        <v>45832</v>
      </c>
      <c r="Z510" s="11" t="str">
        <f t="shared" si="50"/>
        <v>2024-3</v>
      </c>
      <c r="AP510" s="8"/>
      <c r="AQ510" s="8"/>
      <c r="AR510" s="8"/>
      <c r="AT510" s="8"/>
    </row>
    <row r="511" spans="1:46" x14ac:dyDescent="0.25">
      <c r="A511" t="s">
        <v>20</v>
      </c>
      <c r="B511" t="s">
        <v>120</v>
      </c>
      <c r="C511" t="s">
        <v>322</v>
      </c>
      <c r="D511" s="7">
        <v>76421</v>
      </c>
      <c r="E511">
        <v>7</v>
      </c>
      <c r="W511" t="s">
        <v>120</v>
      </c>
      <c r="X511" s="11" t="s">
        <v>322</v>
      </c>
      <c r="Y511" s="7">
        <v>76421</v>
      </c>
      <c r="Z511" s="11" t="str">
        <f t="shared" si="50"/>
        <v>2024-3</v>
      </c>
      <c r="AP511" s="8"/>
      <c r="AQ511" s="8"/>
      <c r="AR511" s="8"/>
      <c r="AT511" s="8"/>
    </row>
    <row r="512" spans="1:46" x14ac:dyDescent="0.25">
      <c r="A512" t="s">
        <v>5</v>
      </c>
      <c r="B512" t="s">
        <v>30</v>
      </c>
      <c r="C512" t="s">
        <v>322</v>
      </c>
      <c r="D512" s="7">
        <v>39792</v>
      </c>
      <c r="E512">
        <v>7</v>
      </c>
      <c r="W512" t="s">
        <v>30</v>
      </c>
      <c r="X512" s="11" t="s">
        <v>322</v>
      </c>
      <c r="Y512" s="7">
        <v>39792</v>
      </c>
      <c r="Z512" s="11" t="str">
        <f t="shared" si="50"/>
        <v>2024-3</v>
      </c>
      <c r="AP512" s="8"/>
      <c r="AQ512" s="8"/>
      <c r="AR512" s="8"/>
      <c r="AT512" s="8"/>
    </row>
    <row r="513" spans="1:46" x14ac:dyDescent="0.25">
      <c r="A513" t="s">
        <v>23</v>
      </c>
      <c r="B513" t="s">
        <v>256</v>
      </c>
      <c r="C513" t="s">
        <v>323</v>
      </c>
      <c r="D513" s="7">
        <v>17744</v>
      </c>
      <c r="E513">
        <v>7</v>
      </c>
      <c r="W513" t="s">
        <v>256</v>
      </c>
      <c r="X513" s="11" t="s">
        <v>323</v>
      </c>
      <c r="Y513" s="7">
        <v>17744</v>
      </c>
      <c r="Z513" s="11" t="str">
        <f t="shared" si="50"/>
        <v>2024-3</v>
      </c>
      <c r="AP513" s="8"/>
      <c r="AQ513" s="8"/>
      <c r="AR513" s="8"/>
      <c r="AT513" s="8"/>
    </row>
    <row r="514" spans="1:46" x14ac:dyDescent="0.25">
      <c r="A514" t="s">
        <v>10</v>
      </c>
      <c r="B514" t="s">
        <v>132</v>
      </c>
      <c r="C514" t="s">
        <v>324</v>
      </c>
      <c r="D514" s="7">
        <v>79411</v>
      </c>
      <c r="E514">
        <v>7</v>
      </c>
      <c r="W514" t="s">
        <v>132</v>
      </c>
      <c r="X514" s="11" t="s">
        <v>324</v>
      </c>
      <c r="Y514" s="7">
        <v>79411</v>
      </c>
      <c r="Z514" s="11" t="str">
        <f t="shared" si="50"/>
        <v>2024-3</v>
      </c>
      <c r="AP514" s="8"/>
      <c r="AQ514" s="8"/>
      <c r="AR514" s="8"/>
      <c r="AT514" s="8"/>
    </row>
    <row r="515" spans="1:46" x14ac:dyDescent="0.25">
      <c r="A515" t="s">
        <v>8</v>
      </c>
      <c r="B515" t="s">
        <v>22</v>
      </c>
      <c r="C515" t="s">
        <v>324</v>
      </c>
      <c r="D515" s="7">
        <v>28732</v>
      </c>
      <c r="E515">
        <v>7</v>
      </c>
      <c r="W515" t="s">
        <v>22</v>
      </c>
      <c r="X515" s="11" t="s">
        <v>324</v>
      </c>
      <c r="Y515" s="7">
        <v>28732</v>
      </c>
      <c r="Z515" s="11" t="str">
        <f t="shared" ref="Z515:Z578" si="51">MID(X515,1,4)&amp;"-"&amp;IF(MID(X515,6,1)*1=0,MID(X515,7,1),MID(X515,6,2))</f>
        <v>2024-3</v>
      </c>
      <c r="AP515" s="8"/>
      <c r="AQ515" s="8"/>
      <c r="AR515" s="8"/>
      <c r="AT515" s="8"/>
    </row>
    <row r="516" spans="1:46" x14ac:dyDescent="0.25">
      <c r="A516" t="s">
        <v>32</v>
      </c>
      <c r="B516" t="s">
        <v>70</v>
      </c>
      <c r="C516" t="s">
        <v>324</v>
      </c>
      <c r="D516" s="7">
        <v>15723</v>
      </c>
      <c r="E516">
        <v>10</v>
      </c>
      <c r="W516" t="s">
        <v>70</v>
      </c>
      <c r="X516" s="11" t="s">
        <v>324</v>
      </c>
      <c r="Y516" s="7">
        <v>15723</v>
      </c>
      <c r="Z516" s="11" t="str">
        <f t="shared" si="51"/>
        <v>2024-3</v>
      </c>
      <c r="AP516" s="8"/>
      <c r="AQ516" s="8"/>
      <c r="AR516" s="8"/>
      <c r="AT516" s="8"/>
    </row>
    <row r="517" spans="1:46" x14ac:dyDescent="0.25">
      <c r="A517" t="s">
        <v>32</v>
      </c>
      <c r="B517" t="s">
        <v>116</v>
      </c>
      <c r="C517" t="s">
        <v>324</v>
      </c>
      <c r="D517" s="7">
        <v>43201</v>
      </c>
      <c r="E517">
        <v>10</v>
      </c>
      <c r="W517" t="s">
        <v>116</v>
      </c>
      <c r="X517" s="11" t="s">
        <v>324</v>
      </c>
      <c r="Y517" s="7">
        <v>43201</v>
      </c>
      <c r="Z517" s="11" t="str">
        <f t="shared" si="51"/>
        <v>2024-3</v>
      </c>
      <c r="AP517" s="8"/>
      <c r="AQ517" s="8"/>
      <c r="AR517" s="8"/>
      <c r="AT517" s="8"/>
    </row>
    <row r="518" spans="1:46" x14ac:dyDescent="0.25">
      <c r="A518" t="s">
        <v>10</v>
      </c>
      <c r="B518" t="s">
        <v>325</v>
      </c>
      <c r="C518" t="s">
        <v>324</v>
      </c>
      <c r="D518" s="7">
        <v>52312</v>
      </c>
      <c r="E518">
        <v>8</v>
      </c>
      <c r="W518" t="s">
        <v>325</v>
      </c>
      <c r="X518" s="11" t="s">
        <v>324</v>
      </c>
      <c r="Y518" s="7">
        <v>52312</v>
      </c>
      <c r="Z518" s="11" t="str">
        <f t="shared" si="51"/>
        <v>2024-3</v>
      </c>
      <c r="AP518" s="8"/>
      <c r="AQ518" s="8"/>
      <c r="AR518" s="8"/>
      <c r="AT518" s="8"/>
    </row>
    <row r="519" spans="1:46" x14ac:dyDescent="0.25">
      <c r="A519" t="s">
        <v>33</v>
      </c>
      <c r="B519" t="s">
        <v>177</v>
      </c>
      <c r="C519" t="s">
        <v>326</v>
      </c>
      <c r="D519" s="7">
        <v>31080</v>
      </c>
      <c r="E519">
        <v>9</v>
      </c>
      <c r="W519" t="s">
        <v>177</v>
      </c>
      <c r="X519" s="11" t="s">
        <v>326</v>
      </c>
      <c r="Y519" s="7">
        <v>31080</v>
      </c>
      <c r="Z519" s="11" t="str">
        <f t="shared" si="51"/>
        <v>2024-3</v>
      </c>
      <c r="AP519" s="8"/>
      <c r="AQ519" s="8"/>
      <c r="AR519" s="8"/>
      <c r="AT519" s="8"/>
    </row>
    <row r="520" spans="1:46" x14ac:dyDescent="0.25">
      <c r="A520" t="s">
        <v>20</v>
      </c>
      <c r="B520" t="s">
        <v>93</v>
      </c>
      <c r="C520" t="s">
        <v>326</v>
      </c>
      <c r="D520" s="7">
        <v>78376</v>
      </c>
      <c r="E520">
        <v>8</v>
      </c>
      <c r="W520" t="s">
        <v>93</v>
      </c>
      <c r="X520" s="11" t="s">
        <v>326</v>
      </c>
      <c r="Y520" s="7">
        <v>78376</v>
      </c>
      <c r="Z520" s="11" t="str">
        <f t="shared" si="51"/>
        <v>2024-3</v>
      </c>
      <c r="AP520" s="8"/>
      <c r="AQ520" s="8"/>
      <c r="AR520" s="8"/>
      <c r="AT520" s="8"/>
    </row>
    <row r="521" spans="1:46" x14ac:dyDescent="0.25">
      <c r="A521" t="s">
        <v>33</v>
      </c>
      <c r="B521" t="s">
        <v>131</v>
      </c>
      <c r="C521" t="s">
        <v>326</v>
      </c>
      <c r="D521" s="7">
        <v>13226</v>
      </c>
      <c r="E521">
        <v>6</v>
      </c>
      <c r="W521" t="s">
        <v>131</v>
      </c>
      <c r="X521" s="11" t="s">
        <v>326</v>
      </c>
      <c r="Y521" s="7">
        <v>13226</v>
      </c>
      <c r="Z521" s="11" t="str">
        <f t="shared" si="51"/>
        <v>2024-3</v>
      </c>
      <c r="AP521" s="8"/>
      <c r="AQ521" s="8"/>
      <c r="AR521" s="8"/>
      <c r="AT521" s="8"/>
    </row>
    <row r="522" spans="1:46" x14ac:dyDescent="0.25">
      <c r="A522" t="s">
        <v>36</v>
      </c>
      <c r="B522" t="s">
        <v>327</v>
      </c>
      <c r="C522" t="s">
        <v>326</v>
      </c>
      <c r="D522" s="7">
        <v>45847</v>
      </c>
      <c r="E522">
        <v>7</v>
      </c>
      <c r="W522" t="s">
        <v>327</v>
      </c>
      <c r="X522" s="11" t="s">
        <v>326</v>
      </c>
      <c r="Y522" s="7">
        <v>45847</v>
      </c>
      <c r="Z522" s="11" t="str">
        <f t="shared" si="51"/>
        <v>2024-3</v>
      </c>
      <c r="AP522" s="8"/>
      <c r="AQ522" s="8"/>
      <c r="AR522" s="8"/>
      <c r="AT522" s="8"/>
    </row>
    <row r="523" spans="1:46" x14ac:dyDescent="0.25">
      <c r="A523" t="s">
        <v>10</v>
      </c>
      <c r="B523" t="s">
        <v>156</v>
      </c>
      <c r="C523" t="s">
        <v>326</v>
      </c>
      <c r="D523" s="7">
        <v>19692</v>
      </c>
      <c r="E523">
        <v>9</v>
      </c>
      <c r="W523" t="s">
        <v>156</v>
      </c>
      <c r="X523" s="11" t="s">
        <v>326</v>
      </c>
      <c r="Y523" s="7">
        <v>19692</v>
      </c>
      <c r="Z523" s="11" t="str">
        <f t="shared" si="51"/>
        <v>2024-3</v>
      </c>
      <c r="AP523" s="8"/>
      <c r="AQ523" s="8"/>
      <c r="AR523" s="8"/>
      <c r="AT523" s="8"/>
    </row>
    <row r="524" spans="1:46" x14ac:dyDescent="0.25">
      <c r="A524" t="s">
        <v>5</v>
      </c>
      <c r="B524" t="s">
        <v>237</v>
      </c>
      <c r="C524" t="s">
        <v>328</v>
      </c>
      <c r="D524" s="7">
        <v>36797</v>
      </c>
      <c r="E524">
        <v>7</v>
      </c>
      <c r="W524" t="s">
        <v>237</v>
      </c>
      <c r="X524" s="11" t="s">
        <v>328</v>
      </c>
      <c r="Y524" s="7">
        <v>36797</v>
      </c>
      <c r="Z524" s="11" t="str">
        <f t="shared" si="51"/>
        <v>2024-3</v>
      </c>
      <c r="AP524" s="8"/>
      <c r="AQ524" s="8"/>
      <c r="AR524" s="8"/>
      <c r="AT524" s="8"/>
    </row>
    <row r="525" spans="1:46" x14ac:dyDescent="0.25">
      <c r="A525" t="s">
        <v>17</v>
      </c>
      <c r="B525" t="s">
        <v>286</v>
      </c>
      <c r="C525" t="s">
        <v>328</v>
      </c>
      <c r="D525" s="7">
        <v>27568</v>
      </c>
      <c r="E525">
        <v>5</v>
      </c>
      <c r="W525" t="s">
        <v>286</v>
      </c>
      <c r="X525" s="11" t="s">
        <v>328</v>
      </c>
      <c r="Y525" s="7">
        <v>27568</v>
      </c>
      <c r="Z525" s="11" t="str">
        <f t="shared" si="51"/>
        <v>2024-3</v>
      </c>
      <c r="AP525" s="8"/>
      <c r="AQ525" s="8"/>
      <c r="AR525" s="8"/>
      <c r="AT525" s="8"/>
    </row>
    <row r="526" spans="1:46" x14ac:dyDescent="0.25">
      <c r="A526" t="s">
        <v>23</v>
      </c>
      <c r="B526" t="s">
        <v>95</v>
      </c>
      <c r="C526" t="s">
        <v>328</v>
      </c>
      <c r="D526" s="7">
        <v>24089</v>
      </c>
      <c r="E526">
        <v>2</v>
      </c>
      <c r="W526" t="s">
        <v>95</v>
      </c>
      <c r="X526" s="11" t="s">
        <v>328</v>
      </c>
      <c r="Y526" s="7">
        <v>24089</v>
      </c>
      <c r="Z526" s="11" t="str">
        <f t="shared" si="51"/>
        <v>2024-3</v>
      </c>
      <c r="AP526" s="8"/>
      <c r="AQ526" s="8"/>
      <c r="AR526" s="8"/>
      <c r="AT526" s="8"/>
    </row>
    <row r="527" spans="1:46" x14ac:dyDescent="0.25">
      <c r="A527" t="s">
        <v>8</v>
      </c>
      <c r="B527" t="s">
        <v>81</v>
      </c>
      <c r="C527" t="s">
        <v>328</v>
      </c>
      <c r="D527" s="7">
        <v>19089</v>
      </c>
      <c r="E527">
        <v>8</v>
      </c>
      <c r="W527" t="s">
        <v>81</v>
      </c>
      <c r="X527" s="11" t="s">
        <v>328</v>
      </c>
      <c r="Y527" s="7">
        <v>19089</v>
      </c>
      <c r="Z527" s="11" t="str">
        <f t="shared" si="51"/>
        <v>2024-3</v>
      </c>
      <c r="AP527" s="8"/>
      <c r="AQ527" s="8"/>
      <c r="AR527" s="8"/>
      <c r="AT527" s="8"/>
    </row>
    <row r="528" spans="1:46" x14ac:dyDescent="0.25">
      <c r="A528" t="s">
        <v>27</v>
      </c>
      <c r="B528" t="s">
        <v>182</v>
      </c>
      <c r="C528" t="s">
        <v>328</v>
      </c>
      <c r="D528" s="7">
        <v>32618</v>
      </c>
      <c r="E528">
        <v>6</v>
      </c>
      <c r="W528" t="s">
        <v>182</v>
      </c>
      <c r="X528" s="11" t="s">
        <v>328</v>
      </c>
      <c r="Y528" s="7">
        <v>32618</v>
      </c>
      <c r="Z528" s="11" t="str">
        <f t="shared" si="51"/>
        <v>2024-3</v>
      </c>
      <c r="AP528" s="8"/>
      <c r="AQ528" s="8"/>
      <c r="AR528" s="8"/>
      <c r="AT528" s="8"/>
    </row>
    <row r="529" spans="1:46" x14ac:dyDescent="0.25">
      <c r="A529" t="s">
        <v>36</v>
      </c>
      <c r="B529" t="s">
        <v>162</v>
      </c>
      <c r="C529" t="s">
        <v>328</v>
      </c>
      <c r="D529" s="7">
        <v>10750</v>
      </c>
      <c r="E529">
        <v>7</v>
      </c>
      <c r="W529" t="s">
        <v>162</v>
      </c>
      <c r="X529" s="11" t="s">
        <v>328</v>
      </c>
      <c r="Y529" s="7">
        <v>10750</v>
      </c>
      <c r="Z529" s="11" t="str">
        <f t="shared" si="51"/>
        <v>2024-3</v>
      </c>
      <c r="AP529" s="8"/>
      <c r="AQ529" s="8"/>
      <c r="AR529" s="8"/>
      <c r="AT529" s="8"/>
    </row>
    <row r="530" spans="1:46" x14ac:dyDescent="0.25">
      <c r="A530" t="s">
        <v>14</v>
      </c>
      <c r="B530" t="s">
        <v>237</v>
      </c>
      <c r="C530" t="s">
        <v>328</v>
      </c>
      <c r="D530" s="7">
        <v>30404</v>
      </c>
      <c r="E530">
        <v>9</v>
      </c>
      <c r="W530" t="s">
        <v>237</v>
      </c>
      <c r="X530" s="11" t="s">
        <v>328</v>
      </c>
      <c r="Y530" s="7">
        <v>30404</v>
      </c>
      <c r="Z530" s="11" t="str">
        <f t="shared" si="51"/>
        <v>2024-3</v>
      </c>
      <c r="AP530" s="8"/>
      <c r="AQ530" s="8"/>
      <c r="AR530" s="8"/>
      <c r="AT530" s="8"/>
    </row>
    <row r="531" spans="1:46" x14ac:dyDescent="0.25">
      <c r="A531" t="s">
        <v>20</v>
      </c>
      <c r="B531" t="s">
        <v>173</v>
      </c>
      <c r="C531" t="s">
        <v>328</v>
      </c>
      <c r="D531" s="7">
        <v>31461</v>
      </c>
      <c r="E531">
        <v>10</v>
      </c>
      <c r="W531" t="s">
        <v>173</v>
      </c>
      <c r="X531" s="11" t="s">
        <v>328</v>
      </c>
      <c r="Y531" s="7">
        <v>31461</v>
      </c>
      <c r="Z531" s="11" t="str">
        <f t="shared" si="51"/>
        <v>2024-3</v>
      </c>
      <c r="AP531" s="8"/>
      <c r="AQ531" s="8"/>
      <c r="AR531" s="8"/>
      <c r="AT531" s="8"/>
    </row>
    <row r="532" spans="1:46" x14ac:dyDescent="0.25">
      <c r="A532" t="s">
        <v>32</v>
      </c>
      <c r="B532" t="s">
        <v>52</v>
      </c>
      <c r="C532" t="s">
        <v>328</v>
      </c>
      <c r="D532" s="7">
        <v>80268</v>
      </c>
      <c r="E532">
        <v>9</v>
      </c>
      <c r="W532" t="s">
        <v>52</v>
      </c>
      <c r="X532" s="11" t="s">
        <v>328</v>
      </c>
      <c r="Y532" s="7">
        <v>80268</v>
      </c>
      <c r="Z532" s="11" t="str">
        <f t="shared" si="51"/>
        <v>2024-3</v>
      </c>
      <c r="AP532" s="8"/>
      <c r="AQ532" s="8"/>
      <c r="AR532" s="8"/>
      <c r="AT532" s="8"/>
    </row>
    <row r="533" spans="1:46" x14ac:dyDescent="0.25">
      <c r="A533" t="s">
        <v>17</v>
      </c>
      <c r="B533" t="s">
        <v>81</v>
      </c>
      <c r="C533" t="s">
        <v>329</v>
      </c>
      <c r="D533" s="7">
        <v>42015</v>
      </c>
      <c r="E533">
        <v>8</v>
      </c>
      <c r="W533" t="s">
        <v>81</v>
      </c>
      <c r="X533" s="11" t="s">
        <v>329</v>
      </c>
      <c r="Y533" s="7">
        <v>42015</v>
      </c>
      <c r="Z533" s="11" t="str">
        <f t="shared" si="51"/>
        <v>2024-3</v>
      </c>
      <c r="AP533" s="8"/>
      <c r="AQ533" s="8"/>
      <c r="AR533" s="8"/>
      <c r="AT533" s="8"/>
    </row>
    <row r="534" spans="1:46" x14ac:dyDescent="0.25">
      <c r="A534" t="s">
        <v>17</v>
      </c>
      <c r="B534" t="s">
        <v>119</v>
      </c>
      <c r="C534" t="s">
        <v>329</v>
      </c>
      <c r="D534" s="7">
        <v>55981</v>
      </c>
      <c r="E534">
        <v>8</v>
      </c>
      <c r="W534" t="s">
        <v>119</v>
      </c>
      <c r="X534" s="11" t="s">
        <v>329</v>
      </c>
      <c r="Y534" s="7">
        <v>55981</v>
      </c>
      <c r="Z534" s="11" t="str">
        <f t="shared" si="51"/>
        <v>2024-3</v>
      </c>
      <c r="AP534" s="8"/>
      <c r="AQ534" s="8"/>
      <c r="AR534" s="8"/>
      <c r="AT534" s="8"/>
    </row>
    <row r="535" spans="1:46" x14ac:dyDescent="0.25">
      <c r="A535" t="s">
        <v>17</v>
      </c>
      <c r="B535" t="s">
        <v>281</v>
      </c>
      <c r="C535" t="s">
        <v>329</v>
      </c>
      <c r="D535" s="7">
        <v>94620</v>
      </c>
      <c r="E535">
        <v>9</v>
      </c>
      <c r="W535" t="s">
        <v>281</v>
      </c>
      <c r="X535" s="11" t="s">
        <v>329</v>
      </c>
      <c r="Y535" s="7">
        <v>94620</v>
      </c>
      <c r="Z535" s="11" t="str">
        <f t="shared" si="51"/>
        <v>2024-3</v>
      </c>
      <c r="AP535" s="8"/>
      <c r="AQ535" s="8"/>
      <c r="AR535" s="8"/>
      <c r="AT535" s="8"/>
    </row>
    <row r="536" spans="1:46" x14ac:dyDescent="0.25">
      <c r="A536" t="s">
        <v>17</v>
      </c>
      <c r="B536" t="s">
        <v>155</v>
      </c>
      <c r="C536" t="s">
        <v>330</v>
      </c>
      <c r="D536" s="7">
        <v>21362</v>
      </c>
      <c r="E536">
        <v>10</v>
      </c>
      <c r="W536" t="s">
        <v>155</v>
      </c>
      <c r="X536" s="11" t="s">
        <v>330</v>
      </c>
      <c r="Y536" s="7">
        <v>21362</v>
      </c>
      <c r="Z536" s="11" t="str">
        <f t="shared" si="51"/>
        <v>2024-3</v>
      </c>
      <c r="AP536" s="8"/>
      <c r="AQ536" s="8"/>
      <c r="AR536" s="8"/>
      <c r="AT536" s="8"/>
    </row>
    <row r="537" spans="1:46" x14ac:dyDescent="0.25">
      <c r="A537" t="s">
        <v>8</v>
      </c>
      <c r="B537" t="s">
        <v>25</v>
      </c>
      <c r="C537" t="s">
        <v>330</v>
      </c>
      <c r="D537" s="7">
        <v>13313</v>
      </c>
      <c r="E537">
        <v>6</v>
      </c>
      <c r="W537" t="s">
        <v>25</v>
      </c>
      <c r="X537" s="11" t="s">
        <v>330</v>
      </c>
      <c r="Y537" s="7">
        <v>13313</v>
      </c>
      <c r="Z537" s="11" t="str">
        <f t="shared" si="51"/>
        <v>2024-3</v>
      </c>
      <c r="AP537" s="8"/>
      <c r="AQ537" s="8"/>
      <c r="AR537" s="8"/>
      <c r="AT537" s="8"/>
    </row>
    <row r="538" spans="1:46" x14ac:dyDescent="0.25">
      <c r="A538" t="s">
        <v>27</v>
      </c>
      <c r="B538" t="s">
        <v>132</v>
      </c>
      <c r="C538" t="s">
        <v>330</v>
      </c>
      <c r="D538" s="7">
        <v>73668</v>
      </c>
      <c r="E538">
        <v>3</v>
      </c>
      <c r="W538" t="s">
        <v>132</v>
      </c>
      <c r="X538" s="11" t="s">
        <v>330</v>
      </c>
      <c r="Y538" s="7">
        <v>73668</v>
      </c>
      <c r="Z538" s="11" t="str">
        <f t="shared" si="51"/>
        <v>2024-3</v>
      </c>
      <c r="AP538" s="8"/>
      <c r="AQ538" s="8"/>
      <c r="AR538" s="8"/>
      <c r="AT538" s="8"/>
    </row>
    <row r="539" spans="1:46" x14ac:dyDescent="0.25">
      <c r="A539" t="s">
        <v>20</v>
      </c>
      <c r="B539" t="s">
        <v>253</v>
      </c>
      <c r="C539" t="s">
        <v>331</v>
      </c>
      <c r="D539" s="7">
        <v>64263</v>
      </c>
      <c r="E539">
        <v>5</v>
      </c>
      <c r="W539" t="s">
        <v>253</v>
      </c>
      <c r="X539" s="11" t="s">
        <v>331</v>
      </c>
      <c r="Y539" s="7">
        <v>64263</v>
      </c>
      <c r="Z539" s="11" t="str">
        <f t="shared" si="51"/>
        <v>2024-3</v>
      </c>
      <c r="AP539" s="8"/>
      <c r="AQ539" s="8"/>
      <c r="AR539" s="8"/>
      <c r="AT539" s="8"/>
    </row>
    <row r="540" spans="1:46" x14ac:dyDescent="0.25">
      <c r="A540" t="s">
        <v>17</v>
      </c>
      <c r="B540" t="s">
        <v>88</v>
      </c>
      <c r="C540" t="s">
        <v>331</v>
      </c>
      <c r="D540" s="7">
        <v>37901</v>
      </c>
      <c r="E540">
        <v>6</v>
      </c>
      <c r="W540" t="s">
        <v>88</v>
      </c>
      <c r="X540" s="11" t="s">
        <v>331</v>
      </c>
      <c r="Y540" s="7">
        <v>37901</v>
      </c>
      <c r="Z540" s="11" t="str">
        <f t="shared" si="51"/>
        <v>2024-3</v>
      </c>
      <c r="AP540" s="8"/>
      <c r="AQ540" s="8"/>
      <c r="AR540" s="8"/>
      <c r="AT540" s="8"/>
    </row>
    <row r="541" spans="1:46" x14ac:dyDescent="0.25">
      <c r="A541" t="s">
        <v>10</v>
      </c>
      <c r="B541" t="s">
        <v>263</v>
      </c>
      <c r="C541" t="s">
        <v>331</v>
      </c>
      <c r="D541" s="7">
        <v>45223</v>
      </c>
      <c r="E541">
        <v>9</v>
      </c>
      <c r="W541" t="s">
        <v>263</v>
      </c>
      <c r="X541" s="11" t="s">
        <v>331</v>
      </c>
      <c r="Y541" s="7">
        <v>45223</v>
      </c>
      <c r="Z541" s="11" t="str">
        <f t="shared" si="51"/>
        <v>2024-3</v>
      </c>
      <c r="AP541" s="8"/>
      <c r="AQ541" s="8"/>
      <c r="AR541" s="8"/>
      <c r="AT541" s="8"/>
    </row>
    <row r="542" spans="1:46" x14ac:dyDescent="0.25">
      <c r="A542" t="s">
        <v>33</v>
      </c>
      <c r="B542" t="s">
        <v>182</v>
      </c>
      <c r="C542" t="s">
        <v>332</v>
      </c>
      <c r="D542" s="7">
        <v>15482</v>
      </c>
      <c r="E542">
        <v>5</v>
      </c>
      <c r="W542" t="s">
        <v>182</v>
      </c>
      <c r="X542" s="11" t="s">
        <v>332</v>
      </c>
      <c r="Y542" s="7">
        <v>15482</v>
      </c>
      <c r="Z542" s="11" t="str">
        <f t="shared" si="51"/>
        <v>2024-3</v>
      </c>
      <c r="AP542" s="8"/>
      <c r="AQ542" s="8"/>
      <c r="AR542" s="8"/>
      <c r="AT542" s="8"/>
    </row>
    <row r="543" spans="1:46" x14ac:dyDescent="0.25">
      <c r="A543" t="s">
        <v>36</v>
      </c>
      <c r="B543" t="s">
        <v>46</v>
      </c>
      <c r="C543" t="s">
        <v>332</v>
      </c>
      <c r="D543" s="7">
        <v>34665</v>
      </c>
      <c r="E543">
        <v>10</v>
      </c>
      <c r="W543" t="s">
        <v>46</v>
      </c>
      <c r="X543" s="11" t="s">
        <v>332</v>
      </c>
      <c r="Y543" s="7">
        <v>34665</v>
      </c>
      <c r="Z543" s="11" t="str">
        <f t="shared" si="51"/>
        <v>2024-3</v>
      </c>
      <c r="AP543" s="8"/>
      <c r="AQ543" s="8"/>
      <c r="AR543" s="8"/>
      <c r="AT543" s="8"/>
    </row>
    <row r="544" spans="1:46" x14ac:dyDescent="0.25">
      <c r="A544" t="s">
        <v>27</v>
      </c>
      <c r="B544" t="s">
        <v>199</v>
      </c>
      <c r="C544" t="s">
        <v>333</v>
      </c>
      <c r="D544" s="7">
        <v>86814</v>
      </c>
      <c r="E544">
        <v>6</v>
      </c>
      <c r="W544" t="s">
        <v>199</v>
      </c>
      <c r="X544" s="11" t="s">
        <v>333</v>
      </c>
      <c r="Y544" s="7">
        <v>86814</v>
      </c>
      <c r="Z544" s="11" t="str">
        <f t="shared" si="51"/>
        <v>2024-3</v>
      </c>
      <c r="AP544" s="8"/>
      <c r="AQ544" s="8"/>
      <c r="AR544" s="8"/>
      <c r="AT544" s="8"/>
    </row>
    <row r="545" spans="1:46" x14ac:dyDescent="0.25">
      <c r="A545" t="s">
        <v>5</v>
      </c>
      <c r="B545" t="s">
        <v>72</v>
      </c>
      <c r="C545" t="s">
        <v>333</v>
      </c>
      <c r="D545" s="7">
        <v>10010</v>
      </c>
      <c r="E545">
        <v>6</v>
      </c>
      <c r="W545" t="s">
        <v>72</v>
      </c>
      <c r="X545" s="11" t="s">
        <v>333</v>
      </c>
      <c r="Y545" s="7">
        <v>10010</v>
      </c>
      <c r="Z545" s="11" t="str">
        <f t="shared" si="51"/>
        <v>2024-3</v>
      </c>
      <c r="AP545" s="8"/>
      <c r="AQ545" s="8"/>
      <c r="AR545" s="8"/>
      <c r="AT545" s="8"/>
    </row>
    <row r="546" spans="1:46" x14ac:dyDescent="0.25">
      <c r="A546" t="s">
        <v>12</v>
      </c>
      <c r="B546" t="s">
        <v>75</v>
      </c>
      <c r="C546" t="s">
        <v>333</v>
      </c>
      <c r="D546" s="7">
        <v>43477</v>
      </c>
      <c r="E546">
        <v>3</v>
      </c>
      <c r="W546" t="s">
        <v>75</v>
      </c>
      <c r="X546" s="11" t="s">
        <v>333</v>
      </c>
      <c r="Y546" s="7">
        <v>43477</v>
      </c>
      <c r="Z546" s="11" t="str">
        <f t="shared" si="51"/>
        <v>2024-3</v>
      </c>
      <c r="AP546" s="8"/>
      <c r="AQ546" s="8"/>
      <c r="AR546" s="8"/>
      <c r="AT546" s="8"/>
    </row>
    <row r="547" spans="1:46" x14ac:dyDescent="0.25">
      <c r="A547" t="s">
        <v>14</v>
      </c>
      <c r="B547" t="s">
        <v>276</v>
      </c>
      <c r="C547" t="s">
        <v>333</v>
      </c>
      <c r="D547" s="7">
        <v>97134</v>
      </c>
      <c r="E547">
        <v>4</v>
      </c>
      <c r="W547" t="s">
        <v>276</v>
      </c>
      <c r="X547" s="11" t="s">
        <v>333</v>
      </c>
      <c r="Y547" s="7">
        <v>97134</v>
      </c>
      <c r="Z547" s="11" t="str">
        <f t="shared" si="51"/>
        <v>2024-3</v>
      </c>
      <c r="AP547" s="8"/>
      <c r="AQ547" s="8"/>
      <c r="AR547" s="8"/>
      <c r="AT547" s="8"/>
    </row>
    <row r="548" spans="1:46" x14ac:dyDescent="0.25">
      <c r="A548" t="s">
        <v>5</v>
      </c>
      <c r="B548" t="s">
        <v>87</v>
      </c>
      <c r="C548" t="s">
        <v>333</v>
      </c>
      <c r="D548" s="7">
        <v>31571</v>
      </c>
      <c r="E548">
        <v>7</v>
      </c>
      <c r="W548" t="s">
        <v>87</v>
      </c>
      <c r="X548" s="11" t="s">
        <v>333</v>
      </c>
      <c r="Y548" s="7">
        <v>31571</v>
      </c>
      <c r="Z548" s="11" t="str">
        <f t="shared" si="51"/>
        <v>2024-3</v>
      </c>
      <c r="AP548" s="8"/>
      <c r="AQ548" s="8"/>
      <c r="AR548" s="8"/>
      <c r="AT548" s="8"/>
    </row>
    <row r="549" spans="1:46" x14ac:dyDescent="0.25">
      <c r="A549" t="s">
        <v>32</v>
      </c>
      <c r="B549" t="s">
        <v>116</v>
      </c>
      <c r="C549" t="s">
        <v>333</v>
      </c>
      <c r="D549" s="7">
        <v>60702</v>
      </c>
      <c r="E549">
        <v>10</v>
      </c>
      <c r="W549" t="s">
        <v>116</v>
      </c>
      <c r="X549" s="11" t="s">
        <v>333</v>
      </c>
      <c r="Y549" s="7">
        <v>60702</v>
      </c>
      <c r="Z549" s="11" t="str">
        <f t="shared" si="51"/>
        <v>2024-3</v>
      </c>
      <c r="AP549" s="8"/>
      <c r="AQ549" s="8"/>
      <c r="AR549" s="8"/>
      <c r="AT549" s="8"/>
    </row>
    <row r="550" spans="1:46" x14ac:dyDescent="0.25">
      <c r="A550" t="s">
        <v>23</v>
      </c>
      <c r="B550" t="s">
        <v>256</v>
      </c>
      <c r="C550" t="s">
        <v>333</v>
      </c>
      <c r="D550" s="7">
        <v>23133</v>
      </c>
      <c r="E550">
        <v>8</v>
      </c>
      <c r="W550" t="s">
        <v>256</v>
      </c>
      <c r="X550" s="11" t="s">
        <v>333</v>
      </c>
      <c r="Y550" s="7">
        <v>23133</v>
      </c>
      <c r="Z550" s="11" t="str">
        <f t="shared" si="51"/>
        <v>2024-3</v>
      </c>
      <c r="AP550" s="8"/>
      <c r="AQ550" s="8"/>
      <c r="AR550" s="8"/>
      <c r="AT550" s="8"/>
    </row>
    <row r="551" spans="1:46" x14ac:dyDescent="0.25">
      <c r="A551" t="s">
        <v>36</v>
      </c>
      <c r="B551" t="s">
        <v>334</v>
      </c>
      <c r="C551" t="s">
        <v>333</v>
      </c>
      <c r="D551" s="7">
        <v>26311</v>
      </c>
      <c r="E551">
        <v>4</v>
      </c>
      <c r="W551" t="s">
        <v>334</v>
      </c>
      <c r="X551" s="11" t="s">
        <v>333</v>
      </c>
      <c r="Y551" s="7">
        <v>26311</v>
      </c>
      <c r="Z551" s="11" t="str">
        <f t="shared" si="51"/>
        <v>2024-3</v>
      </c>
      <c r="AP551" s="8"/>
      <c r="AQ551" s="8"/>
      <c r="AR551" s="8"/>
      <c r="AT551" s="8"/>
    </row>
    <row r="552" spans="1:46" x14ac:dyDescent="0.25">
      <c r="A552" t="s">
        <v>10</v>
      </c>
      <c r="B552" t="s">
        <v>245</v>
      </c>
      <c r="C552" t="s">
        <v>333</v>
      </c>
      <c r="D552" s="7">
        <v>12836</v>
      </c>
      <c r="E552">
        <v>4</v>
      </c>
      <c r="W552" t="s">
        <v>245</v>
      </c>
      <c r="X552" s="11" t="s">
        <v>333</v>
      </c>
      <c r="Y552" s="7">
        <v>12836</v>
      </c>
      <c r="Z552" s="11" t="str">
        <f t="shared" si="51"/>
        <v>2024-3</v>
      </c>
      <c r="AP552" s="8"/>
      <c r="AQ552" s="8"/>
      <c r="AR552" s="8"/>
      <c r="AT552" s="8"/>
    </row>
    <row r="553" spans="1:46" x14ac:dyDescent="0.25">
      <c r="A553" t="s">
        <v>14</v>
      </c>
      <c r="B553" t="s">
        <v>222</v>
      </c>
      <c r="C553" t="s">
        <v>335</v>
      </c>
      <c r="D553" s="7">
        <v>68787</v>
      </c>
      <c r="E553">
        <v>0</v>
      </c>
      <c r="W553" t="s">
        <v>222</v>
      </c>
      <c r="X553" s="11" t="s">
        <v>335</v>
      </c>
      <c r="Y553" s="7">
        <v>68787</v>
      </c>
      <c r="Z553" s="11" t="str">
        <f t="shared" si="51"/>
        <v>2024-3</v>
      </c>
      <c r="AP553" s="8"/>
      <c r="AQ553" s="8"/>
      <c r="AR553" s="8"/>
      <c r="AT553" s="8"/>
    </row>
    <row r="554" spans="1:46" x14ac:dyDescent="0.25">
      <c r="A554" t="s">
        <v>27</v>
      </c>
      <c r="B554" t="s">
        <v>60</v>
      </c>
      <c r="C554" t="s">
        <v>335</v>
      </c>
      <c r="D554" s="7">
        <v>67614</v>
      </c>
      <c r="E554">
        <v>8</v>
      </c>
      <c r="W554" t="s">
        <v>60</v>
      </c>
      <c r="X554" s="11" t="s">
        <v>335</v>
      </c>
      <c r="Y554" s="7">
        <v>67614</v>
      </c>
      <c r="Z554" s="11" t="str">
        <f t="shared" si="51"/>
        <v>2024-3</v>
      </c>
      <c r="AP554" s="8"/>
      <c r="AQ554" s="8"/>
      <c r="AR554" s="8"/>
      <c r="AT554" s="8"/>
    </row>
    <row r="555" spans="1:46" x14ac:dyDescent="0.25">
      <c r="A555" t="s">
        <v>23</v>
      </c>
      <c r="B555" t="s">
        <v>98</v>
      </c>
      <c r="C555" t="s">
        <v>335</v>
      </c>
      <c r="D555" s="7">
        <v>93047</v>
      </c>
      <c r="E555">
        <v>6</v>
      </c>
      <c r="W555" t="s">
        <v>98</v>
      </c>
      <c r="X555" s="11" t="s">
        <v>335</v>
      </c>
      <c r="Y555" s="7">
        <v>93047</v>
      </c>
      <c r="Z555" s="11" t="str">
        <f t="shared" si="51"/>
        <v>2024-3</v>
      </c>
      <c r="AP555" s="8"/>
      <c r="AQ555" s="8"/>
      <c r="AR555" s="8"/>
      <c r="AT555" s="8"/>
    </row>
    <row r="556" spans="1:46" x14ac:dyDescent="0.25">
      <c r="A556" t="s">
        <v>23</v>
      </c>
      <c r="B556" t="s">
        <v>120</v>
      </c>
      <c r="C556" t="s">
        <v>335</v>
      </c>
      <c r="D556" s="7">
        <v>97865</v>
      </c>
      <c r="E556">
        <v>10</v>
      </c>
      <c r="W556" t="s">
        <v>120</v>
      </c>
      <c r="X556" s="11" t="s">
        <v>335</v>
      </c>
      <c r="Y556" s="7">
        <v>97865</v>
      </c>
      <c r="Z556" s="11" t="str">
        <f t="shared" si="51"/>
        <v>2024-3</v>
      </c>
      <c r="AP556" s="8"/>
      <c r="AQ556" s="8"/>
      <c r="AR556" s="8"/>
      <c r="AT556" s="8"/>
    </row>
    <row r="557" spans="1:46" x14ac:dyDescent="0.25">
      <c r="A557" t="s">
        <v>5</v>
      </c>
      <c r="B557" t="s">
        <v>241</v>
      </c>
      <c r="C557" t="s">
        <v>335</v>
      </c>
      <c r="D557" s="7">
        <v>62295</v>
      </c>
      <c r="E557">
        <v>4</v>
      </c>
      <c r="W557" t="s">
        <v>241</v>
      </c>
      <c r="X557" s="11" t="s">
        <v>335</v>
      </c>
      <c r="Y557" s="7">
        <v>62295</v>
      </c>
      <c r="Z557" s="11" t="str">
        <f t="shared" si="51"/>
        <v>2024-3</v>
      </c>
      <c r="AP557" s="8"/>
      <c r="AQ557" s="8"/>
      <c r="AR557" s="8"/>
      <c r="AT557" s="8"/>
    </row>
    <row r="558" spans="1:46" x14ac:dyDescent="0.25">
      <c r="A558" t="s">
        <v>10</v>
      </c>
      <c r="B558" t="s">
        <v>336</v>
      </c>
      <c r="C558" t="s">
        <v>337</v>
      </c>
      <c r="D558" s="7">
        <v>21847</v>
      </c>
      <c r="E558">
        <v>4</v>
      </c>
      <c r="W558" t="s">
        <v>336</v>
      </c>
      <c r="X558" s="11" t="s">
        <v>337</v>
      </c>
      <c r="Y558" s="7">
        <v>21847</v>
      </c>
      <c r="Z558" s="11" t="str">
        <f t="shared" si="51"/>
        <v>2024-3</v>
      </c>
      <c r="AP558" s="8"/>
      <c r="AQ558" s="8"/>
      <c r="AR558" s="8"/>
      <c r="AT558" s="8"/>
    </row>
    <row r="559" spans="1:46" x14ac:dyDescent="0.25">
      <c r="A559" t="s">
        <v>32</v>
      </c>
      <c r="B559" t="s">
        <v>72</v>
      </c>
      <c r="C559" t="s">
        <v>337</v>
      </c>
      <c r="D559" s="7">
        <v>88450</v>
      </c>
      <c r="E559">
        <v>6</v>
      </c>
      <c r="W559" t="s">
        <v>72</v>
      </c>
      <c r="X559" s="11" t="s">
        <v>337</v>
      </c>
      <c r="Y559" s="7">
        <v>88450</v>
      </c>
      <c r="Z559" s="11" t="str">
        <f t="shared" si="51"/>
        <v>2024-3</v>
      </c>
      <c r="AP559" s="8"/>
      <c r="AQ559" s="8"/>
      <c r="AR559" s="8"/>
      <c r="AT559" s="8"/>
    </row>
    <row r="560" spans="1:46" x14ac:dyDescent="0.25">
      <c r="A560" t="s">
        <v>5</v>
      </c>
      <c r="B560" t="s">
        <v>47</v>
      </c>
      <c r="C560" t="s">
        <v>337</v>
      </c>
      <c r="D560" s="7">
        <v>73702</v>
      </c>
      <c r="E560">
        <v>0</v>
      </c>
      <c r="W560" t="s">
        <v>47</v>
      </c>
      <c r="X560" s="11" t="s">
        <v>337</v>
      </c>
      <c r="Y560" s="7">
        <v>73702</v>
      </c>
      <c r="Z560" s="11" t="str">
        <f t="shared" si="51"/>
        <v>2024-3</v>
      </c>
      <c r="AP560" s="8"/>
      <c r="AQ560" s="8"/>
      <c r="AR560" s="8"/>
      <c r="AT560" s="8"/>
    </row>
    <row r="561" spans="1:46" x14ac:dyDescent="0.25">
      <c r="A561" t="s">
        <v>10</v>
      </c>
      <c r="B561" t="s">
        <v>132</v>
      </c>
      <c r="C561" t="s">
        <v>338</v>
      </c>
      <c r="D561" s="7">
        <v>19564</v>
      </c>
      <c r="E561">
        <v>7</v>
      </c>
      <c r="W561" t="s">
        <v>132</v>
      </c>
      <c r="X561" s="11" t="s">
        <v>338</v>
      </c>
      <c r="Y561" s="7">
        <v>19564</v>
      </c>
      <c r="Z561" s="11" t="str">
        <f t="shared" si="51"/>
        <v>2024-3</v>
      </c>
      <c r="AP561" s="8"/>
      <c r="AQ561" s="8"/>
      <c r="AR561" s="8"/>
      <c r="AT561" s="8"/>
    </row>
    <row r="562" spans="1:46" x14ac:dyDescent="0.25">
      <c r="A562" t="s">
        <v>33</v>
      </c>
      <c r="B562" t="s">
        <v>188</v>
      </c>
      <c r="C562" t="s">
        <v>338</v>
      </c>
      <c r="D562" s="7">
        <v>43681</v>
      </c>
      <c r="E562">
        <v>6</v>
      </c>
      <c r="W562" t="s">
        <v>188</v>
      </c>
      <c r="X562" s="11" t="s">
        <v>338</v>
      </c>
      <c r="Y562" s="7">
        <v>43681</v>
      </c>
      <c r="Z562" s="11" t="str">
        <f t="shared" si="51"/>
        <v>2024-3</v>
      </c>
      <c r="AP562" s="8"/>
      <c r="AQ562" s="8"/>
      <c r="AR562" s="8"/>
      <c r="AT562" s="8"/>
    </row>
    <row r="563" spans="1:46" x14ac:dyDescent="0.25">
      <c r="A563" t="s">
        <v>27</v>
      </c>
      <c r="B563" t="s">
        <v>50</v>
      </c>
      <c r="C563" t="s">
        <v>339</v>
      </c>
      <c r="D563" s="7">
        <v>46118</v>
      </c>
      <c r="E563">
        <v>7</v>
      </c>
      <c r="W563" t="s">
        <v>50</v>
      </c>
      <c r="X563" s="11" t="s">
        <v>339</v>
      </c>
      <c r="Y563" s="7">
        <v>46118</v>
      </c>
      <c r="Z563" s="11" t="str">
        <f t="shared" si="51"/>
        <v>2024-3</v>
      </c>
      <c r="AP563" s="8"/>
      <c r="AQ563" s="8"/>
      <c r="AR563" s="8"/>
      <c r="AT563" s="8"/>
    </row>
    <row r="564" spans="1:46" x14ac:dyDescent="0.25">
      <c r="A564" t="s">
        <v>14</v>
      </c>
      <c r="B564" t="s">
        <v>266</v>
      </c>
      <c r="C564" t="s">
        <v>339</v>
      </c>
      <c r="D564" s="7">
        <v>92745</v>
      </c>
      <c r="E564">
        <v>4</v>
      </c>
      <c r="W564" t="s">
        <v>266</v>
      </c>
      <c r="X564" s="11" t="s">
        <v>339</v>
      </c>
      <c r="Y564" s="7">
        <v>92745</v>
      </c>
      <c r="Z564" s="11" t="str">
        <f t="shared" si="51"/>
        <v>2024-3</v>
      </c>
      <c r="AP564" s="8"/>
      <c r="AQ564" s="8"/>
      <c r="AR564" s="8"/>
      <c r="AT564" s="8"/>
    </row>
    <row r="565" spans="1:46" x14ac:dyDescent="0.25">
      <c r="A565" t="s">
        <v>23</v>
      </c>
      <c r="B565" t="s">
        <v>84</v>
      </c>
      <c r="C565" t="s">
        <v>339</v>
      </c>
      <c r="D565" s="7">
        <v>13240</v>
      </c>
      <c r="E565">
        <v>4</v>
      </c>
      <c r="W565" t="s">
        <v>84</v>
      </c>
      <c r="X565" s="11" t="s">
        <v>339</v>
      </c>
      <c r="Y565" s="7">
        <v>13240</v>
      </c>
      <c r="Z565" s="11" t="str">
        <f t="shared" si="51"/>
        <v>2024-3</v>
      </c>
      <c r="AP565" s="8"/>
      <c r="AQ565" s="8"/>
      <c r="AR565" s="8"/>
      <c r="AT565" s="8"/>
    </row>
    <row r="566" spans="1:46" x14ac:dyDescent="0.25">
      <c r="A566" t="s">
        <v>23</v>
      </c>
      <c r="B566" t="s">
        <v>48</v>
      </c>
      <c r="C566" t="s">
        <v>340</v>
      </c>
      <c r="D566" s="7">
        <v>69001</v>
      </c>
      <c r="E566">
        <v>7</v>
      </c>
      <c r="W566" t="s">
        <v>48</v>
      </c>
      <c r="X566" s="11" t="s">
        <v>340</v>
      </c>
      <c r="Y566" s="7">
        <v>69001</v>
      </c>
      <c r="Z566" s="11" t="str">
        <f t="shared" si="51"/>
        <v>2024-4</v>
      </c>
      <c r="AP566" s="8"/>
      <c r="AQ566" s="8"/>
      <c r="AR566" s="8"/>
      <c r="AT566" s="8"/>
    </row>
    <row r="567" spans="1:46" x14ac:dyDescent="0.25">
      <c r="A567" t="s">
        <v>5</v>
      </c>
      <c r="B567" t="s">
        <v>101</v>
      </c>
      <c r="C567" t="s">
        <v>340</v>
      </c>
      <c r="D567" s="7">
        <v>69214</v>
      </c>
      <c r="E567">
        <v>8</v>
      </c>
      <c r="W567" t="s">
        <v>101</v>
      </c>
      <c r="X567" s="11" t="s">
        <v>340</v>
      </c>
      <c r="Y567" s="7">
        <v>69214</v>
      </c>
      <c r="Z567" s="11" t="str">
        <f t="shared" si="51"/>
        <v>2024-4</v>
      </c>
      <c r="AP567" s="8"/>
      <c r="AQ567" s="8"/>
      <c r="AR567" s="8"/>
      <c r="AT567" s="8"/>
    </row>
    <row r="568" spans="1:46" x14ac:dyDescent="0.25">
      <c r="A568" t="s">
        <v>10</v>
      </c>
      <c r="B568" t="s">
        <v>341</v>
      </c>
      <c r="C568" t="s">
        <v>340</v>
      </c>
      <c r="D568" s="7">
        <v>38227</v>
      </c>
      <c r="E568">
        <v>2</v>
      </c>
      <c r="W568" t="s">
        <v>341</v>
      </c>
      <c r="X568" s="11" t="s">
        <v>340</v>
      </c>
      <c r="Y568" s="7">
        <v>38227</v>
      </c>
      <c r="Z568" s="11" t="str">
        <f t="shared" si="51"/>
        <v>2024-4</v>
      </c>
      <c r="AP568" s="8"/>
      <c r="AQ568" s="8"/>
      <c r="AR568" s="8"/>
      <c r="AT568" s="8"/>
    </row>
    <row r="569" spans="1:46" x14ac:dyDescent="0.25">
      <c r="A569" t="s">
        <v>33</v>
      </c>
      <c r="B569" t="s">
        <v>79</v>
      </c>
      <c r="C569" t="s">
        <v>340</v>
      </c>
      <c r="D569" s="7">
        <v>74890</v>
      </c>
      <c r="E569">
        <v>8</v>
      </c>
      <c r="W569" t="s">
        <v>79</v>
      </c>
      <c r="X569" s="11" t="s">
        <v>340</v>
      </c>
      <c r="Y569" s="7">
        <v>74890</v>
      </c>
      <c r="Z569" s="11" t="str">
        <f t="shared" si="51"/>
        <v>2024-4</v>
      </c>
      <c r="AP569" s="8"/>
      <c r="AQ569" s="8"/>
      <c r="AR569" s="8"/>
      <c r="AT569" s="8"/>
    </row>
    <row r="570" spans="1:46" x14ac:dyDescent="0.25">
      <c r="A570" t="s">
        <v>32</v>
      </c>
      <c r="B570" t="s">
        <v>81</v>
      </c>
      <c r="C570" t="s">
        <v>340</v>
      </c>
      <c r="D570" s="7">
        <v>78380</v>
      </c>
      <c r="E570">
        <v>8</v>
      </c>
      <c r="W570" t="s">
        <v>81</v>
      </c>
      <c r="X570" s="11" t="s">
        <v>340</v>
      </c>
      <c r="Y570" s="7">
        <v>78380</v>
      </c>
      <c r="Z570" s="11" t="str">
        <f t="shared" si="51"/>
        <v>2024-4</v>
      </c>
      <c r="AP570" s="8"/>
      <c r="AQ570" s="8"/>
      <c r="AR570" s="8"/>
      <c r="AT570" s="8"/>
    </row>
    <row r="571" spans="1:46" x14ac:dyDescent="0.25">
      <c r="A571" t="s">
        <v>23</v>
      </c>
      <c r="B571" t="s">
        <v>65</v>
      </c>
      <c r="C571" t="s">
        <v>340</v>
      </c>
      <c r="D571" s="7">
        <v>90883</v>
      </c>
      <c r="E571">
        <v>4</v>
      </c>
      <c r="W571" t="s">
        <v>65</v>
      </c>
      <c r="X571" s="11" t="s">
        <v>340</v>
      </c>
      <c r="Y571" s="7">
        <v>90883</v>
      </c>
      <c r="Z571" s="11" t="str">
        <f t="shared" si="51"/>
        <v>2024-4</v>
      </c>
      <c r="AP571" s="8"/>
      <c r="AQ571" s="8"/>
      <c r="AR571" s="8"/>
      <c r="AT571" s="8"/>
    </row>
    <row r="572" spans="1:46" x14ac:dyDescent="0.25">
      <c r="A572" t="s">
        <v>32</v>
      </c>
      <c r="B572" t="s">
        <v>22</v>
      </c>
      <c r="C572" t="s">
        <v>340</v>
      </c>
      <c r="D572" s="7">
        <v>71609</v>
      </c>
      <c r="E572">
        <v>8</v>
      </c>
      <c r="W572" t="s">
        <v>22</v>
      </c>
      <c r="X572" s="11" t="s">
        <v>340</v>
      </c>
      <c r="Y572" s="7">
        <v>71609</v>
      </c>
      <c r="Z572" s="11" t="str">
        <f t="shared" si="51"/>
        <v>2024-4</v>
      </c>
      <c r="AP572" s="8"/>
      <c r="AQ572" s="8"/>
      <c r="AR572" s="8"/>
      <c r="AT572" s="8"/>
    </row>
    <row r="573" spans="1:46" x14ac:dyDescent="0.25">
      <c r="A573" t="s">
        <v>33</v>
      </c>
      <c r="B573" t="s">
        <v>18</v>
      </c>
      <c r="C573" t="s">
        <v>342</v>
      </c>
      <c r="D573" s="7">
        <v>42875</v>
      </c>
      <c r="E573">
        <v>3</v>
      </c>
      <c r="W573" t="s">
        <v>18</v>
      </c>
      <c r="X573" s="11" t="s">
        <v>342</v>
      </c>
      <c r="Y573" s="7">
        <v>42875</v>
      </c>
      <c r="Z573" s="11" t="str">
        <f t="shared" si="51"/>
        <v>2024-4</v>
      </c>
      <c r="AP573" s="8"/>
      <c r="AQ573" s="8"/>
      <c r="AR573" s="8"/>
      <c r="AT573" s="8"/>
    </row>
    <row r="574" spans="1:46" x14ac:dyDescent="0.25">
      <c r="A574" t="s">
        <v>27</v>
      </c>
      <c r="B574" t="s">
        <v>101</v>
      </c>
      <c r="C574" t="s">
        <v>342</v>
      </c>
      <c r="D574" s="7">
        <v>64577</v>
      </c>
      <c r="E574">
        <v>8</v>
      </c>
      <c r="W574" t="s">
        <v>101</v>
      </c>
      <c r="X574" s="11" t="s">
        <v>342</v>
      </c>
      <c r="Y574" s="7">
        <v>64577</v>
      </c>
      <c r="Z574" s="11" t="str">
        <f t="shared" si="51"/>
        <v>2024-4</v>
      </c>
      <c r="AP574" s="8"/>
      <c r="AQ574" s="8"/>
      <c r="AR574" s="8"/>
      <c r="AT574" s="8"/>
    </row>
    <row r="575" spans="1:46" x14ac:dyDescent="0.25">
      <c r="A575" t="s">
        <v>8</v>
      </c>
      <c r="B575" t="s">
        <v>24</v>
      </c>
      <c r="C575" t="s">
        <v>342</v>
      </c>
      <c r="D575" s="7">
        <v>46122</v>
      </c>
      <c r="E575">
        <v>10</v>
      </c>
      <c r="W575" t="s">
        <v>24</v>
      </c>
      <c r="X575" s="11" t="s">
        <v>342</v>
      </c>
      <c r="Y575" s="7">
        <v>46122</v>
      </c>
      <c r="Z575" s="11" t="str">
        <f t="shared" si="51"/>
        <v>2024-4</v>
      </c>
      <c r="AP575" s="8"/>
      <c r="AQ575" s="8"/>
      <c r="AR575" s="8"/>
      <c r="AT575" s="8"/>
    </row>
    <row r="576" spans="1:46" x14ac:dyDescent="0.25">
      <c r="A576" t="s">
        <v>20</v>
      </c>
      <c r="B576" t="s">
        <v>286</v>
      </c>
      <c r="C576" t="s">
        <v>342</v>
      </c>
      <c r="D576" s="7">
        <v>87904</v>
      </c>
      <c r="E576">
        <v>7</v>
      </c>
      <c r="W576" t="s">
        <v>286</v>
      </c>
      <c r="X576" s="11" t="s">
        <v>342</v>
      </c>
      <c r="Y576" s="7">
        <v>87904</v>
      </c>
      <c r="Z576" s="11" t="str">
        <f t="shared" si="51"/>
        <v>2024-4</v>
      </c>
      <c r="AP576" s="8"/>
      <c r="AQ576" s="8"/>
      <c r="AR576" s="8"/>
      <c r="AT576" s="8"/>
    </row>
    <row r="577" spans="1:46" x14ac:dyDescent="0.25">
      <c r="A577" t="s">
        <v>10</v>
      </c>
      <c r="B577" t="s">
        <v>112</v>
      </c>
      <c r="C577" t="s">
        <v>343</v>
      </c>
      <c r="D577" s="7">
        <v>23608</v>
      </c>
      <c r="E577">
        <v>8</v>
      </c>
      <c r="W577" t="s">
        <v>112</v>
      </c>
      <c r="X577" s="11" t="s">
        <v>343</v>
      </c>
      <c r="Y577" s="7">
        <v>23608</v>
      </c>
      <c r="Z577" s="11" t="str">
        <f t="shared" si="51"/>
        <v>2024-4</v>
      </c>
      <c r="AP577" s="8"/>
      <c r="AQ577" s="8"/>
      <c r="AR577" s="8"/>
      <c r="AT577" s="8"/>
    </row>
    <row r="578" spans="1:46" x14ac:dyDescent="0.25">
      <c r="A578" t="s">
        <v>27</v>
      </c>
      <c r="B578" t="s">
        <v>279</v>
      </c>
      <c r="C578" t="s">
        <v>344</v>
      </c>
      <c r="D578" s="7">
        <v>68259</v>
      </c>
      <c r="E578">
        <v>5</v>
      </c>
      <c r="W578" t="s">
        <v>279</v>
      </c>
      <c r="X578" s="11" t="s">
        <v>344</v>
      </c>
      <c r="Y578" s="7">
        <v>68259</v>
      </c>
      <c r="Z578" s="11" t="str">
        <f t="shared" si="51"/>
        <v>2024-4</v>
      </c>
      <c r="AP578" s="8"/>
      <c r="AQ578" s="8"/>
      <c r="AR578" s="8"/>
      <c r="AT578" s="8"/>
    </row>
    <row r="579" spans="1:46" x14ac:dyDescent="0.25">
      <c r="A579" t="s">
        <v>10</v>
      </c>
      <c r="B579" t="s">
        <v>37</v>
      </c>
      <c r="C579" t="s">
        <v>344</v>
      </c>
      <c r="D579" s="7">
        <v>61769</v>
      </c>
      <c r="E579">
        <v>6</v>
      </c>
      <c r="W579" t="s">
        <v>37</v>
      </c>
      <c r="X579" s="11" t="s">
        <v>344</v>
      </c>
      <c r="Y579" s="7">
        <v>61769</v>
      </c>
      <c r="Z579" s="11" t="str">
        <f t="shared" ref="Z579:Z642" si="52">MID(X579,1,4)&amp;"-"&amp;IF(MID(X579,6,1)*1=0,MID(X579,7,1),MID(X579,6,2))</f>
        <v>2024-4</v>
      </c>
      <c r="AP579" s="8"/>
      <c r="AQ579" s="8"/>
      <c r="AR579" s="8"/>
      <c r="AT579" s="8"/>
    </row>
    <row r="580" spans="1:46" x14ac:dyDescent="0.25">
      <c r="A580" t="s">
        <v>5</v>
      </c>
      <c r="B580" t="s">
        <v>11</v>
      </c>
      <c r="C580" t="s">
        <v>345</v>
      </c>
      <c r="D580" s="7">
        <v>30978</v>
      </c>
      <c r="E580">
        <v>4</v>
      </c>
      <c r="W580" t="s">
        <v>11</v>
      </c>
      <c r="X580" s="11" t="s">
        <v>345</v>
      </c>
      <c r="Y580" s="7">
        <v>30978</v>
      </c>
      <c r="Z580" s="11" t="str">
        <f t="shared" si="52"/>
        <v>2024-4</v>
      </c>
      <c r="AP580" s="8"/>
      <c r="AQ580" s="8"/>
      <c r="AR580" s="8"/>
      <c r="AT580" s="8"/>
    </row>
    <row r="581" spans="1:46" x14ac:dyDescent="0.25">
      <c r="A581" t="s">
        <v>17</v>
      </c>
      <c r="B581" t="s">
        <v>15</v>
      </c>
      <c r="C581" t="s">
        <v>346</v>
      </c>
      <c r="D581" s="7">
        <v>74519</v>
      </c>
      <c r="E581">
        <v>10</v>
      </c>
      <c r="W581" t="s">
        <v>15</v>
      </c>
      <c r="X581" s="11" t="s">
        <v>346</v>
      </c>
      <c r="Y581" s="7">
        <v>74519</v>
      </c>
      <c r="Z581" s="11" t="str">
        <f t="shared" si="52"/>
        <v>2024-4</v>
      </c>
      <c r="AP581" s="8"/>
      <c r="AQ581" s="8"/>
      <c r="AR581" s="8"/>
      <c r="AT581" s="8"/>
    </row>
    <row r="582" spans="1:46" x14ac:dyDescent="0.25">
      <c r="A582" t="s">
        <v>12</v>
      </c>
      <c r="B582" t="s">
        <v>158</v>
      </c>
      <c r="C582" t="s">
        <v>346</v>
      </c>
      <c r="D582" s="7">
        <v>13412</v>
      </c>
      <c r="E582">
        <v>6</v>
      </c>
      <c r="W582" t="s">
        <v>158</v>
      </c>
      <c r="X582" s="11" t="s">
        <v>346</v>
      </c>
      <c r="Y582" s="7">
        <v>13412</v>
      </c>
      <c r="Z582" s="11" t="str">
        <f t="shared" si="52"/>
        <v>2024-4</v>
      </c>
      <c r="AP582" s="8"/>
      <c r="AQ582" s="8"/>
      <c r="AR582" s="8"/>
      <c r="AT582" s="8"/>
    </row>
    <row r="583" spans="1:46" x14ac:dyDescent="0.25">
      <c r="A583" t="s">
        <v>10</v>
      </c>
      <c r="B583" t="s">
        <v>231</v>
      </c>
      <c r="C583" t="s">
        <v>346</v>
      </c>
      <c r="D583" s="7">
        <v>82553</v>
      </c>
      <c r="E583">
        <v>7</v>
      </c>
      <c r="W583" t="s">
        <v>231</v>
      </c>
      <c r="X583" s="11" t="s">
        <v>346</v>
      </c>
      <c r="Y583" s="7">
        <v>82553</v>
      </c>
      <c r="Z583" s="11" t="str">
        <f t="shared" si="52"/>
        <v>2024-4</v>
      </c>
      <c r="AP583" s="8"/>
      <c r="AQ583" s="8"/>
      <c r="AR583" s="8"/>
      <c r="AT583" s="8"/>
    </row>
    <row r="584" spans="1:46" x14ac:dyDescent="0.25">
      <c r="A584" t="s">
        <v>5</v>
      </c>
      <c r="B584" t="s">
        <v>233</v>
      </c>
      <c r="C584" t="s">
        <v>346</v>
      </c>
      <c r="D584" s="7">
        <v>94875</v>
      </c>
      <c r="E584">
        <v>9</v>
      </c>
      <c r="W584" t="s">
        <v>233</v>
      </c>
      <c r="X584" s="11" t="s">
        <v>346</v>
      </c>
      <c r="Y584" s="7">
        <v>94875</v>
      </c>
      <c r="Z584" s="11" t="str">
        <f t="shared" si="52"/>
        <v>2024-4</v>
      </c>
      <c r="AP584" s="8"/>
      <c r="AQ584" s="8"/>
      <c r="AR584" s="8"/>
      <c r="AT584" s="8"/>
    </row>
    <row r="585" spans="1:46" x14ac:dyDescent="0.25">
      <c r="A585" t="s">
        <v>32</v>
      </c>
      <c r="B585" t="s">
        <v>169</v>
      </c>
      <c r="C585" t="s">
        <v>346</v>
      </c>
      <c r="D585" s="7">
        <v>14256</v>
      </c>
      <c r="E585">
        <v>7</v>
      </c>
      <c r="W585" t="s">
        <v>169</v>
      </c>
      <c r="X585" s="11" t="s">
        <v>346</v>
      </c>
      <c r="Y585" s="7">
        <v>14256</v>
      </c>
      <c r="Z585" s="11" t="str">
        <f t="shared" si="52"/>
        <v>2024-4</v>
      </c>
      <c r="AP585" s="8"/>
      <c r="AQ585" s="8"/>
      <c r="AR585" s="8"/>
      <c r="AT585" s="8"/>
    </row>
    <row r="586" spans="1:46" x14ac:dyDescent="0.25">
      <c r="A586" t="s">
        <v>23</v>
      </c>
      <c r="B586" t="s">
        <v>214</v>
      </c>
      <c r="C586" t="s">
        <v>346</v>
      </c>
      <c r="D586" s="7">
        <v>77779</v>
      </c>
      <c r="E586">
        <v>7</v>
      </c>
      <c r="W586" t="s">
        <v>214</v>
      </c>
      <c r="X586" s="11" t="s">
        <v>346</v>
      </c>
      <c r="Y586" s="7">
        <v>77779</v>
      </c>
      <c r="Z586" s="11" t="str">
        <f t="shared" si="52"/>
        <v>2024-4</v>
      </c>
      <c r="AP586" s="8"/>
      <c r="AQ586" s="8"/>
      <c r="AR586" s="8"/>
      <c r="AT586" s="8"/>
    </row>
    <row r="587" spans="1:46" x14ac:dyDescent="0.25">
      <c r="A587" t="s">
        <v>17</v>
      </c>
      <c r="B587" t="s">
        <v>35</v>
      </c>
      <c r="C587" t="s">
        <v>346</v>
      </c>
      <c r="D587" s="7">
        <v>34835</v>
      </c>
      <c r="E587">
        <v>1</v>
      </c>
      <c r="W587" t="s">
        <v>35</v>
      </c>
      <c r="X587" s="11" t="s">
        <v>346</v>
      </c>
      <c r="Y587" s="7">
        <v>34835</v>
      </c>
      <c r="Z587" s="11" t="str">
        <f t="shared" si="52"/>
        <v>2024-4</v>
      </c>
      <c r="AP587" s="8"/>
      <c r="AQ587" s="8"/>
      <c r="AR587" s="8"/>
      <c r="AT587" s="8"/>
    </row>
    <row r="588" spans="1:46" x14ac:dyDescent="0.25">
      <c r="A588" t="s">
        <v>12</v>
      </c>
      <c r="B588" t="s">
        <v>196</v>
      </c>
      <c r="C588" t="s">
        <v>346</v>
      </c>
      <c r="D588" s="7">
        <v>13809</v>
      </c>
      <c r="E588">
        <v>6</v>
      </c>
      <c r="W588" t="s">
        <v>196</v>
      </c>
      <c r="X588" s="11" t="s">
        <v>346</v>
      </c>
      <c r="Y588" s="7">
        <v>13809</v>
      </c>
      <c r="Z588" s="11" t="str">
        <f t="shared" si="52"/>
        <v>2024-4</v>
      </c>
      <c r="AP588" s="8"/>
      <c r="AQ588" s="8"/>
      <c r="AR588" s="8"/>
      <c r="AT588" s="8"/>
    </row>
    <row r="589" spans="1:46" x14ac:dyDescent="0.25">
      <c r="A589" t="s">
        <v>17</v>
      </c>
      <c r="B589" t="s">
        <v>319</v>
      </c>
      <c r="C589" t="s">
        <v>346</v>
      </c>
      <c r="D589" s="7">
        <v>23859</v>
      </c>
      <c r="E589">
        <v>10</v>
      </c>
      <c r="W589" t="s">
        <v>319</v>
      </c>
      <c r="X589" s="11" t="s">
        <v>346</v>
      </c>
      <c r="Y589" s="7">
        <v>23859</v>
      </c>
      <c r="Z589" s="11" t="str">
        <f t="shared" si="52"/>
        <v>2024-4</v>
      </c>
      <c r="AP589" s="8"/>
      <c r="AQ589" s="8"/>
      <c r="AR589" s="8"/>
      <c r="AT589" s="8"/>
    </row>
    <row r="590" spans="1:46" x14ac:dyDescent="0.25">
      <c r="A590" t="s">
        <v>20</v>
      </c>
      <c r="B590" t="s">
        <v>229</v>
      </c>
      <c r="C590" t="s">
        <v>346</v>
      </c>
      <c r="D590" s="7">
        <v>20929</v>
      </c>
      <c r="E590">
        <v>9</v>
      </c>
      <c r="W590" t="s">
        <v>229</v>
      </c>
      <c r="X590" s="11" t="s">
        <v>346</v>
      </c>
      <c r="Y590" s="7">
        <v>20929</v>
      </c>
      <c r="Z590" s="11" t="str">
        <f t="shared" si="52"/>
        <v>2024-4</v>
      </c>
      <c r="AP590" s="8"/>
      <c r="AQ590" s="8"/>
      <c r="AR590" s="8"/>
      <c r="AT590" s="8"/>
    </row>
    <row r="591" spans="1:46" x14ac:dyDescent="0.25">
      <c r="A591" t="s">
        <v>10</v>
      </c>
      <c r="B591" t="s">
        <v>236</v>
      </c>
      <c r="C591" t="s">
        <v>346</v>
      </c>
      <c r="D591" s="7">
        <v>33850</v>
      </c>
      <c r="E591">
        <v>10</v>
      </c>
      <c r="W591" t="s">
        <v>236</v>
      </c>
      <c r="X591" s="11" t="s">
        <v>346</v>
      </c>
      <c r="Y591" s="7">
        <v>33850</v>
      </c>
      <c r="Z591" s="11" t="str">
        <f t="shared" si="52"/>
        <v>2024-4</v>
      </c>
      <c r="AP591" s="8"/>
      <c r="AQ591" s="8"/>
      <c r="AR591" s="8"/>
      <c r="AT591" s="8"/>
    </row>
    <row r="592" spans="1:46" x14ac:dyDescent="0.25">
      <c r="A592" t="s">
        <v>23</v>
      </c>
      <c r="B592" t="s">
        <v>68</v>
      </c>
      <c r="C592" t="s">
        <v>346</v>
      </c>
      <c r="D592" s="7">
        <v>46779</v>
      </c>
      <c r="E592">
        <v>8</v>
      </c>
      <c r="W592" t="s">
        <v>68</v>
      </c>
      <c r="X592" s="11" t="s">
        <v>346</v>
      </c>
      <c r="Y592" s="7">
        <v>46779</v>
      </c>
      <c r="Z592" s="11" t="str">
        <f t="shared" si="52"/>
        <v>2024-4</v>
      </c>
      <c r="AP592" s="8"/>
      <c r="AQ592" s="8"/>
      <c r="AR592" s="8"/>
      <c r="AT592" s="8"/>
    </row>
    <row r="593" spans="1:46" x14ac:dyDescent="0.25">
      <c r="A593" t="s">
        <v>27</v>
      </c>
      <c r="B593" t="s">
        <v>247</v>
      </c>
      <c r="C593" t="s">
        <v>346</v>
      </c>
      <c r="D593" s="7">
        <v>95608</v>
      </c>
      <c r="E593">
        <v>7</v>
      </c>
      <c r="W593" t="s">
        <v>247</v>
      </c>
      <c r="X593" s="11" t="s">
        <v>346</v>
      </c>
      <c r="Y593" s="7">
        <v>95608</v>
      </c>
      <c r="Z593" s="11" t="str">
        <f t="shared" si="52"/>
        <v>2024-4</v>
      </c>
      <c r="AP593" s="8"/>
      <c r="AQ593" s="8"/>
      <c r="AR593" s="8"/>
      <c r="AT593" s="8"/>
    </row>
    <row r="594" spans="1:46" x14ac:dyDescent="0.25">
      <c r="A594" t="s">
        <v>5</v>
      </c>
      <c r="B594" t="s">
        <v>9</v>
      </c>
      <c r="C594" t="s">
        <v>346</v>
      </c>
      <c r="D594" s="7">
        <v>16824</v>
      </c>
      <c r="E594">
        <v>7</v>
      </c>
      <c r="W594" t="s">
        <v>9</v>
      </c>
      <c r="X594" s="11" t="s">
        <v>346</v>
      </c>
      <c r="Y594" s="7">
        <v>16824</v>
      </c>
      <c r="Z594" s="11" t="str">
        <f t="shared" si="52"/>
        <v>2024-4</v>
      </c>
      <c r="AP594" s="8"/>
      <c r="AQ594" s="8"/>
      <c r="AR594" s="8"/>
      <c r="AT594" s="8"/>
    </row>
    <row r="595" spans="1:46" x14ac:dyDescent="0.25">
      <c r="A595" t="s">
        <v>27</v>
      </c>
      <c r="B595" t="s">
        <v>256</v>
      </c>
      <c r="C595" t="s">
        <v>347</v>
      </c>
      <c r="D595" s="7">
        <v>94063</v>
      </c>
      <c r="E595">
        <v>6</v>
      </c>
      <c r="W595" t="s">
        <v>256</v>
      </c>
      <c r="X595" s="11" t="s">
        <v>347</v>
      </c>
      <c r="Y595" s="7">
        <v>94063</v>
      </c>
      <c r="Z595" s="11" t="str">
        <f t="shared" si="52"/>
        <v>2024-4</v>
      </c>
      <c r="AP595" s="8"/>
      <c r="AQ595" s="8"/>
      <c r="AR595" s="8"/>
      <c r="AT595" s="8"/>
    </row>
    <row r="596" spans="1:46" x14ac:dyDescent="0.25">
      <c r="A596" t="s">
        <v>17</v>
      </c>
      <c r="B596" t="s">
        <v>334</v>
      </c>
      <c r="C596" t="s">
        <v>347</v>
      </c>
      <c r="D596" s="7">
        <v>62961</v>
      </c>
      <c r="E596">
        <v>2</v>
      </c>
      <c r="W596" t="s">
        <v>334</v>
      </c>
      <c r="X596" s="11" t="s">
        <v>347</v>
      </c>
      <c r="Y596" s="7">
        <v>62961</v>
      </c>
      <c r="Z596" s="11" t="str">
        <f t="shared" si="52"/>
        <v>2024-4</v>
      </c>
      <c r="AP596" s="8"/>
      <c r="AQ596" s="8"/>
      <c r="AR596" s="8"/>
      <c r="AT596" s="8"/>
    </row>
    <row r="597" spans="1:46" x14ac:dyDescent="0.25">
      <c r="A597" t="s">
        <v>33</v>
      </c>
      <c r="B597" t="s">
        <v>182</v>
      </c>
      <c r="C597" t="s">
        <v>347</v>
      </c>
      <c r="D597" s="7">
        <v>20996</v>
      </c>
      <c r="E597">
        <v>4</v>
      </c>
      <c r="W597" t="s">
        <v>182</v>
      </c>
      <c r="X597" s="11" t="s">
        <v>347</v>
      </c>
      <c r="Y597" s="7">
        <v>20996</v>
      </c>
      <c r="Z597" s="11" t="str">
        <f t="shared" si="52"/>
        <v>2024-4</v>
      </c>
      <c r="AP597" s="8"/>
      <c r="AQ597" s="8"/>
      <c r="AR597" s="8"/>
      <c r="AT597" s="8"/>
    </row>
    <row r="598" spans="1:46" x14ac:dyDescent="0.25">
      <c r="A598" t="s">
        <v>10</v>
      </c>
      <c r="B598" t="s">
        <v>28</v>
      </c>
      <c r="C598" t="s">
        <v>348</v>
      </c>
      <c r="D598" s="7">
        <v>16280</v>
      </c>
      <c r="E598">
        <v>7</v>
      </c>
      <c r="W598" t="s">
        <v>28</v>
      </c>
      <c r="X598" s="11" t="s">
        <v>348</v>
      </c>
      <c r="Y598" s="7">
        <v>16280</v>
      </c>
      <c r="Z598" s="11" t="str">
        <f t="shared" si="52"/>
        <v>2024-4</v>
      </c>
      <c r="AP598" s="8"/>
      <c r="AQ598" s="8"/>
      <c r="AR598" s="8"/>
      <c r="AT598" s="8"/>
    </row>
    <row r="599" spans="1:46" x14ac:dyDescent="0.25">
      <c r="A599" t="s">
        <v>27</v>
      </c>
      <c r="B599" t="s">
        <v>202</v>
      </c>
      <c r="C599" t="s">
        <v>348</v>
      </c>
      <c r="D599" s="7">
        <v>37907</v>
      </c>
      <c r="E599">
        <v>7</v>
      </c>
      <c r="W599" t="s">
        <v>202</v>
      </c>
      <c r="X599" s="11" t="s">
        <v>348</v>
      </c>
      <c r="Y599" s="7">
        <v>37907</v>
      </c>
      <c r="Z599" s="11" t="str">
        <f t="shared" si="52"/>
        <v>2024-4</v>
      </c>
      <c r="AP599" s="8"/>
      <c r="AQ599" s="8"/>
      <c r="AR599" s="8"/>
      <c r="AT599" s="8"/>
    </row>
    <row r="600" spans="1:46" x14ac:dyDescent="0.25">
      <c r="A600" t="s">
        <v>14</v>
      </c>
      <c r="B600" t="s">
        <v>93</v>
      </c>
      <c r="C600" t="s">
        <v>348</v>
      </c>
      <c r="D600" s="7">
        <v>19616</v>
      </c>
      <c r="E600">
        <v>10</v>
      </c>
      <c r="W600" t="s">
        <v>93</v>
      </c>
      <c r="X600" s="11" t="s">
        <v>348</v>
      </c>
      <c r="Y600" s="7">
        <v>19616</v>
      </c>
      <c r="Z600" s="11" t="str">
        <f t="shared" si="52"/>
        <v>2024-4</v>
      </c>
      <c r="AP600" s="8"/>
      <c r="AQ600" s="8"/>
      <c r="AR600" s="8"/>
      <c r="AT600" s="8"/>
    </row>
    <row r="601" spans="1:46" x14ac:dyDescent="0.25">
      <c r="A601" t="s">
        <v>33</v>
      </c>
      <c r="B601" t="s">
        <v>161</v>
      </c>
      <c r="C601" t="s">
        <v>349</v>
      </c>
      <c r="D601" s="7">
        <v>91860</v>
      </c>
      <c r="E601">
        <v>7</v>
      </c>
      <c r="W601" t="s">
        <v>161</v>
      </c>
      <c r="X601" s="11" t="s">
        <v>349</v>
      </c>
      <c r="Y601" s="7">
        <v>91860</v>
      </c>
      <c r="Z601" s="11" t="str">
        <f t="shared" si="52"/>
        <v>2024-4</v>
      </c>
      <c r="AP601" s="8"/>
      <c r="AQ601" s="8"/>
      <c r="AR601" s="8"/>
      <c r="AT601" s="8"/>
    </row>
    <row r="602" spans="1:46" x14ac:dyDescent="0.25">
      <c r="A602" t="s">
        <v>12</v>
      </c>
      <c r="B602" t="s">
        <v>266</v>
      </c>
      <c r="C602" t="s">
        <v>349</v>
      </c>
      <c r="D602" s="7">
        <v>88348</v>
      </c>
      <c r="E602">
        <v>5</v>
      </c>
      <c r="W602" t="s">
        <v>266</v>
      </c>
      <c r="X602" s="11" t="s">
        <v>349</v>
      </c>
      <c r="Y602" s="7">
        <v>88348</v>
      </c>
      <c r="Z602" s="11" t="str">
        <f t="shared" si="52"/>
        <v>2024-4</v>
      </c>
      <c r="AP602" s="8"/>
      <c r="AQ602" s="8"/>
      <c r="AR602" s="8"/>
      <c r="AT602" s="8"/>
    </row>
    <row r="603" spans="1:46" x14ac:dyDescent="0.25">
      <c r="A603" t="s">
        <v>36</v>
      </c>
      <c r="B603" t="s">
        <v>127</v>
      </c>
      <c r="C603" t="s">
        <v>349</v>
      </c>
      <c r="D603" s="7">
        <v>52188</v>
      </c>
      <c r="E603">
        <v>9</v>
      </c>
      <c r="W603" t="s">
        <v>127</v>
      </c>
      <c r="X603" s="11" t="s">
        <v>349</v>
      </c>
      <c r="Y603" s="7">
        <v>52188</v>
      </c>
      <c r="Z603" s="11" t="str">
        <f t="shared" si="52"/>
        <v>2024-4</v>
      </c>
      <c r="AP603" s="8"/>
      <c r="AQ603" s="8"/>
      <c r="AR603" s="8"/>
      <c r="AT603" s="8"/>
    </row>
    <row r="604" spans="1:46" x14ac:dyDescent="0.25">
      <c r="A604" t="s">
        <v>23</v>
      </c>
      <c r="B604" t="s">
        <v>183</v>
      </c>
      <c r="C604" t="s">
        <v>349</v>
      </c>
      <c r="D604" s="7">
        <v>93133</v>
      </c>
      <c r="E604">
        <v>7</v>
      </c>
      <c r="W604" t="s">
        <v>183</v>
      </c>
      <c r="X604" s="11" t="s">
        <v>349</v>
      </c>
      <c r="Y604" s="7">
        <v>93133</v>
      </c>
      <c r="Z604" s="11" t="str">
        <f t="shared" si="52"/>
        <v>2024-4</v>
      </c>
      <c r="AP604" s="8"/>
      <c r="AQ604" s="8"/>
      <c r="AR604" s="8"/>
      <c r="AT604" s="8"/>
    </row>
    <row r="605" spans="1:46" x14ac:dyDescent="0.25">
      <c r="A605" t="s">
        <v>5</v>
      </c>
      <c r="B605" t="s">
        <v>245</v>
      </c>
      <c r="C605" t="s">
        <v>349</v>
      </c>
      <c r="D605" s="7">
        <v>31668</v>
      </c>
      <c r="E605">
        <v>8</v>
      </c>
      <c r="W605" t="s">
        <v>245</v>
      </c>
      <c r="X605" s="11" t="s">
        <v>349</v>
      </c>
      <c r="Y605" s="7">
        <v>31668</v>
      </c>
      <c r="Z605" s="11" t="str">
        <f t="shared" si="52"/>
        <v>2024-4</v>
      </c>
      <c r="AP605" s="8"/>
      <c r="AQ605" s="8"/>
      <c r="AR605" s="8"/>
      <c r="AT605" s="8"/>
    </row>
    <row r="606" spans="1:46" x14ac:dyDescent="0.25">
      <c r="A606" t="s">
        <v>5</v>
      </c>
      <c r="B606" t="s">
        <v>173</v>
      </c>
      <c r="C606" t="s">
        <v>349</v>
      </c>
      <c r="D606" s="7">
        <v>96736</v>
      </c>
      <c r="E606">
        <v>2</v>
      </c>
      <c r="W606" t="s">
        <v>173</v>
      </c>
      <c r="X606" s="11" t="s">
        <v>349</v>
      </c>
      <c r="Y606" s="7">
        <v>96736</v>
      </c>
      <c r="Z606" s="11" t="str">
        <f t="shared" si="52"/>
        <v>2024-4</v>
      </c>
      <c r="AP606" s="8"/>
      <c r="AQ606" s="8"/>
      <c r="AR606" s="8"/>
      <c r="AT606" s="8"/>
    </row>
    <row r="607" spans="1:46" x14ac:dyDescent="0.25">
      <c r="A607" t="s">
        <v>20</v>
      </c>
      <c r="B607" t="s">
        <v>77</v>
      </c>
      <c r="C607" t="s">
        <v>350</v>
      </c>
      <c r="D607" s="7">
        <v>41241</v>
      </c>
      <c r="E607">
        <v>5</v>
      </c>
      <c r="W607" t="s">
        <v>77</v>
      </c>
      <c r="X607" s="11" t="s">
        <v>350</v>
      </c>
      <c r="Y607" s="7">
        <v>41241</v>
      </c>
      <c r="Z607" s="11" t="str">
        <f t="shared" si="52"/>
        <v>2024-4</v>
      </c>
      <c r="AP607" s="8"/>
      <c r="AQ607" s="8"/>
      <c r="AR607" s="8"/>
      <c r="AT607" s="8"/>
    </row>
    <row r="608" spans="1:46" x14ac:dyDescent="0.25">
      <c r="A608" t="s">
        <v>10</v>
      </c>
      <c r="B608" t="s">
        <v>238</v>
      </c>
      <c r="C608" t="s">
        <v>351</v>
      </c>
      <c r="D608" s="7">
        <v>91332</v>
      </c>
      <c r="E608">
        <v>4</v>
      </c>
      <c r="W608" t="s">
        <v>238</v>
      </c>
      <c r="X608" s="11" t="s">
        <v>351</v>
      </c>
      <c r="Y608" s="7">
        <v>91332</v>
      </c>
      <c r="Z608" s="11" t="str">
        <f t="shared" si="52"/>
        <v>2024-4</v>
      </c>
      <c r="AP608" s="8"/>
      <c r="AQ608" s="8"/>
      <c r="AR608" s="8"/>
      <c r="AT608" s="8"/>
    </row>
    <row r="609" spans="1:46" x14ac:dyDescent="0.25">
      <c r="A609" t="s">
        <v>27</v>
      </c>
      <c r="B609" t="s">
        <v>352</v>
      </c>
      <c r="C609" t="s">
        <v>351</v>
      </c>
      <c r="D609" s="7">
        <v>62932</v>
      </c>
      <c r="E609">
        <v>9</v>
      </c>
      <c r="W609" t="s">
        <v>352</v>
      </c>
      <c r="X609" s="11" t="s">
        <v>351</v>
      </c>
      <c r="Y609" s="7">
        <v>62932</v>
      </c>
      <c r="Z609" s="11" t="str">
        <f t="shared" si="52"/>
        <v>2024-4</v>
      </c>
      <c r="AP609" s="8"/>
      <c r="AQ609" s="8"/>
      <c r="AR609" s="8"/>
      <c r="AT609" s="8"/>
    </row>
    <row r="610" spans="1:46" x14ac:dyDescent="0.25">
      <c r="A610" t="s">
        <v>10</v>
      </c>
      <c r="B610" t="s">
        <v>55</v>
      </c>
      <c r="C610" t="s">
        <v>351</v>
      </c>
      <c r="D610" s="7">
        <v>11451</v>
      </c>
      <c r="E610">
        <v>8</v>
      </c>
      <c r="W610" t="s">
        <v>55</v>
      </c>
      <c r="X610" s="11" t="s">
        <v>351</v>
      </c>
      <c r="Y610" s="7">
        <v>11451</v>
      </c>
      <c r="Z610" s="11" t="str">
        <f t="shared" si="52"/>
        <v>2024-4</v>
      </c>
      <c r="AP610" s="8"/>
      <c r="AQ610" s="8"/>
      <c r="AR610" s="8"/>
      <c r="AT610" s="8"/>
    </row>
    <row r="611" spans="1:46" x14ac:dyDescent="0.25">
      <c r="A611" t="s">
        <v>23</v>
      </c>
      <c r="B611" t="s">
        <v>180</v>
      </c>
      <c r="C611" t="s">
        <v>351</v>
      </c>
      <c r="D611" s="7">
        <v>91271</v>
      </c>
      <c r="E611">
        <v>2</v>
      </c>
      <c r="W611" t="s">
        <v>180</v>
      </c>
      <c r="X611" s="11" t="s">
        <v>351</v>
      </c>
      <c r="Y611" s="7">
        <v>91271</v>
      </c>
      <c r="Z611" s="11" t="str">
        <f t="shared" si="52"/>
        <v>2024-4</v>
      </c>
      <c r="AP611" s="8"/>
      <c r="AQ611" s="8"/>
      <c r="AR611" s="8"/>
      <c r="AT611" s="8"/>
    </row>
    <row r="612" spans="1:46" x14ac:dyDescent="0.25">
      <c r="A612" t="s">
        <v>36</v>
      </c>
      <c r="B612" t="s">
        <v>46</v>
      </c>
      <c r="C612" t="s">
        <v>351</v>
      </c>
      <c r="D612" s="7">
        <v>17134</v>
      </c>
      <c r="E612">
        <v>8</v>
      </c>
      <c r="W612" t="s">
        <v>46</v>
      </c>
      <c r="X612" s="11" t="s">
        <v>351</v>
      </c>
      <c r="Y612" s="7">
        <v>17134</v>
      </c>
      <c r="Z612" s="11" t="str">
        <f t="shared" si="52"/>
        <v>2024-4</v>
      </c>
      <c r="AP612" s="8"/>
      <c r="AQ612" s="8"/>
      <c r="AR612" s="8"/>
      <c r="AT612" s="8"/>
    </row>
    <row r="613" spans="1:46" x14ac:dyDescent="0.25">
      <c r="A613" t="s">
        <v>14</v>
      </c>
      <c r="B613" t="s">
        <v>307</v>
      </c>
      <c r="C613" t="s">
        <v>351</v>
      </c>
      <c r="D613" s="7">
        <v>32028</v>
      </c>
      <c r="E613">
        <v>3</v>
      </c>
      <c r="W613" t="s">
        <v>307</v>
      </c>
      <c r="X613" s="11" t="s">
        <v>351</v>
      </c>
      <c r="Y613" s="7">
        <v>32028</v>
      </c>
      <c r="Z613" s="11" t="str">
        <f t="shared" si="52"/>
        <v>2024-4</v>
      </c>
      <c r="AP613" s="8"/>
      <c r="AQ613" s="8"/>
      <c r="AR613" s="8"/>
      <c r="AT613" s="8"/>
    </row>
    <row r="614" spans="1:46" x14ac:dyDescent="0.25">
      <c r="A614" t="s">
        <v>14</v>
      </c>
      <c r="B614" t="s">
        <v>274</v>
      </c>
      <c r="C614" t="s">
        <v>351</v>
      </c>
      <c r="D614" s="7">
        <v>10897</v>
      </c>
      <c r="E614">
        <v>10</v>
      </c>
      <c r="W614" t="s">
        <v>274</v>
      </c>
      <c r="X614" s="11" t="s">
        <v>351</v>
      </c>
      <c r="Y614" s="7">
        <v>10897</v>
      </c>
      <c r="Z614" s="11" t="str">
        <f t="shared" si="52"/>
        <v>2024-4</v>
      </c>
      <c r="AP614" s="8"/>
      <c r="AQ614" s="8"/>
      <c r="AR614" s="8"/>
      <c r="AT614" s="8"/>
    </row>
    <row r="615" spans="1:46" x14ac:dyDescent="0.25">
      <c r="A615" t="s">
        <v>14</v>
      </c>
      <c r="B615" t="s">
        <v>195</v>
      </c>
      <c r="C615" t="s">
        <v>351</v>
      </c>
      <c r="D615" s="7">
        <v>58740</v>
      </c>
      <c r="E615">
        <v>10</v>
      </c>
      <c r="W615" t="s">
        <v>195</v>
      </c>
      <c r="X615" s="11" t="s">
        <v>351</v>
      </c>
      <c r="Y615" s="7">
        <v>58740</v>
      </c>
      <c r="Z615" s="11" t="str">
        <f t="shared" si="52"/>
        <v>2024-4</v>
      </c>
      <c r="AP615" s="8"/>
      <c r="AQ615" s="8"/>
      <c r="AR615" s="8"/>
      <c r="AT615" s="8"/>
    </row>
    <row r="616" spans="1:46" x14ac:dyDescent="0.25">
      <c r="A616" t="s">
        <v>10</v>
      </c>
      <c r="B616" t="s">
        <v>173</v>
      </c>
      <c r="C616" t="s">
        <v>351</v>
      </c>
      <c r="D616" s="7">
        <v>79448</v>
      </c>
      <c r="E616">
        <v>5</v>
      </c>
      <c r="W616" t="s">
        <v>173</v>
      </c>
      <c r="X616" s="11" t="s">
        <v>351</v>
      </c>
      <c r="Y616" s="7">
        <v>79448</v>
      </c>
      <c r="Z616" s="11" t="str">
        <f t="shared" si="52"/>
        <v>2024-4</v>
      </c>
      <c r="AP616" s="8"/>
      <c r="AQ616" s="8"/>
      <c r="AR616" s="8"/>
      <c r="AT616" s="8"/>
    </row>
    <row r="617" spans="1:46" x14ac:dyDescent="0.25">
      <c r="A617" t="s">
        <v>5</v>
      </c>
      <c r="B617" t="s">
        <v>259</v>
      </c>
      <c r="C617" t="s">
        <v>351</v>
      </c>
      <c r="D617" s="7">
        <v>12384</v>
      </c>
      <c r="E617">
        <v>6</v>
      </c>
      <c r="W617" t="s">
        <v>259</v>
      </c>
      <c r="X617" s="11" t="s">
        <v>351</v>
      </c>
      <c r="Y617" s="7">
        <v>12384</v>
      </c>
      <c r="Z617" s="11" t="str">
        <f t="shared" si="52"/>
        <v>2024-4</v>
      </c>
      <c r="AP617" s="8"/>
      <c r="AQ617" s="8"/>
      <c r="AR617" s="8"/>
      <c r="AT617" s="8"/>
    </row>
    <row r="618" spans="1:46" x14ac:dyDescent="0.25">
      <c r="A618" t="s">
        <v>12</v>
      </c>
      <c r="B618" t="s">
        <v>44</v>
      </c>
      <c r="C618" t="s">
        <v>351</v>
      </c>
      <c r="D618" s="7">
        <v>98190</v>
      </c>
      <c r="E618">
        <v>9</v>
      </c>
      <c r="W618" t="s">
        <v>44</v>
      </c>
      <c r="X618" s="11" t="s">
        <v>351</v>
      </c>
      <c r="Y618" s="7">
        <v>98190</v>
      </c>
      <c r="Z618" s="11" t="str">
        <f t="shared" si="52"/>
        <v>2024-4</v>
      </c>
      <c r="AP618" s="8"/>
      <c r="AQ618" s="8"/>
      <c r="AR618" s="8"/>
      <c r="AT618" s="8"/>
    </row>
    <row r="619" spans="1:46" x14ac:dyDescent="0.25">
      <c r="A619" t="s">
        <v>5</v>
      </c>
      <c r="B619" t="s">
        <v>68</v>
      </c>
      <c r="C619" t="s">
        <v>351</v>
      </c>
      <c r="D619" s="7">
        <v>39300</v>
      </c>
      <c r="E619">
        <v>7</v>
      </c>
      <c r="W619" t="s">
        <v>68</v>
      </c>
      <c r="X619" s="11" t="s">
        <v>351</v>
      </c>
      <c r="Y619" s="7">
        <v>39300</v>
      </c>
      <c r="Z619" s="11" t="str">
        <f t="shared" si="52"/>
        <v>2024-4</v>
      </c>
      <c r="AP619" s="8"/>
      <c r="AQ619" s="8"/>
      <c r="AR619" s="8"/>
      <c r="AT619" s="8"/>
    </row>
    <row r="620" spans="1:46" x14ac:dyDescent="0.25">
      <c r="A620" t="s">
        <v>14</v>
      </c>
      <c r="B620" t="s">
        <v>316</v>
      </c>
      <c r="C620" t="s">
        <v>351</v>
      </c>
      <c r="D620" s="7">
        <v>11097</v>
      </c>
      <c r="E620">
        <v>8</v>
      </c>
      <c r="W620" t="s">
        <v>316</v>
      </c>
      <c r="X620" s="11" t="s">
        <v>351</v>
      </c>
      <c r="Y620" s="7">
        <v>11097</v>
      </c>
      <c r="Z620" s="11" t="str">
        <f t="shared" si="52"/>
        <v>2024-4</v>
      </c>
      <c r="AP620" s="8"/>
      <c r="AQ620" s="8"/>
      <c r="AR620" s="8"/>
      <c r="AT620" s="8"/>
    </row>
    <row r="621" spans="1:46" x14ac:dyDescent="0.25">
      <c r="A621" t="s">
        <v>12</v>
      </c>
      <c r="B621" t="s">
        <v>169</v>
      </c>
      <c r="C621" t="s">
        <v>353</v>
      </c>
      <c r="D621" s="7">
        <v>53064</v>
      </c>
      <c r="E621">
        <v>7</v>
      </c>
      <c r="W621" t="s">
        <v>169</v>
      </c>
      <c r="X621" s="11" t="s">
        <v>353</v>
      </c>
      <c r="Y621" s="7">
        <v>53064</v>
      </c>
      <c r="Z621" s="11" t="str">
        <f t="shared" si="52"/>
        <v>2024-4</v>
      </c>
      <c r="AP621" s="8"/>
      <c r="AQ621" s="8"/>
      <c r="AR621" s="8"/>
      <c r="AT621" s="8"/>
    </row>
    <row r="622" spans="1:46" x14ac:dyDescent="0.25">
      <c r="A622" t="s">
        <v>5</v>
      </c>
      <c r="B622" t="s">
        <v>161</v>
      </c>
      <c r="C622" t="s">
        <v>354</v>
      </c>
      <c r="D622" s="7">
        <v>58843</v>
      </c>
      <c r="E622">
        <v>9</v>
      </c>
      <c r="W622" t="s">
        <v>161</v>
      </c>
      <c r="X622" s="11" t="s">
        <v>354</v>
      </c>
      <c r="Y622" s="7">
        <v>58843</v>
      </c>
      <c r="Z622" s="11" t="str">
        <f t="shared" si="52"/>
        <v>2024-4</v>
      </c>
      <c r="AP622" s="8"/>
      <c r="AQ622" s="8"/>
      <c r="AR622" s="8"/>
      <c r="AT622" s="8"/>
    </row>
    <row r="623" spans="1:46" x14ac:dyDescent="0.25">
      <c r="A623" t="s">
        <v>33</v>
      </c>
      <c r="B623" t="s">
        <v>195</v>
      </c>
      <c r="C623" t="s">
        <v>354</v>
      </c>
      <c r="D623" s="7">
        <v>63067</v>
      </c>
      <c r="E623">
        <v>7</v>
      </c>
      <c r="W623" t="s">
        <v>195</v>
      </c>
      <c r="X623" s="11" t="s">
        <v>354</v>
      </c>
      <c r="Y623" s="7">
        <v>63067</v>
      </c>
      <c r="Z623" s="11" t="str">
        <f t="shared" si="52"/>
        <v>2024-4</v>
      </c>
      <c r="AP623" s="8"/>
      <c r="AQ623" s="8"/>
      <c r="AR623" s="8"/>
      <c r="AT623" s="8"/>
    </row>
    <row r="624" spans="1:46" x14ac:dyDescent="0.25">
      <c r="A624" t="s">
        <v>32</v>
      </c>
      <c r="B624" t="s">
        <v>85</v>
      </c>
      <c r="C624" t="s">
        <v>355</v>
      </c>
      <c r="D624" s="7">
        <v>27512</v>
      </c>
      <c r="E624">
        <v>7</v>
      </c>
      <c r="W624" t="s">
        <v>85</v>
      </c>
      <c r="X624" s="11" t="s">
        <v>355</v>
      </c>
      <c r="Y624" s="7">
        <v>27512</v>
      </c>
      <c r="Z624" s="11" t="str">
        <f t="shared" si="52"/>
        <v>2024-4</v>
      </c>
      <c r="AP624" s="8"/>
      <c r="AQ624" s="8"/>
      <c r="AR624" s="8"/>
      <c r="AT624" s="8"/>
    </row>
    <row r="625" spans="1:46" x14ac:dyDescent="0.25">
      <c r="A625" t="s">
        <v>36</v>
      </c>
      <c r="B625" t="s">
        <v>215</v>
      </c>
      <c r="C625" t="s">
        <v>355</v>
      </c>
      <c r="D625" s="7">
        <v>91977</v>
      </c>
      <c r="E625">
        <v>5</v>
      </c>
      <c r="W625" t="s">
        <v>215</v>
      </c>
      <c r="X625" s="11" t="s">
        <v>355</v>
      </c>
      <c r="Y625" s="7">
        <v>91977</v>
      </c>
      <c r="Z625" s="11" t="str">
        <f t="shared" si="52"/>
        <v>2024-4</v>
      </c>
      <c r="AP625" s="8"/>
      <c r="AQ625" s="8"/>
      <c r="AR625" s="8"/>
      <c r="AT625" s="8"/>
    </row>
    <row r="626" spans="1:46" x14ac:dyDescent="0.25">
      <c r="A626" t="s">
        <v>36</v>
      </c>
      <c r="B626" t="s">
        <v>255</v>
      </c>
      <c r="C626" t="s">
        <v>356</v>
      </c>
      <c r="D626" s="7">
        <v>38600</v>
      </c>
      <c r="E626">
        <v>1</v>
      </c>
      <c r="W626" t="s">
        <v>255</v>
      </c>
      <c r="X626" s="11" t="s">
        <v>356</v>
      </c>
      <c r="Y626" s="7">
        <v>38600</v>
      </c>
      <c r="Z626" s="11" t="str">
        <f t="shared" si="52"/>
        <v>2024-4</v>
      </c>
      <c r="AP626" s="8"/>
      <c r="AQ626" s="8"/>
      <c r="AR626" s="8"/>
      <c r="AT626" s="8"/>
    </row>
    <row r="627" spans="1:46" x14ac:dyDescent="0.25">
      <c r="A627" t="s">
        <v>8</v>
      </c>
      <c r="B627" t="s">
        <v>55</v>
      </c>
      <c r="C627" t="s">
        <v>357</v>
      </c>
      <c r="D627" s="7">
        <v>78262</v>
      </c>
      <c r="E627">
        <v>8</v>
      </c>
      <c r="W627" t="s">
        <v>55</v>
      </c>
      <c r="X627" s="11" t="s">
        <v>357</v>
      </c>
      <c r="Y627" s="7">
        <v>78262</v>
      </c>
      <c r="Z627" s="11" t="str">
        <f t="shared" si="52"/>
        <v>2024-4</v>
      </c>
      <c r="AP627" s="8"/>
      <c r="AQ627" s="8"/>
      <c r="AR627" s="8"/>
      <c r="AT627" s="8"/>
    </row>
    <row r="628" spans="1:46" x14ac:dyDescent="0.25">
      <c r="A628" t="s">
        <v>14</v>
      </c>
      <c r="B628" t="s">
        <v>98</v>
      </c>
      <c r="C628" t="s">
        <v>357</v>
      </c>
      <c r="D628" s="7">
        <v>60421</v>
      </c>
      <c r="E628">
        <v>3</v>
      </c>
      <c r="W628" t="s">
        <v>98</v>
      </c>
      <c r="X628" s="11" t="s">
        <v>357</v>
      </c>
      <c r="Y628" s="7">
        <v>60421</v>
      </c>
      <c r="Z628" s="11" t="str">
        <f t="shared" si="52"/>
        <v>2024-4</v>
      </c>
      <c r="AP628" s="8"/>
      <c r="AQ628" s="8"/>
      <c r="AR628" s="8"/>
      <c r="AT628" s="8"/>
    </row>
    <row r="629" spans="1:46" x14ac:dyDescent="0.25">
      <c r="A629" t="s">
        <v>32</v>
      </c>
      <c r="B629" t="s">
        <v>76</v>
      </c>
      <c r="C629" t="s">
        <v>357</v>
      </c>
      <c r="D629" s="7">
        <v>30781</v>
      </c>
      <c r="E629">
        <v>8</v>
      </c>
      <c r="W629" t="s">
        <v>76</v>
      </c>
      <c r="X629" s="11" t="s">
        <v>357</v>
      </c>
      <c r="Y629" s="7">
        <v>30781</v>
      </c>
      <c r="Z629" s="11" t="str">
        <f t="shared" si="52"/>
        <v>2024-4</v>
      </c>
      <c r="AP629" s="8"/>
      <c r="AQ629" s="8"/>
      <c r="AR629" s="8"/>
      <c r="AT629" s="8"/>
    </row>
    <row r="630" spans="1:46" x14ac:dyDescent="0.25">
      <c r="A630" t="s">
        <v>14</v>
      </c>
      <c r="B630" t="s">
        <v>48</v>
      </c>
      <c r="C630" t="s">
        <v>357</v>
      </c>
      <c r="D630" s="7">
        <v>29022</v>
      </c>
      <c r="E630">
        <v>9</v>
      </c>
      <c r="W630" t="s">
        <v>48</v>
      </c>
      <c r="X630" s="11" t="s">
        <v>357</v>
      </c>
      <c r="Y630" s="7">
        <v>29022</v>
      </c>
      <c r="Z630" s="11" t="str">
        <f t="shared" si="52"/>
        <v>2024-4</v>
      </c>
      <c r="AP630" s="8"/>
      <c r="AQ630" s="8"/>
      <c r="AR630" s="8"/>
      <c r="AT630" s="8"/>
    </row>
    <row r="631" spans="1:46" x14ac:dyDescent="0.25">
      <c r="A631" t="s">
        <v>10</v>
      </c>
      <c r="B631" t="s">
        <v>158</v>
      </c>
      <c r="C631" t="s">
        <v>357</v>
      </c>
      <c r="D631" s="7">
        <v>16267</v>
      </c>
      <c r="E631">
        <v>7</v>
      </c>
      <c r="W631" t="s">
        <v>158</v>
      </c>
      <c r="X631" s="11" t="s">
        <v>357</v>
      </c>
      <c r="Y631" s="7">
        <v>16267</v>
      </c>
      <c r="Z631" s="11" t="str">
        <f t="shared" si="52"/>
        <v>2024-4</v>
      </c>
      <c r="AP631" s="8"/>
      <c r="AQ631" s="8"/>
      <c r="AR631" s="8"/>
      <c r="AT631" s="8"/>
    </row>
    <row r="632" spans="1:46" x14ac:dyDescent="0.25">
      <c r="A632" t="s">
        <v>20</v>
      </c>
      <c r="B632" t="s">
        <v>188</v>
      </c>
      <c r="C632" t="s">
        <v>357</v>
      </c>
      <c r="D632" s="7">
        <v>86335</v>
      </c>
      <c r="E632">
        <v>9</v>
      </c>
      <c r="W632" t="s">
        <v>188</v>
      </c>
      <c r="X632" s="11" t="s">
        <v>357</v>
      </c>
      <c r="Y632" s="7">
        <v>86335</v>
      </c>
      <c r="Z632" s="11" t="str">
        <f t="shared" si="52"/>
        <v>2024-4</v>
      </c>
      <c r="AP632" s="8"/>
      <c r="AQ632" s="8"/>
      <c r="AR632" s="8"/>
      <c r="AT632" s="8"/>
    </row>
    <row r="633" spans="1:46" x14ac:dyDescent="0.25">
      <c r="A633" t="s">
        <v>27</v>
      </c>
      <c r="B633" t="s">
        <v>116</v>
      </c>
      <c r="C633" t="s">
        <v>358</v>
      </c>
      <c r="D633" s="7">
        <v>85187</v>
      </c>
      <c r="E633">
        <v>8</v>
      </c>
      <c r="W633" t="s">
        <v>116</v>
      </c>
      <c r="X633" s="11" t="s">
        <v>358</v>
      </c>
      <c r="Y633" s="7">
        <v>85187</v>
      </c>
      <c r="Z633" s="11" t="str">
        <f t="shared" si="52"/>
        <v>2024-4</v>
      </c>
      <c r="AP633" s="8"/>
      <c r="AQ633" s="8"/>
      <c r="AR633" s="8"/>
      <c r="AT633" s="8"/>
    </row>
    <row r="634" spans="1:46" x14ac:dyDescent="0.25">
      <c r="A634" t="s">
        <v>20</v>
      </c>
      <c r="B634" t="s">
        <v>307</v>
      </c>
      <c r="C634" t="s">
        <v>358</v>
      </c>
      <c r="D634" s="7">
        <v>21702</v>
      </c>
      <c r="E634">
        <v>7</v>
      </c>
      <c r="W634" t="s">
        <v>307</v>
      </c>
      <c r="X634" s="11" t="s">
        <v>358</v>
      </c>
      <c r="Y634" s="7">
        <v>21702</v>
      </c>
      <c r="Z634" s="11" t="str">
        <f t="shared" si="52"/>
        <v>2024-4</v>
      </c>
      <c r="AP634" s="8"/>
      <c r="AQ634" s="8"/>
      <c r="AR634" s="8"/>
      <c r="AT634" s="8"/>
    </row>
    <row r="635" spans="1:46" x14ac:dyDescent="0.25">
      <c r="A635" t="s">
        <v>23</v>
      </c>
      <c r="B635" t="s">
        <v>52</v>
      </c>
      <c r="C635" t="s">
        <v>358</v>
      </c>
      <c r="D635" s="7">
        <v>66415</v>
      </c>
      <c r="E635">
        <v>5</v>
      </c>
      <c r="W635" t="s">
        <v>52</v>
      </c>
      <c r="X635" s="11" t="s">
        <v>358</v>
      </c>
      <c r="Y635" s="7">
        <v>66415</v>
      </c>
      <c r="Z635" s="11" t="str">
        <f t="shared" si="52"/>
        <v>2024-4</v>
      </c>
      <c r="AP635" s="8"/>
      <c r="AQ635" s="8"/>
      <c r="AR635" s="8"/>
      <c r="AT635" s="8"/>
    </row>
    <row r="636" spans="1:46" x14ac:dyDescent="0.25">
      <c r="A636" t="s">
        <v>27</v>
      </c>
      <c r="B636" t="s">
        <v>119</v>
      </c>
      <c r="C636" t="s">
        <v>358</v>
      </c>
      <c r="D636" s="7">
        <v>55740</v>
      </c>
      <c r="E636">
        <v>9</v>
      </c>
      <c r="W636" t="s">
        <v>119</v>
      </c>
      <c r="X636" s="11" t="s">
        <v>358</v>
      </c>
      <c r="Y636" s="7">
        <v>55740</v>
      </c>
      <c r="Z636" s="11" t="str">
        <f t="shared" si="52"/>
        <v>2024-4</v>
      </c>
      <c r="AP636" s="8"/>
      <c r="AQ636" s="8"/>
      <c r="AR636" s="8"/>
      <c r="AT636" s="8"/>
    </row>
    <row r="637" spans="1:46" x14ac:dyDescent="0.25">
      <c r="A637" t="s">
        <v>23</v>
      </c>
      <c r="B637" t="s">
        <v>161</v>
      </c>
      <c r="C637" t="s">
        <v>359</v>
      </c>
      <c r="D637" s="7">
        <v>67475</v>
      </c>
      <c r="E637">
        <v>6</v>
      </c>
      <c r="W637" t="s">
        <v>161</v>
      </c>
      <c r="X637" s="11" t="s">
        <v>359</v>
      </c>
      <c r="Y637" s="7">
        <v>67475</v>
      </c>
      <c r="Z637" s="11" t="str">
        <f t="shared" si="52"/>
        <v>2024-4</v>
      </c>
      <c r="AP637" s="8"/>
      <c r="AQ637" s="8"/>
      <c r="AR637" s="8"/>
      <c r="AT637" s="8"/>
    </row>
    <row r="638" spans="1:46" x14ac:dyDescent="0.25">
      <c r="A638" t="s">
        <v>10</v>
      </c>
      <c r="B638" t="s">
        <v>247</v>
      </c>
      <c r="C638" t="s">
        <v>359</v>
      </c>
      <c r="D638" s="7">
        <v>45445</v>
      </c>
      <c r="E638">
        <v>6</v>
      </c>
      <c r="W638" t="s">
        <v>247</v>
      </c>
      <c r="X638" s="11" t="s">
        <v>359</v>
      </c>
      <c r="Y638" s="7">
        <v>45445</v>
      </c>
      <c r="Z638" s="11" t="str">
        <f t="shared" si="52"/>
        <v>2024-4</v>
      </c>
      <c r="AP638" s="8"/>
      <c r="AQ638" s="8"/>
      <c r="AR638" s="8"/>
      <c r="AT638" s="8"/>
    </row>
    <row r="639" spans="1:46" x14ac:dyDescent="0.25">
      <c r="A639" t="s">
        <v>27</v>
      </c>
      <c r="B639" t="s">
        <v>177</v>
      </c>
      <c r="C639" t="s">
        <v>359</v>
      </c>
      <c r="D639" s="7">
        <v>94037</v>
      </c>
      <c r="E639">
        <v>9</v>
      </c>
      <c r="W639" t="s">
        <v>177</v>
      </c>
      <c r="X639" s="11" t="s">
        <v>359</v>
      </c>
      <c r="Y639" s="7">
        <v>94037</v>
      </c>
      <c r="Z639" s="11" t="str">
        <f t="shared" si="52"/>
        <v>2024-4</v>
      </c>
      <c r="AP639" s="8"/>
      <c r="AQ639" s="8"/>
      <c r="AR639" s="8"/>
      <c r="AT639" s="8"/>
    </row>
    <row r="640" spans="1:46" x14ac:dyDescent="0.25">
      <c r="A640" t="s">
        <v>17</v>
      </c>
      <c r="B640" t="s">
        <v>90</v>
      </c>
      <c r="C640" t="s">
        <v>360</v>
      </c>
      <c r="D640" s="7">
        <v>84086</v>
      </c>
      <c r="E640">
        <v>6</v>
      </c>
      <c r="W640" t="s">
        <v>90</v>
      </c>
      <c r="X640" s="11" t="s">
        <v>360</v>
      </c>
      <c r="Y640" s="7">
        <v>84086</v>
      </c>
      <c r="Z640" s="11" t="str">
        <f t="shared" si="52"/>
        <v>2024-4</v>
      </c>
      <c r="AP640" s="8"/>
      <c r="AQ640" s="8"/>
      <c r="AR640" s="8"/>
      <c r="AT640" s="8"/>
    </row>
    <row r="641" spans="1:46" x14ac:dyDescent="0.25">
      <c r="A641" t="s">
        <v>12</v>
      </c>
      <c r="B641" t="s">
        <v>61</v>
      </c>
      <c r="C641" t="s">
        <v>360</v>
      </c>
      <c r="D641" s="7">
        <v>59806</v>
      </c>
      <c r="E641">
        <v>5</v>
      </c>
      <c r="W641" t="s">
        <v>61</v>
      </c>
      <c r="X641" s="11" t="s">
        <v>360</v>
      </c>
      <c r="Y641" s="7">
        <v>59806</v>
      </c>
      <c r="Z641" s="11" t="str">
        <f t="shared" si="52"/>
        <v>2024-4</v>
      </c>
      <c r="AP641" s="8"/>
      <c r="AQ641" s="8"/>
      <c r="AR641" s="8"/>
      <c r="AT641" s="8"/>
    </row>
    <row r="642" spans="1:46" x14ac:dyDescent="0.25">
      <c r="A642" t="s">
        <v>27</v>
      </c>
      <c r="B642" t="s">
        <v>19</v>
      </c>
      <c r="C642" t="s">
        <v>360</v>
      </c>
      <c r="D642" s="7">
        <v>34246</v>
      </c>
      <c r="E642">
        <v>0</v>
      </c>
      <c r="W642" t="s">
        <v>19</v>
      </c>
      <c r="X642" s="11" t="s">
        <v>360</v>
      </c>
      <c r="Y642" s="7">
        <v>34246</v>
      </c>
      <c r="Z642" s="11" t="str">
        <f t="shared" si="52"/>
        <v>2024-4</v>
      </c>
      <c r="AP642" s="8"/>
      <c r="AQ642" s="8"/>
      <c r="AR642" s="8"/>
      <c r="AT642" s="8"/>
    </row>
    <row r="643" spans="1:46" x14ac:dyDescent="0.25">
      <c r="A643" t="s">
        <v>5</v>
      </c>
      <c r="B643" t="s">
        <v>341</v>
      </c>
      <c r="C643" t="s">
        <v>360</v>
      </c>
      <c r="D643" s="7">
        <v>16612</v>
      </c>
      <c r="E643">
        <v>8</v>
      </c>
      <c r="W643" t="s">
        <v>341</v>
      </c>
      <c r="X643" s="11" t="s">
        <v>360</v>
      </c>
      <c r="Y643" s="7">
        <v>16612</v>
      </c>
      <c r="Z643" s="11" t="str">
        <f t="shared" ref="Z643:Z706" si="53">MID(X643,1,4)&amp;"-"&amp;IF(MID(X643,6,1)*1=0,MID(X643,7,1),MID(X643,6,2))</f>
        <v>2024-4</v>
      </c>
      <c r="AP643" s="8"/>
      <c r="AQ643" s="8"/>
      <c r="AR643" s="8"/>
      <c r="AT643" s="8"/>
    </row>
    <row r="644" spans="1:46" x14ac:dyDescent="0.25">
      <c r="A644" t="s">
        <v>17</v>
      </c>
      <c r="B644" t="s">
        <v>132</v>
      </c>
      <c r="C644" t="s">
        <v>360</v>
      </c>
      <c r="D644" s="7">
        <v>59753</v>
      </c>
      <c r="E644">
        <v>7</v>
      </c>
      <c r="W644" t="s">
        <v>132</v>
      </c>
      <c r="X644" s="11" t="s">
        <v>360</v>
      </c>
      <c r="Y644" s="7">
        <v>59753</v>
      </c>
      <c r="Z644" s="11" t="str">
        <f t="shared" si="53"/>
        <v>2024-4</v>
      </c>
      <c r="AP644" s="8"/>
      <c r="AQ644" s="8"/>
      <c r="AR644" s="8"/>
      <c r="AT644" s="8"/>
    </row>
    <row r="645" spans="1:46" x14ac:dyDescent="0.25">
      <c r="A645" t="s">
        <v>10</v>
      </c>
      <c r="B645" t="s">
        <v>58</v>
      </c>
      <c r="C645" t="s">
        <v>360</v>
      </c>
      <c r="D645" s="7">
        <v>81789</v>
      </c>
      <c r="E645">
        <v>4</v>
      </c>
      <c r="W645" t="s">
        <v>58</v>
      </c>
      <c r="X645" s="11" t="s">
        <v>360</v>
      </c>
      <c r="Y645" s="7">
        <v>81789</v>
      </c>
      <c r="Z645" s="11" t="str">
        <f t="shared" si="53"/>
        <v>2024-4</v>
      </c>
      <c r="AP645" s="8"/>
      <c r="AQ645" s="8"/>
      <c r="AR645" s="8"/>
      <c r="AT645" s="8"/>
    </row>
    <row r="646" spans="1:46" x14ac:dyDescent="0.25">
      <c r="A646" t="s">
        <v>20</v>
      </c>
      <c r="B646" t="s">
        <v>186</v>
      </c>
      <c r="C646" t="s">
        <v>360</v>
      </c>
      <c r="D646" s="7">
        <v>90177</v>
      </c>
      <c r="E646">
        <v>6</v>
      </c>
      <c r="W646" t="s">
        <v>186</v>
      </c>
      <c r="X646" s="11" t="s">
        <v>360</v>
      </c>
      <c r="Y646" s="7">
        <v>90177</v>
      </c>
      <c r="Z646" s="11" t="str">
        <f t="shared" si="53"/>
        <v>2024-4</v>
      </c>
      <c r="AP646" s="8"/>
      <c r="AQ646" s="8"/>
      <c r="AR646" s="8"/>
      <c r="AT646" s="8"/>
    </row>
    <row r="647" spans="1:46" x14ac:dyDescent="0.25">
      <c r="A647" t="s">
        <v>12</v>
      </c>
      <c r="B647" t="s">
        <v>274</v>
      </c>
      <c r="C647" t="s">
        <v>360</v>
      </c>
      <c r="D647" s="7">
        <v>45552</v>
      </c>
      <c r="E647">
        <v>4</v>
      </c>
      <c r="W647" t="s">
        <v>274</v>
      </c>
      <c r="X647" s="11" t="s">
        <v>360</v>
      </c>
      <c r="Y647" s="7">
        <v>45552</v>
      </c>
      <c r="Z647" s="11" t="str">
        <f t="shared" si="53"/>
        <v>2024-4</v>
      </c>
      <c r="AP647" s="8"/>
      <c r="AQ647" s="8"/>
      <c r="AR647" s="8"/>
      <c r="AT647" s="8"/>
    </row>
    <row r="648" spans="1:46" x14ac:dyDescent="0.25">
      <c r="A648" t="s">
        <v>36</v>
      </c>
      <c r="B648" t="s">
        <v>157</v>
      </c>
      <c r="C648" t="s">
        <v>360</v>
      </c>
      <c r="D648" s="7">
        <v>33078</v>
      </c>
      <c r="E648">
        <v>3</v>
      </c>
      <c r="W648" t="s">
        <v>157</v>
      </c>
      <c r="X648" s="11" t="s">
        <v>360</v>
      </c>
      <c r="Y648" s="7">
        <v>33078</v>
      </c>
      <c r="Z648" s="11" t="str">
        <f t="shared" si="53"/>
        <v>2024-4</v>
      </c>
      <c r="AP648" s="8"/>
      <c r="AQ648" s="8"/>
      <c r="AR648" s="8"/>
      <c r="AT648" s="8"/>
    </row>
    <row r="649" spans="1:46" x14ac:dyDescent="0.25">
      <c r="A649" t="s">
        <v>27</v>
      </c>
      <c r="B649" t="s">
        <v>361</v>
      </c>
      <c r="C649" t="s">
        <v>360</v>
      </c>
      <c r="D649" s="7">
        <v>51719</v>
      </c>
      <c r="E649">
        <v>6</v>
      </c>
      <c r="W649" t="s">
        <v>361</v>
      </c>
      <c r="X649" s="11" t="s">
        <v>360</v>
      </c>
      <c r="Y649" s="7">
        <v>51719</v>
      </c>
      <c r="Z649" s="11" t="str">
        <f t="shared" si="53"/>
        <v>2024-4</v>
      </c>
      <c r="AP649" s="8"/>
      <c r="AQ649" s="8"/>
      <c r="AR649" s="8"/>
      <c r="AT649" s="8"/>
    </row>
    <row r="650" spans="1:46" x14ac:dyDescent="0.25">
      <c r="A650" t="s">
        <v>36</v>
      </c>
      <c r="B650" t="s">
        <v>183</v>
      </c>
      <c r="C650" t="s">
        <v>362</v>
      </c>
      <c r="D650" s="7">
        <v>19024</v>
      </c>
      <c r="E650">
        <v>9</v>
      </c>
      <c r="W650" t="s">
        <v>183</v>
      </c>
      <c r="X650" s="11" t="s">
        <v>362</v>
      </c>
      <c r="Y650" s="7">
        <v>19024</v>
      </c>
      <c r="Z650" s="11" t="str">
        <f t="shared" si="53"/>
        <v>2024-4</v>
      </c>
      <c r="AP650" s="8"/>
      <c r="AQ650" s="8"/>
      <c r="AR650" s="8"/>
      <c r="AT650" s="8"/>
    </row>
    <row r="651" spans="1:46" x14ac:dyDescent="0.25">
      <c r="A651" t="s">
        <v>23</v>
      </c>
      <c r="B651" t="s">
        <v>50</v>
      </c>
      <c r="C651" t="s">
        <v>363</v>
      </c>
      <c r="D651" s="7">
        <v>46438</v>
      </c>
      <c r="E651">
        <v>7</v>
      </c>
      <c r="W651" t="s">
        <v>50</v>
      </c>
      <c r="X651" s="11" t="s">
        <v>363</v>
      </c>
      <c r="Y651" s="7">
        <v>46438</v>
      </c>
      <c r="Z651" s="11" t="str">
        <f t="shared" si="53"/>
        <v>2024-5</v>
      </c>
      <c r="AP651" s="8"/>
      <c r="AQ651" s="8"/>
      <c r="AR651" s="8"/>
      <c r="AT651" s="8"/>
    </row>
    <row r="652" spans="1:46" x14ac:dyDescent="0.25">
      <c r="A652" t="s">
        <v>27</v>
      </c>
      <c r="B652" t="s">
        <v>249</v>
      </c>
      <c r="C652" t="s">
        <v>363</v>
      </c>
      <c r="D652" s="7">
        <v>57900</v>
      </c>
      <c r="E652">
        <v>8</v>
      </c>
      <c r="W652" t="s">
        <v>249</v>
      </c>
      <c r="X652" s="11" t="s">
        <v>363</v>
      </c>
      <c r="Y652" s="7">
        <v>57900</v>
      </c>
      <c r="Z652" s="11" t="str">
        <f t="shared" si="53"/>
        <v>2024-5</v>
      </c>
      <c r="AP652" s="8"/>
      <c r="AQ652" s="8"/>
      <c r="AR652" s="8"/>
      <c r="AT652" s="8"/>
    </row>
    <row r="653" spans="1:46" x14ac:dyDescent="0.25">
      <c r="A653" t="s">
        <v>23</v>
      </c>
      <c r="B653" t="s">
        <v>364</v>
      </c>
      <c r="C653" t="s">
        <v>363</v>
      </c>
      <c r="D653" s="7">
        <v>54141</v>
      </c>
      <c r="E653">
        <v>4</v>
      </c>
      <c r="W653" t="s">
        <v>364</v>
      </c>
      <c r="X653" s="11" t="s">
        <v>363</v>
      </c>
      <c r="Y653" s="7">
        <v>54141</v>
      </c>
      <c r="Z653" s="11" t="str">
        <f t="shared" si="53"/>
        <v>2024-5</v>
      </c>
      <c r="AP653" s="8"/>
      <c r="AQ653" s="8"/>
      <c r="AR653" s="8"/>
      <c r="AT653" s="8"/>
    </row>
    <row r="654" spans="1:46" x14ac:dyDescent="0.25">
      <c r="A654" t="s">
        <v>27</v>
      </c>
      <c r="B654" t="s">
        <v>121</v>
      </c>
      <c r="C654" t="s">
        <v>363</v>
      </c>
      <c r="D654" s="7">
        <v>93683</v>
      </c>
      <c r="E654">
        <v>3</v>
      </c>
      <c r="W654" t="s">
        <v>121</v>
      </c>
      <c r="X654" s="11" t="s">
        <v>363</v>
      </c>
      <c r="Y654" s="7">
        <v>93683</v>
      </c>
      <c r="Z654" s="11" t="str">
        <f t="shared" si="53"/>
        <v>2024-5</v>
      </c>
      <c r="AP654" s="8"/>
      <c r="AQ654" s="8"/>
      <c r="AR654" s="8"/>
      <c r="AT654" s="8"/>
    </row>
    <row r="655" spans="1:46" x14ac:dyDescent="0.25">
      <c r="A655" t="s">
        <v>5</v>
      </c>
      <c r="B655" t="s">
        <v>55</v>
      </c>
      <c r="C655" t="s">
        <v>363</v>
      </c>
      <c r="D655" s="7">
        <v>31252</v>
      </c>
      <c r="E655">
        <v>10</v>
      </c>
      <c r="W655" t="s">
        <v>55</v>
      </c>
      <c r="X655" s="11" t="s">
        <v>363</v>
      </c>
      <c r="Y655" s="7">
        <v>31252</v>
      </c>
      <c r="Z655" s="11" t="str">
        <f t="shared" si="53"/>
        <v>2024-5</v>
      </c>
      <c r="AP655" s="8"/>
      <c r="AQ655" s="8"/>
      <c r="AR655" s="8"/>
      <c r="AT655" s="8"/>
    </row>
    <row r="656" spans="1:46" x14ac:dyDescent="0.25">
      <c r="A656" t="s">
        <v>33</v>
      </c>
      <c r="B656" t="s">
        <v>72</v>
      </c>
      <c r="C656" t="s">
        <v>365</v>
      </c>
      <c r="D656" s="7">
        <v>32787</v>
      </c>
      <c r="E656">
        <v>6</v>
      </c>
      <c r="W656" t="s">
        <v>72</v>
      </c>
      <c r="X656" s="11" t="s">
        <v>365</v>
      </c>
      <c r="Y656" s="7">
        <v>32787</v>
      </c>
      <c r="Z656" s="11" t="str">
        <f t="shared" si="53"/>
        <v>2024-5</v>
      </c>
      <c r="AP656" s="8"/>
      <c r="AQ656" s="8"/>
      <c r="AR656" s="8"/>
      <c r="AT656" s="8"/>
    </row>
    <row r="657" spans="1:46" x14ac:dyDescent="0.25">
      <c r="A657" t="s">
        <v>12</v>
      </c>
      <c r="B657" t="s">
        <v>276</v>
      </c>
      <c r="C657" t="s">
        <v>365</v>
      </c>
      <c r="D657" s="7">
        <v>55724</v>
      </c>
      <c r="E657">
        <v>3</v>
      </c>
      <c r="W657" t="s">
        <v>276</v>
      </c>
      <c r="X657" s="11" t="s">
        <v>365</v>
      </c>
      <c r="Y657" s="7">
        <v>55724</v>
      </c>
      <c r="Z657" s="11" t="str">
        <f t="shared" si="53"/>
        <v>2024-5</v>
      </c>
      <c r="AP657" s="8"/>
      <c r="AQ657" s="8"/>
      <c r="AR657" s="8"/>
      <c r="AT657" s="8"/>
    </row>
    <row r="658" spans="1:46" x14ac:dyDescent="0.25">
      <c r="A658" t="s">
        <v>17</v>
      </c>
      <c r="B658" t="s">
        <v>101</v>
      </c>
      <c r="C658" t="s">
        <v>365</v>
      </c>
      <c r="D658" s="7">
        <v>14276</v>
      </c>
      <c r="E658">
        <v>6</v>
      </c>
      <c r="W658" t="s">
        <v>101</v>
      </c>
      <c r="X658" s="11" t="s">
        <v>365</v>
      </c>
      <c r="Y658" s="7">
        <v>14276</v>
      </c>
      <c r="Z658" s="11" t="str">
        <f t="shared" si="53"/>
        <v>2024-5</v>
      </c>
      <c r="AP658" s="8"/>
      <c r="AQ658" s="8"/>
      <c r="AR658" s="8"/>
      <c r="AT658" s="8"/>
    </row>
    <row r="659" spans="1:46" x14ac:dyDescent="0.25">
      <c r="A659" t="s">
        <v>14</v>
      </c>
      <c r="B659" t="s">
        <v>143</v>
      </c>
      <c r="C659" t="s">
        <v>366</v>
      </c>
      <c r="D659" s="7">
        <v>18434</v>
      </c>
      <c r="E659">
        <v>5</v>
      </c>
      <c r="W659" t="s">
        <v>143</v>
      </c>
      <c r="X659" s="11" t="s">
        <v>366</v>
      </c>
      <c r="Y659" s="7">
        <v>18434</v>
      </c>
      <c r="Z659" s="11" t="str">
        <f t="shared" si="53"/>
        <v>2024-5</v>
      </c>
      <c r="AP659" s="8"/>
      <c r="AQ659" s="8"/>
      <c r="AR659" s="8"/>
      <c r="AT659" s="8"/>
    </row>
    <row r="660" spans="1:46" x14ac:dyDescent="0.25">
      <c r="A660" t="s">
        <v>27</v>
      </c>
      <c r="B660" t="s">
        <v>213</v>
      </c>
      <c r="C660" t="s">
        <v>366</v>
      </c>
      <c r="D660" s="7">
        <v>83365</v>
      </c>
      <c r="E660">
        <v>8</v>
      </c>
      <c r="W660" t="s">
        <v>213</v>
      </c>
      <c r="X660" s="11" t="s">
        <v>366</v>
      </c>
      <c r="Y660" s="7">
        <v>83365</v>
      </c>
      <c r="Z660" s="11" t="str">
        <f t="shared" si="53"/>
        <v>2024-5</v>
      </c>
      <c r="AP660" s="8"/>
      <c r="AQ660" s="8"/>
      <c r="AR660" s="8"/>
      <c r="AT660" s="8"/>
    </row>
    <row r="661" spans="1:46" x14ac:dyDescent="0.25">
      <c r="A661" t="s">
        <v>17</v>
      </c>
      <c r="B661" t="s">
        <v>199</v>
      </c>
      <c r="C661" t="s">
        <v>367</v>
      </c>
      <c r="D661" s="7">
        <v>81355</v>
      </c>
      <c r="E661">
        <v>4</v>
      </c>
      <c r="W661" t="s">
        <v>199</v>
      </c>
      <c r="X661" s="11" t="s">
        <v>367</v>
      </c>
      <c r="Y661" s="7">
        <v>81355</v>
      </c>
      <c r="Z661" s="11" t="str">
        <f t="shared" si="53"/>
        <v>2024-5</v>
      </c>
      <c r="AP661" s="8"/>
      <c r="AQ661" s="8"/>
      <c r="AR661" s="8"/>
      <c r="AT661" s="8"/>
    </row>
    <row r="662" spans="1:46" x14ac:dyDescent="0.25">
      <c r="A662" t="s">
        <v>32</v>
      </c>
      <c r="B662" t="s">
        <v>35</v>
      </c>
      <c r="C662" t="s">
        <v>367</v>
      </c>
      <c r="D662" s="7">
        <v>49480</v>
      </c>
      <c r="E662">
        <v>8</v>
      </c>
      <c r="W662" t="s">
        <v>35</v>
      </c>
      <c r="X662" s="11" t="s">
        <v>367</v>
      </c>
      <c r="Y662" s="7">
        <v>49480</v>
      </c>
      <c r="Z662" s="11" t="str">
        <f t="shared" si="53"/>
        <v>2024-5</v>
      </c>
      <c r="AP662" s="8"/>
      <c r="AQ662" s="8"/>
      <c r="AR662" s="8"/>
      <c r="AT662" s="8"/>
    </row>
    <row r="663" spans="1:46" x14ac:dyDescent="0.25">
      <c r="A663" t="s">
        <v>27</v>
      </c>
      <c r="B663" t="s">
        <v>93</v>
      </c>
      <c r="C663" t="s">
        <v>367</v>
      </c>
      <c r="D663" s="7">
        <v>58817</v>
      </c>
      <c r="E663">
        <v>5</v>
      </c>
      <c r="W663" t="s">
        <v>93</v>
      </c>
      <c r="X663" s="11" t="s">
        <v>367</v>
      </c>
      <c r="Y663" s="7">
        <v>58817</v>
      </c>
      <c r="Z663" s="11" t="str">
        <f t="shared" si="53"/>
        <v>2024-5</v>
      </c>
      <c r="AP663" s="8"/>
      <c r="AQ663" s="8"/>
      <c r="AR663" s="8"/>
      <c r="AT663" s="8"/>
    </row>
    <row r="664" spans="1:46" x14ac:dyDescent="0.25">
      <c r="A664" t="s">
        <v>33</v>
      </c>
      <c r="B664" t="s">
        <v>203</v>
      </c>
      <c r="C664" t="s">
        <v>367</v>
      </c>
      <c r="D664" s="7">
        <v>49499</v>
      </c>
      <c r="E664">
        <v>4</v>
      </c>
      <c r="W664" t="s">
        <v>203</v>
      </c>
      <c r="X664" s="11" t="s">
        <v>367</v>
      </c>
      <c r="Y664" s="7">
        <v>49499</v>
      </c>
      <c r="Z664" s="11" t="str">
        <f t="shared" si="53"/>
        <v>2024-5</v>
      </c>
      <c r="AP664" s="8"/>
      <c r="AQ664" s="8"/>
      <c r="AR664" s="8"/>
      <c r="AT664" s="8"/>
    </row>
    <row r="665" spans="1:46" x14ac:dyDescent="0.25">
      <c r="A665" t="s">
        <v>14</v>
      </c>
      <c r="B665" t="s">
        <v>352</v>
      </c>
      <c r="C665" t="s">
        <v>367</v>
      </c>
      <c r="D665" s="7">
        <v>24655</v>
      </c>
      <c r="E665">
        <v>3</v>
      </c>
      <c r="W665" t="s">
        <v>352</v>
      </c>
      <c r="X665" s="11" t="s">
        <v>367</v>
      </c>
      <c r="Y665" s="7">
        <v>24655</v>
      </c>
      <c r="Z665" s="11" t="str">
        <f t="shared" si="53"/>
        <v>2024-5</v>
      </c>
      <c r="AP665" s="8"/>
      <c r="AQ665" s="8"/>
      <c r="AR665" s="8"/>
      <c r="AT665" s="8"/>
    </row>
    <row r="666" spans="1:46" x14ac:dyDescent="0.25">
      <c r="A666" t="s">
        <v>33</v>
      </c>
      <c r="B666" t="s">
        <v>56</v>
      </c>
      <c r="C666" t="s">
        <v>367</v>
      </c>
      <c r="D666" s="7">
        <v>27426</v>
      </c>
      <c r="E666">
        <v>10</v>
      </c>
      <c r="W666" t="s">
        <v>56</v>
      </c>
      <c r="X666" s="11" t="s">
        <v>367</v>
      </c>
      <c r="Y666" s="7">
        <v>27426</v>
      </c>
      <c r="Z666" s="11" t="str">
        <f t="shared" si="53"/>
        <v>2024-5</v>
      </c>
      <c r="AP666" s="8"/>
      <c r="AQ666" s="8"/>
      <c r="AR666" s="8"/>
      <c r="AT666" s="8"/>
    </row>
    <row r="667" spans="1:46" x14ac:dyDescent="0.25">
      <c r="A667" t="s">
        <v>23</v>
      </c>
      <c r="B667" t="s">
        <v>48</v>
      </c>
      <c r="C667" t="s">
        <v>367</v>
      </c>
      <c r="D667" s="7">
        <v>96838</v>
      </c>
      <c r="E667">
        <v>5</v>
      </c>
      <c r="W667" t="s">
        <v>48</v>
      </c>
      <c r="X667" s="11" t="s">
        <v>367</v>
      </c>
      <c r="Y667" s="7">
        <v>96838</v>
      </c>
      <c r="Z667" s="11" t="str">
        <f t="shared" si="53"/>
        <v>2024-5</v>
      </c>
      <c r="AP667" s="8"/>
      <c r="AQ667" s="8"/>
      <c r="AR667" s="8"/>
      <c r="AT667" s="8"/>
    </row>
    <row r="668" spans="1:46" x14ac:dyDescent="0.25">
      <c r="A668" t="s">
        <v>8</v>
      </c>
      <c r="B668" t="s">
        <v>231</v>
      </c>
      <c r="C668" t="s">
        <v>367</v>
      </c>
      <c r="D668" s="7">
        <v>42282</v>
      </c>
      <c r="E668">
        <v>8</v>
      </c>
      <c r="W668" t="s">
        <v>231</v>
      </c>
      <c r="X668" s="11" t="s">
        <v>367</v>
      </c>
      <c r="Y668" s="7">
        <v>42282</v>
      </c>
      <c r="Z668" s="11" t="str">
        <f t="shared" si="53"/>
        <v>2024-5</v>
      </c>
      <c r="AP668" s="8"/>
      <c r="AQ668" s="8"/>
      <c r="AR668" s="8"/>
      <c r="AT668" s="8"/>
    </row>
    <row r="669" spans="1:46" x14ac:dyDescent="0.25">
      <c r="A669" t="s">
        <v>20</v>
      </c>
      <c r="B669" t="s">
        <v>55</v>
      </c>
      <c r="C669" t="s">
        <v>367</v>
      </c>
      <c r="D669" s="7">
        <v>79356</v>
      </c>
      <c r="E669">
        <v>8</v>
      </c>
      <c r="W669" t="s">
        <v>55</v>
      </c>
      <c r="X669" s="11" t="s">
        <v>367</v>
      </c>
      <c r="Y669" s="7">
        <v>79356</v>
      </c>
      <c r="Z669" s="11" t="str">
        <f t="shared" si="53"/>
        <v>2024-5</v>
      </c>
      <c r="AP669" s="8"/>
      <c r="AQ669" s="8"/>
      <c r="AR669" s="8"/>
      <c r="AT669" s="8"/>
    </row>
    <row r="670" spans="1:46" x14ac:dyDescent="0.25">
      <c r="A670" t="s">
        <v>8</v>
      </c>
      <c r="B670" t="s">
        <v>21</v>
      </c>
      <c r="C670" t="s">
        <v>367</v>
      </c>
      <c r="D670" s="7">
        <v>43792</v>
      </c>
      <c r="E670">
        <v>3</v>
      </c>
      <c r="W670" t="s">
        <v>21</v>
      </c>
      <c r="X670" s="11" t="s">
        <v>367</v>
      </c>
      <c r="Y670" s="7">
        <v>43792</v>
      </c>
      <c r="Z670" s="11" t="str">
        <f t="shared" si="53"/>
        <v>2024-5</v>
      </c>
      <c r="AP670" s="8"/>
      <c r="AQ670" s="8"/>
      <c r="AR670" s="8"/>
      <c r="AT670" s="8"/>
    </row>
    <row r="671" spans="1:46" x14ac:dyDescent="0.25">
      <c r="A671" t="s">
        <v>17</v>
      </c>
      <c r="B671" t="s">
        <v>120</v>
      </c>
      <c r="C671" t="s">
        <v>367</v>
      </c>
      <c r="D671" s="7">
        <v>41961</v>
      </c>
      <c r="E671">
        <v>7</v>
      </c>
      <c r="W671" t="s">
        <v>120</v>
      </c>
      <c r="X671" s="11" t="s">
        <v>367</v>
      </c>
      <c r="Y671" s="7">
        <v>41961</v>
      </c>
      <c r="Z671" s="11" t="str">
        <f t="shared" si="53"/>
        <v>2024-5</v>
      </c>
      <c r="AP671" s="8"/>
      <c r="AQ671" s="8"/>
      <c r="AR671" s="8"/>
      <c r="AT671" s="8"/>
    </row>
    <row r="672" spans="1:46" x14ac:dyDescent="0.25">
      <c r="A672" t="s">
        <v>10</v>
      </c>
      <c r="B672" t="s">
        <v>327</v>
      </c>
      <c r="C672" t="s">
        <v>367</v>
      </c>
      <c r="D672" s="7">
        <v>74595</v>
      </c>
      <c r="E672">
        <v>5</v>
      </c>
      <c r="W672" t="s">
        <v>327</v>
      </c>
      <c r="X672" s="11" t="s">
        <v>367</v>
      </c>
      <c r="Y672" s="7">
        <v>74595</v>
      </c>
      <c r="Z672" s="11" t="str">
        <f t="shared" si="53"/>
        <v>2024-5</v>
      </c>
      <c r="AP672" s="8"/>
      <c r="AQ672" s="8"/>
      <c r="AR672" s="8"/>
      <c r="AT672" s="8"/>
    </row>
    <row r="673" spans="1:46" x14ac:dyDescent="0.25">
      <c r="A673" t="s">
        <v>36</v>
      </c>
      <c r="B673" t="s">
        <v>196</v>
      </c>
      <c r="C673" t="s">
        <v>368</v>
      </c>
      <c r="D673" s="7">
        <v>23300</v>
      </c>
      <c r="E673">
        <v>9</v>
      </c>
      <c r="W673" t="s">
        <v>196</v>
      </c>
      <c r="X673" s="11" t="s">
        <v>368</v>
      </c>
      <c r="Y673" s="7">
        <v>23300</v>
      </c>
      <c r="Z673" s="11" t="str">
        <f t="shared" si="53"/>
        <v>2024-5</v>
      </c>
      <c r="AP673" s="8"/>
      <c r="AQ673" s="8"/>
      <c r="AR673" s="8"/>
      <c r="AT673" s="8"/>
    </row>
    <row r="674" spans="1:46" x14ac:dyDescent="0.25">
      <c r="A674" t="s">
        <v>32</v>
      </c>
      <c r="B674" t="s">
        <v>369</v>
      </c>
      <c r="C674" t="s">
        <v>370</v>
      </c>
      <c r="D674" s="7">
        <v>59371</v>
      </c>
      <c r="E674">
        <v>7</v>
      </c>
      <c r="W674" t="s">
        <v>369</v>
      </c>
      <c r="X674" s="11" t="s">
        <v>370</v>
      </c>
      <c r="Y674" s="7">
        <v>59371</v>
      </c>
      <c r="Z674" s="11" t="str">
        <f t="shared" si="53"/>
        <v>2024-5</v>
      </c>
      <c r="AP674" s="8"/>
      <c r="AQ674" s="8"/>
      <c r="AR674" s="8"/>
      <c r="AT674" s="8"/>
    </row>
    <row r="675" spans="1:46" x14ac:dyDescent="0.25">
      <c r="A675" t="s">
        <v>8</v>
      </c>
      <c r="B675" t="s">
        <v>236</v>
      </c>
      <c r="C675" t="s">
        <v>370</v>
      </c>
      <c r="D675" s="7">
        <v>17328</v>
      </c>
      <c r="E675">
        <v>7</v>
      </c>
      <c r="W675" t="s">
        <v>236</v>
      </c>
      <c r="X675" s="11" t="s">
        <v>370</v>
      </c>
      <c r="Y675" s="7">
        <v>17328</v>
      </c>
      <c r="Z675" s="11" t="str">
        <f t="shared" si="53"/>
        <v>2024-5</v>
      </c>
      <c r="AP675" s="8"/>
      <c r="AQ675" s="8"/>
      <c r="AR675" s="8"/>
      <c r="AT675" s="8"/>
    </row>
    <row r="676" spans="1:46" x14ac:dyDescent="0.25">
      <c r="A676" t="s">
        <v>32</v>
      </c>
      <c r="B676" t="s">
        <v>242</v>
      </c>
      <c r="C676" t="s">
        <v>371</v>
      </c>
      <c r="D676" s="7">
        <v>24417</v>
      </c>
      <c r="E676">
        <v>7</v>
      </c>
      <c r="W676" t="s">
        <v>242</v>
      </c>
      <c r="X676" s="11" t="s">
        <v>371</v>
      </c>
      <c r="Y676" s="7">
        <v>24417</v>
      </c>
      <c r="Z676" s="11" t="str">
        <f t="shared" si="53"/>
        <v>2024-5</v>
      </c>
      <c r="AP676" s="8"/>
      <c r="AQ676" s="8"/>
      <c r="AR676" s="8"/>
      <c r="AT676" s="8"/>
    </row>
    <row r="677" spans="1:46" x14ac:dyDescent="0.25">
      <c r="A677" t="s">
        <v>12</v>
      </c>
      <c r="B677" t="s">
        <v>90</v>
      </c>
      <c r="C677" t="s">
        <v>371</v>
      </c>
      <c r="D677" s="7">
        <v>10385</v>
      </c>
      <c r="E677">
        <v>7</v>
      </c>
      <c r="W677" t="s">
        <v>90</v>
      </c>
      <c r="X677" s="11" t="s">
        <v>371</v>
      </c>
      <c r="Y677" s="7">
        <v>10385</v>
      </c>
      <c r="Z677" s="11" t="str">
        <f t="shared" si="53"/>
        <v>2024-5</v>
      </c>
      <c r="AP677" s="8"/>
      <c r="AQ677" s="8"/>
      <c r="AR677" s="8"/>
      <c r="AT677" s="8"/>
    </row>
    <row r="678" spans="1:46" x14ac:dyDescent="0.25">
      <c r="A678" t="s">
        <v>17</v>
      </c>
      <c r="B678" t="s">
        <v>30</v>
      </c>
      <c r="C678" t="s">
        <v>372</v>
      </c>
      <c r="D678" s="7">
        <v>63201</v>
      </c>
      <c r="E678">
        <v>7</v>
      </c>
      <c r="W678" t="s">
        <v>30</v>
      </c>
      <c r="X678" s="11" t="s">
        <v>372</v>
      </c>
      <c r="Y678" s="7">
        <v>63201</v>
      </c>
      <c r="Z678" s="11" t="str">
        <f t="shared" si="53"/>
        <v>2024-5</v>
      </c>
      <c r="AP678" s="8"/>
      <c r="AQ678" s="8"/>
      <c r="AR678" s="8"/>
      <c r="AT678" s="8"/>
    </row>
    <row r="679" spans="1:46" x14ac:dyDescent="0.25">
      <c r="A679" t="s">
        <v>12</v>
      </c>
      <c r="B679" t="s">
        <v>69</v>
      </c>
      <c r="C679" t="s">
        <v>372</v>
      </c>
      <c r="D679" s="7">
        <v>41287</v>
      </c>
      <c r="E679">
        <v>0</v>
      </c>
      <c r="W679" t="s">
        <v>69</v>
      </c>
      <c r="X679" s="11" t="s">
        <v>372</v>
      </c>
      <c r="Y679" s="7">
        <v>41287</v>
      </c>
      <c r="Z679" s="11" t="str">
        <f t="shared" si="53"/>
        <v>2024-5</v>
      </c>
      <c r="AP679" s="8"/>
      <c r="AQ679" s="8"/>
      <c r="AR679" s="8"/>
      <c r="AT679" s="8"/>
    </row>
    <row r="680" spans="1:46" x14ac:dyDescent="0.25">
      <c r="A680" t="s">
        <v>20</v>
      </c>
      <c r="B680" t="s">
        <v>373</v>
      </c>
      <c r="C680" t="s">
        <v>372</v>
      </c>
      <c r="D680" s="7">
        <v>55373</v>
      </c>
      <c r="E680">
        <v>6</v>
      </c>
      <c r="W680" t="s">
        <v>373</v>
      </c>
      <c r="X680" s="11" t="s">
        <v>372</v>
      </c>
      <c r="Y680" s="7">
        <v>55373</v>
      </c>
      <c r="Z680" s="11" t="str">
        <f t="shared" si="53"/>
        <v>2024-5</v>
      </c>
      <c r="AP680" s="8"/>
      <c r="AQ680" s="8"/>
      <c r="AR680" s="8"/>
      <c r="AT680" s="8"/>
    </row>
    <row r="681" spans="1:46" x14ac:dyDescent="0.25">
      <c r="A681" t="s">
        <v>12</v>
      </c>
      <c r="B681" t="s">
        <v>29</v>
      </c>
      <c r="C681" t="s">
        <v>372</v>
      </c>
      <c r="D681" s="7">
        <v>14684</v>
      </c>
      <c r="E681">
        <v>2</v>
      </c>
      <c r="W681" t="s">
        <v>29</v>
      </c>
      <c r="X681" s="11" t="s">
        <v>372</v>
      </c>
      <c r="Y681" s="7">
        <v>14684</v>
      </c>
      <c r="Z681" s="11" t="str">
        <f t="shared" si="53"/>
        <v>2024-5</v>
      </c>
      <c r="AP681" s="8"/>
      <c r="AQ681" s="8"/>
      <c r="AR681" s="8"/>
      <c r="AT681" s="8"/>
    </row>
    <row r="682" spans="1:46" x14ac:dyDescent="0.25">
      <c r="A682" t="s">
        <v>17</v>
      </c>
      <c r="B682" t="s">
        <v>238</v>
      </c>
      <c r="C682" t="s">
        <v>372</v>
      </c>
      <c r="D682" s="7">
        <v>80993</v>
      </c>
      <c r="E682">
        <v>2</v>
      </c>
      <c r="W682" t="s">
        <v>238</v>
      </c>
      <c r="X682" s="11" t="s">
        <v>372</v>
      </c>
      <c r="Y682" s="7">
        <v>80993</v>
      </c>
      <c r="Z682" s="11" t="str">
        <f t="shared" si="53"/>
        <v>2024-5</v>
      </c>
      <c r="AP682" s="8"/>
      <c r="AQ682" s="8"/>
      <c r="AR682" s="8"/>
      <c r="AT682" s="8"/>
    </row>
    <row r="683" spans="1:46" x14ac:dyDescent="0.25">
      <c r="A683" t="s">
        <v>14</v>
      </c>
      <c r="B683" t="s">
        <v>174</v>
      </c>
      <c r="C683" t="s">
        <v>372</v>
      </c>
      <c r="D683" s="7">
        <v>96960</v>
      </c>
      <c r="E683">
        <v>10</v>
      </c>
      <c r="W683" t="s">
        <v>174</v>
      </c>
      <c r="X683" s="11" t="s">
        <v>372</v>
      </c>
      <c r="Y683" s="7">
        <v>96960</v>
      </c>
      <c r="Z683" s="11" t="str">
        <f t="shared" si="53"/>
        <v>2024-5</v>
      </c>
      <c r="AP683" s="8"/>
      <c r="AQ683" s="8"/>
      <c r="AR683" s="8"/>
      <c r="AT683" s="8"/>
    </row>
    <row r="684" spans="1:46" x14ac:dyDescent="0.25">
      <c r="A684" t="s">
        <v>5</v>
      </c>
      <c r="B684" t="s">
        <v>147</v>
      </c>
      <c r="C684" t="s">
        <v>372</v>
      </c>
      <c r="D684" s="7">
        <v>22922</v>
      </c>
      <c r="E684">
        <v>1</v>
      </c>
      <c r="W684" t="s">
        <v>147</v>
      </c>
      <c r="X684" s="11" t="s">
        <v>372</v>
      </c>
      <c r="Y684" s="7">
        <v>22922</v>
      </c>
      <c r="Z684" s="11" t="str">
        <f t="shared" si="53"/>
        <v>2024-5</v>
      </c>
      <c r="AP684" s="8"/>
      <c r="AQ684" s="8"/>
      <c r="AR684" s="8"/>
      <c r="AT684" s="8"/>
    </row>
    <row r="685" spans="1:46" x14ac:dyDescent="0.25">
      <c r="A685" t="s">
        <v>36</v>
      </c>
      <c r="B685" t="s">
        <v>93</v>
      </c>
      <c r="C685" t="s">
        <v>374</v>
      </c>
      <c r="D685" s="7">
        <v>93439</v>
      </c>
      <c r="E685">
        <v>5</v>
      </c>
      <c r="W685" t="s">
        <v>93</v>
      </c>
      <c r="X685" s="11" t="s">
        <v>374</v>
      </c>
      <c r="Y685" s="7">
        <v>93439</v>
      </c>
      <c r="Z685" s="11" t="str">
        <f t="shared" si="53"/>
        <v>2024-5</v>
      </c>
      <c r="AP685" s="8"/>
      <c r="AQ685" s="8"/>
      <c r="AR685" s="8"/>
      <c r="AT685" s="8"/>
    </row>
    <row r="686" spans="1:46" x14ac:dyDescent="0.25">
      <c r="A686" t="s">
        <v>23</v>
      </c>
      <c r="B686" t="s">
        <v>183</v>
      </c>
      <c r="C686" t="s">
        <v>374</v>
      </c>
      <c r="D686" s="7">
        <v>91797</v>
      </c>
      <c r="E686">
        <v>5</v>
      </c>
      <c r="W686" t="s">
        <v>183</v>
      </c>
      <c r="X686" s="11" t="s">
        <v>374</v>
      </c>
      <c r="Y686" s="7">
        <v>91797</v>
      </c>
      <c r="Z686" s="11" t="str">
        <f t="shared" si="53"/>
        <v>2024-5</v>
      </c>
      <c r="AP686" s="8"/>
      <c r="AQ686" s="8"/>
      <c r="AR686" s="8"/>
      <c r="AT686" s="8"/>
    </row>
    <row r="687" spans="1:46" x14ac:dyDescent="0.25">
      <c r="A687" t="s">
        <v>23</v>
      </c>
      <c r="B687" t="s">
        <v>44</v>
      </c>
      <c r="C687" t="s">
        <v>374</v>
      </c>
      <c r="D687" s="7">
        <v>84827</v>
      </c>
      <c r="E687">
        <v>6</v>
      </c>
      <c r="W687" t="s">
        <v>44</v>
      </c>
      <c r="X687" s="11" t="s">
        <v>374</v>
      </c>
      <c r="Y687" s="7">
        <v>84827</v>
      </c>
      <c r="Z687" s="11" t="str">
        <f t="shared" si="53"/>
        <v>2024-5</v>
      </c>
      <c r="AP687" s="8"/>
      <c r="AQ687" s="8"/>
      <c r="AR687" s="8"/>
      <c r="AT687" s="8"/>
    </row>
    <row r="688" spans="1:46" x14ac:dyDescent="0.25">
      <c r="A688" t="s">
        <v>17</v>
      </c>
      <c r="B688" t="s">
        <v>274</v>
      </c>
      <c r="C688" t="s">
        <v>374</v>
      </c>
      <c r="D688" s="7">
        <v>12037</v>
      </c>
      <c r="E688">
        <v>8</v>
      </c>
      <c r="W688" t="s">
        <v>274</v>
      </c>
      <c r="X688" s="11" t="s">
        <v>374</v>
      </c>
      <c r="Y688" s="7">
        <v>12037</v>
      </c>
      <c r="Z688" s="11" t="str">
        <f t="shared" si="53"/>
        <v>2024-5</v>
      </c>
      <c r="AP688" s="8"/>
      <c r="AQ688" s="8"/>
      <c r="AR688" s="8"/>
      <c r="AT688" s="8"/>
    </row>
    <row r="689" spans="1:46" x14ac:dyDescent="0.25">
      <c r="A689" t="s">
        <v>27</v>
      </c>
      <c r="B689" t="s">
        <v>173</v>
      </c>
      <c r="C689" t="s">
        <v>374</v>
      </c>
      <c r="D689" s="7">
        <v>84093</v>
      </c>
      <c r="E689">
        <v>5</v>
      </c>
      <c r="W689" t="s">
        <v>173</v>
      </c>
      <c r="X689" s="11" t="s">
        <v>374</v>
      </c>
      <c r="Y689" s="7">
        <v>84093</v>
      </c>
      <c r="Z689" s="11" t="str">
        <f t="shared" si="53"/>
        <v>2024-5</v>
      </c>
      <c r="AP689" s="8"/>
      <c r="AQ689" s="8"/>
      <c r="AR689" s="8"/>
      <c r="AT689" s="8"/>
    </row>
    <row r="690" spans="1:46" x14ac:dyDescent="0.25">
      <c r="A690" t="s">
        <v>32</v>
      </c>
      <c r="B690" t="s">
        <v>67</v>
      </c>
      <c r="C690" t="s">
        <v>374</v>
      </c>
      <c r="D690" s="7">
        <v>13635</v>
      </c>
      <c r="E690">
        <v>6</v>
      </c>
      <c r="W690" t="s">
        <v>67</v>
      </c>
      <c r="X690" s="11" t="s">
        <v>374</v>
      </c>
      <c r="Y690" s="7">
        <v>13635</v>
      </c>
      <c r="Z690" s="11" t="str">
        <f t="shared" si="53"/>
        <v>2024-5</v>
      </c>
      <c r="AP690" s="8"/>
      <c r="AQ690" s="8"/>
      <c r="AR690" s="8"/>
      <c r="AT690" s="8"/>
    </row>
    <row r="691" spans="1:46" x14ac:dyDescent="0.25">
      <c r="A691" t="s">
        <v>32</v>
      </c>
      <c r="B691" t="s">
        <v>70</v>
      </c>
      <c r="C691" t="s">
        <v>375</v>
      </c>
      <c r="D691" s="7">
        <v>78666</v>
      </c>
      <c r="E691">
        <v>7</v>
      </c>
      <c r="W691" t="s">
        <v>70</v>
      </c>
      <c r="X691" s="11" t="s">
        <v>375</v>
      </c>
      <c r="Y691" s="7">
        <v>78666</v>
      </c>
      <c r="Z691" s="11" t="str">
        <f t="shared" si="53"/>
        <v>2024-5</v>
      </c>
      <c r="AP691" s="8"/>
      <c r="AQ691" s="8"/>
      <c r="AR691" s="8"/>
      <c r="AT691" s="8"/>
    </row>
    <row r="692" spans="1:46" x14ac:dyDescent="0.25">
      <c r="A692" t="s">
        <v>5</v>
      </c>
      <c r="B692" t="s">
        <v>155</v>
      </c>
      <c r="C692" t="s">
        <v>375</v>
      </c>
      <c r="D692" s="7">
        <v>13149</v>
      </c>
      <c r="E692">
        <v>1</v>
      </c>
      <c r="W692" t="s">
        <v>155</v>
      </c>
      <c r="X692" s="11" t="s">
        <v>375</v>
      </c>
      <c r="Y692" s="7">
        <v>13149</v>
      </c>
      <c r="Z692" s="11" t="str">
        <f t="shared" si="53"/>
        <v>2024-5</v>
      </c>
      <c r="AP692" s="8"/>
      <c r="AQ692" s="8"/>
      <c r="AR692" s="8"/>
      <c r="AT692" s="8"/>
    </row>
    <row r="693" spans="1:46" x14ac:dyDescent="0.25">
      <c r="A693" t="s">
        <v>10</v>
      </c>
      <c r="B693" t="s">
        <v>162</v>
      </c>
      <c r="C693" t="s">
        <v>375</v>
      </c>
      <c r="D693" s="7">
        <v>22765</v>
      </c>
      <c r="E693">
        <v>7</v>
      </c>
      <c r="W693" t="s">
        <v>162</v>
      </c>
      <c r="X693" s="11" t="s">
        <v>375</v>
      </c>
      <c r="Y693" s="7">
        <v>22765</v>
      </c>
      <c r="Z693" s="11" t="str">
        <f t="shared" si="53"/>
        <v>2024-5</v>
      </c>
      <c r="AP693" s="8"/>
      <c r="AQ693" s="8"/>
      <c r="AR693" s="8"/>
      <c r="AT693" s="8"/>
    </row>
    <row r="694" spans="1:46" x14ac:dyDescent="0.25">
      <c r="A694" t="s">
        <v>17</v>
      </c>
      <c r="B694" t="s">
        <v>290</v>
      </c>
      <c r="C694" t="s">
        <v>375</v>
      </c>
      <c r="D694" s="7">
        <v>50672</v>
      </c>
      <c r="E694">
        <v>10</v>
      </c>
      <c r="W694" t="s">
        <v>290</v>
      </c>
      <c r="X694" s="11" t="s">
        <v>375</v>
      </c>
      <c r="Y694" s="7">
        <v>50672</v>
      </c>
      <c r="Z694" s="11" t="str">
        <f t="shared" si="53"/>
        <v>2024-5</v>
      </c>
      <c r="AP694" s="8"/>
      <c r="AQ694" s="8"/>
      <c r="AR694" s="8"/>
      <c r="AT694" s="8"/>
    </row>
    <row r="695" spans="1:46" x14ac:dyDescent="0.25">
      <c r="A695" t="s">
        <v>8</v>
      </c>
      <c r="B695" t="s">
        <v>44</v>
      </c>
      <c r="C695" t="s">
        <v>375</v>
      </c>
      <c r="D695" s="7">
        <v>48782</v>
      </c>
      <c r="E695">
        <v>8</v>
      </c>
      <c r="W695" t="s">
        <v>44</v>
      </c>
      <c r="X695" s="11" t="s">
        <v>375</v>
      </c>
      <c r="Y695" s="7">
        <v>48782</v>
      </c>
      <c r="Z695" s="11" t="str">
        <f t="shared" si="53"/>
        <v>2024-5</v>
      </c>
      <c r="AP695" s="8"/>
      <c r="AQ695" s="8"/>
      <c r="AR695" s="8"/>
      <c r="AT695" s="8"/>
    </row>
    <row r="696" spans="1:46" x14ac:dyDescent="0.25">
      <c r="A696" t="s">
        <v>20</v>
      </c>
      <c r="B696" t="s">
        <v>183</v>
      </c>
      <c r="C696" t="s">
        <v>376</v>
      </c>
      <c r="D696" s="7">
        <v>32808</v>
      </c>
      <c r="E696">
        <v>9</v>
      </c>
      <c r="W696" t="s">
        <v>183</v>
      </c>
      <c r="X696" s="11" t="s">
        <v>376</v>
      </c>
      <c r="Y696" s="7">
        <v>32808</v>
      </c>
      <c r="Z696" s="11" t="str">
        <f t="shared" si="53"/>
        <v>2024-5</v>
      </c>
      <c r="AP696" s="8"/>
      <c r="AQ696" s="8"/>
      <c r="AR696" s="8"/>
      <c r="AT696" s="8"/>
    </row>
    <row r="697" spans="1:46" x14ac:dyDescent="0.25">
      <c r="A697" t="s">
        <v>33</v>
      </c>
      <c r="B697" t="s">
        <v>148</v>
      </c>
      <c r="C697" t="s">
        <v>376</v>
      </c>
      <c r="D697" s="7">
        <v>54729</v>
      </c>
      <c r="E697">
        <v>7</v>
      </c>
      <c r="W697" t="s">
        <v>148</v>
      </c>
      <c r="X697" s="11" t="s">
        <v>376</v>
      </c>
      <c r="Y697" s="7">
        <v>54729</v>
      </c>
      <c r="Z697" s="11" t="str">
        <f t="shared" si="53"/>
        <v>2024-5</v>
      </c>
      <c r="AP697" s="8"/>
      <c r="AQ697" s="8"/>
      <c r="AR697" s="8"/>
      <c r="AT697" s="8"/>
    </row>
    <row r="698" spans="1:46" x14ac:dyDescent="0.25">
      <c r="A698" t="s">
        <v>8</v>
      </c>
      <c r="B698" t="s">
        <v>263</v>
      </c>
      <c r="C698" t="s">
        <v>376</v>
      </c>
      <c r="D698" s="7">
        <v>94288</v>
      </c>
      <c r="E698">
        <v>7</v>
      </c>
      <c r="W698" t="s">
        <v>263</v>
      </c>
      <c r="X698" s="11" t="s">
        <v>376</v>
      </c>
      <c r="Y698" s="7">
        <v>94288</v>
      </c>
      <c r="Z698" s="11" t="str">
        <f t="shared" si="53"/>
        <v>2024-5</v>
      </c>
      <c r="AP698" s="8"/>
      <c r="AQ698" s="8"/>
      <c r="AR698" s="8"/>
      <c r="AT698" s="8"/>
    </row>
    <row r="699" spans="1:46" x14ac:dyDescent="0.25">
      <c r="A699" t="s">
        <v>36</v>
      </c>
      <c r="B699" t="s">
        <v>121</v>
      </c>
      <c r="C699" t="s">
        <v>376</v>
      </c>
      <c r="D699" s="7">
        <v>68909</v>
      </c>
      <c r="E699">
        <v>8</v>
      </c>
      <c r="W699" t="s">
        <v>121</v>
      </c>
      <c r="X699" s="11" t="s">
        <v>376</v>
      </c>
      <c r="Y699" s="7">
        <v>68909</v>
      </c>
      <c r="Z699" s="11" t="str">
        <f t="shared" si="53"/>
        <v>2024-5</v>
      </c>
      <c r="AP699" s="8"/>
      <c r="AQ699" s="8"/>
      <c r="AR699" s="8"/>
      <c r="AT699" s="8"/>
    </row>
    <row r="700" spans="1:46" x14ac:dyDescent="0.25">
      <c r="A700" t="s">
        <v>32</v>
      </c>
      <c r="B700" t="s">
        <v>158</v>
      </c>
      <c r="C700" t="s">
        <v>376</v>
      </c>
      <c r="D700" s="7">
        <v>60183</v>
      </c>
      <c r="E700">
        <v>8</v>
      </c>
      <c r="W700" t="s">
        <v>158</v>
      </c>
      <c r="X700" s="11" t="s">
        <v>376</v>
      </c>
      <c r="Y700" s="7">
        <v>60183</v>
      </c>
      <c r="Z700" s="11" t="str">
        <f t="shared" si="53"/>
        <v>2024-5</v>
      </c>
      <c r="AP700" s="8"/>
      <c r="AQ700" s="8"/>
      <c r="AR700" s="8"/>
      <c r="AT700" s="8"/>
    </row>
    <row r="701" spans="1:46" x14ac:dyDescent="0.25">
      <c r="A701" t="s">
        <v>5</v>
      </c>
      <c r="B701" t="s">
        <v>9</v>
      </c>
      <c r="C701" t="s">
        <v>376</v>
      </c>
      <c r="D701" s="7">
        <v>72142</v>
      </c>
      <c r="E701">
        <v>7</v>
      </c>
      <c r="W701" t="s">
        <v>9</v>
      </c>
      <c r="X701" s="11" t="s">
        <v>376</v>
      </c>
      <c r="Y701" s="7">
        <v>72142</v>
      </c>
      <c r="Z701" s="11" t="str">
        <f t="shared" si="53"/>
        <v>2024-5</v>
      </c>
      <c r="AP701" s="8"/>
      <c r="AQ701" s="8"/>
      <c r="AR701" s="8"/>
      <c r="AT701" s="8"/>
    </row>
    <row r="702" spans="1:46" x14ac:dyDescent="0.25">
      <c r="A702" t="s">
        <v>23</v>
      </c>
      <c r="B702" t="s">
        <v>92</v>
      </c>
      <c r="C702" t="s">
        <v>377</v>
      </c>
      <c r="D702" s="7">
        <v>96841</v>
      </c>
      <c r="E702">
        <v>7</v>
      </c>
      <c r="W702" t="s">
        <v>92</v>
      </c>
      <c r="X702" s="11" t="s">
        <v>377</v>
      </c>
      <c r="Y702" s="7">
        <v>96841</v>
      </c>
      <c r="Z702" s="11" t="str">
        <f t="shared" si="53"/>
        <v>2024-5</v>
      </c>
      <c r="AP702" s="8"/>
      <c r="AQ702" s="8"/>
      <c r="AR702" s="8"/>
      <c r="AT702" s="8"/>
    </row>
    <row r="703" spans="1:46" x14ac:dyDescent="0.25">
      <c r="A703" t="s">
        <v>8</v>
      </c>
      <c r="B703" t="s">
        <v>90</v>
      </c>
      <c r="C703" t="s">
        <v>377</v>
      </c>
      <c r="D703" s="7">
        <v>91557</v>
      </c>
      <c r="E703">
        <v>1</v>
      </c>
      <c r="W703" t="s">
        <v>90</v>
      </c>
      <c r="X703" s="11" t="s">
        <v>377</v>
      </c>
      <c r="Y703" s="7">
        <v>91557</v>
      </c>
      <c r="Z703" s="11" t="str">
        <f t="shared" si="53"/>
        <v>2024-5</v>
      </c>
      <c r="AP703" s="8"/>
      <c r="AQ703" s="8"/>
      <c r="AR703" s="8"/>
      <c r="AT703" s="8"/>
    </row>
    <row r="704" spans="1:46" x14ac:dyDescent="0.25">
      <c r="A704" t="s">
        <v>27</v>
      </c>
      <c r="B704" t="s">
        <v>247</v>
      </c>
      <c r="C704" t="s">
        <v>377</v>
      </c>
      <c r="D704" s="7">
        <v>69480</v>
      </c>
      <c r="E704">
        <v>6</v>
      </c>
      <c r="W704" t="s">
        <v>247</v>
      </c>
      <c r="X704" s="11" t="s">
        <v>377</v>
      </c>
      <c r="Y704" s="7">
        <v>69480</v>
      </c>
      <c r="Z704" s="11" t="str">
        <f t="shared" si="53"/>
        <v>2024-5</v>
      </c>
      <c r="AP704" s="8"/>
      <c r="AQ704" s="8"/>
      <c r="AR704" s="8"/>
      <c r="AT704" s="8"/>
    </row>
    <row r="705" spans="1:46" x14ac:dyDescent="0.25">
      <c r="A705" t="s">
        <v>23</v>
      </c>
      <c r="B705" t="s">
        <v>319</v>
      </c>
      <c r="C705" t="s">
        <v>378</v>
      </c>
      <c r="D705" s="7">
        <v>20268</v>
      </c>
      <c r="E705">
        <v>7</v>
      </c>
      <c r="W705" t="s">
        <v>319</v>
      </c>
      <c r="X705" s="11" t="s">
        <v>378</v>
      </c>
      <c r="Y705" s="7">
        <v>20268</v>
      </c>
      <c r="Z705" s="11" t="str">
        <f t="shared" si="53"/>
        <v>2024-5</v>
      </c>
      <c r="AP705" s="8"/>
      <c r="AQ705" s="8"/>
      <c r="AR705" s="8"/>
      <c r="AT705" s="8"/>
    </row>
    <row r="706" spans="1:46" x14ac:dyDescent="0.25">
      <c r="A706" t="s">
        <v>8</v>
      </c>
      <c r="B706" t="s">
        <v>104</v>
      </c>
      <c r="C706" t="s">
        <v>378</v>
      </c>
      <c r="D706" s="7">
        <v>84199</v>
      </c>
      <c r="E706">
        <v>7</v>
      </c>
      <c r="W706" t="s">
        <v>104</v>
      </c>
      <c r="X706" s="11" t="s">
        <v>378</v>
      </c>
      <c r="Y706" s="7">
        <v>84199</v>
      </c>
      <c r="Z706" s="11" t="str">
        <f t="shared" si="53"/>
        <v>2024-5</v>
      </c>
      <c r="AP706" s="8"/>
      <c r="AQ706" s="8"/>
      <c r="AR706" s="8"/>
      <c r="AT706" s="8"/>
    </row>
    <row r="707" spans="1:46" x14ac:dyDescent="0.25">
      <c r="A707" t="s">
        <v>36</v>
      </c>
      <c r="B707" t="s">
        <v>87</v>
      </c>
      <c r="C707" t="s">
        <v>378</v>
      </c>
      <c r="D707" s="7">
        <v>20372</v>
      </c>
      <c r="E707">
        <v>5</v>
      </c>
      <c r="W707" t="s">
        <v>87</v>
      </c>
      <c r="X707" s="11" t="s">
        <v>378</v>
      </c>
      <c r="Y707" s="7">
        <v>20372</v>
      </c>
      <c r="Z707" s="11" t="str">
        <f t="shared" ref="Z707:Z770" si="54">MID(X707,1,4)&amp;"-"&amp;IF(MID(X707,6,1)*1=0,MID(X707,7,1),MID(X707,6,2))</f>
        <v>2024-5</v>
      </c>
      <c r="AP707" s="8"/>
      <c r="AQ707" s="8"/>
      <c r="AR707" s="8"/>
      <c r="AT707" s="8"/>
    </row>
    <row r="708" spans="1:46" x14ac:dyDescent="0.25">
      <c r="A708" t="s">
        <v>8</v>
      </c>
      <c r="B708" t="s">
        <v>46</v>
      </c>
      <c r="C708" t="s">
        <v>378</v>
      </c>
      <c r="D708" s="7">
        <v>81445</v>
      </c>
      <c r="E708">
        <v>8</v>
      </c>
      <c r="W708" t="s">
        <v>46</v>
      </c>
      <c r="X708" s="11" t="s">
        <v>378</v>
      </c>
      <c r="Y708" s="7">
        <v>81445</v>
      </c>
      <c r="Z708" s="11" t="str">
        <f t="shared" si="54"/>
        <v>2024-5</v>
      </c>
      <c r="AP708" s="8"/>
      <c r="AQ708" s="8"/>
      <c r="AR708" s="8"/>
      <c r="AT708" s="8"/>
    </row>
    <row r="709" spans="1:46" x14ac:dyDescent="0.25">
      <c r="A709" t="s">
        <v>8</v>
      </c>
      <c r="B709" t="s">
        <v>196</v>
      </c>
      <c r="C709" t="s">
        <v>378</v>
      </c>
      <c r="D709" s="7">
        <v>34979</v>
      </c>
      <c r="E709">
        <v>6</v>
      </c>
      <c r="W709" t="s">
        <v>196</v>
      </c>
      <c r="X709" s="11" t="s">
        <v>378</v>
      </c>
      <c r="Y709" s="7">
        <v>34979</v>
      </c>
      <c r="Z709" s="11" t="str">
        <f t="shared" si="54"/>
        <v>2024-5</v>
      </c>
      <c r="AP709" s="8"/>
      <c r="AQ709" s="8"/>
      <c r="AR709" s="8"/>
      <c r="AT709" s="8"/>
    </row>
    <row r="710" spans="1:46" x14ac:dyDescent="0.25">
      <c r="A710" t="s">
        <v>27</v>
      </c>
      <c r="B710" t="s">
        <v>183</v>
      </c>
      <c r="C710" t="s">
        <v>378</v>
      </c>
      <c r="D710" s="7">
        <v>70744</v>
      </c>
      <c r="E710">
        <v>3</v>
      </c>
      <c r="W710" t="s">
        <v>183</v>
      </c>
      <c r="X710" s="11" t="s">
        <v>378</v>
      </c>
      <c r="Y710" s="7">
        <v>70744</v>
      </c>
      <c r="Z710" s="11" t="str">
        <f t="shared" si="54"/>
        <v>2024-5</v>
      </c>
      <c r="AP710" s="8"/>
      <c r="AQ710" s="8"/>
      <c r="AR710" s="8"/>
      <c r="AT710" s="8"/>
    </row>
    <row r="711" spans="1:46" x14ac:dyDescent="0.25">
      <c r="A711" t="s">
        <v>10</v>
      </c>
      <c r="B711" t="s">
        <v>190</v>
      </c>
      <c r="C711" t="s">
        <v>378</v>
      </c>
      <c r="D711" s="7">
        <v>85329</v>
      </c>
      <c r="E711">
        <v>5</v>
      </c>
      <c r="W711" t="s">
        <v>190</v>
      </c>
      <c r="X711" s="11" t="s">
        <v>378</v>
      </c>
      <c r="Y711" s="7">
        <v>85329</v>
      </c>
      <c r="Z711" s="11" t="str">
        <f t="shared" si="54"/>
        <v>2024-5</v>
      </c>
      <c r="AP711" s="8"/>
      <c r="AQ711" s="8"/>
      <c r="AR711" s="8"/>
      <c r="AT711" s="8"/>
    </row>
    <row r="712" spans="1:46" x14ac:dyDescent="0.25">
      <c r="A712" t="s">
        <v>20</v>
      </c>
      <c r="B712" t="s">
        <v>56</v>
      </c>
      <c r="C712" t="s">
        <v>378</v>
      </c>
      <c r="D712" s="7">
        <v>39447</v>
      </c>
      <c r="E712">
        <v>7</v>
      </c>
      <c r="W712" t="s">
        <v>56</v>
      </c>
      <c r="X712" s="11" t="s">
        <v>378</v>
      </c>
      <c r="Y712" s="7">
        <v>39447</v>
      </c>
      <c r="Z712" s="11" t="str">
        <f t="shared" si="54"/>
        <v>2024-5</v>
      </c>
      <c r="AP712" s="8"/>
      <c r="AQ712" s="8"/>
      <c r="AR712" s="8"/>
      <c r="AT712" s="8"/>
    </row>
    <row r="713" spans="1:46" x14ac:dyDescent="0.25">
      <c r="A713" t="s">
        <v>27</v>
      </c>
      <c r="B713" t="s">
        <v>90</v>
      </c>
      <c r="C713" t="s">
        <v>378</v>
      </c>
      <c r="D713" s="7">
        <v>89114</v>
      </c>
      <c r="E713">
        <v>7</v>
      </c>
      <c r="W713" t="s">
        <v>90</v>
      </c>
      <c r="X713" s="11" t="s">
        <v>378</v>
      </c>
      <c r="Y713" s="7">
        <v>89114</v>
      </c>
      <c r="Z713" s="11" t="str">
        <f t="shared" si="54"/>
        <v>2024-5</v>
      </c>
      <c r="AP713" s="8"/>
      <c r="AQ713" s="8"/>
      <c r="AR713" s="8"/>
      <c r="AT713" s="8"/>
    </row>
    <row r="714" spans="1:46" x14ac:dyDescent="0.25">
      <c r="A714" t="s">
        <v>32</v>
      </c>
      <c r="B714" t="s">
        <v>180</v>
      </c>
      <c r="C714" t="s">
        <v>379</v>
      </c>
      <c r="D714" s="7">
        <v>41094</v>
      </c>
      <c r="E714">
        <v>4</v>
      </c>
      <c r="W714" t="s">
        <v>180</v>
      </c>
      <c r="X714" s="11" t="s">
        <v>379</v>
      </c>
      <c r="Y714" s="7">
        <v>41094</v>
      </c>
      <c r="Z714" s="11" t="str">
        <f t="shared" si="54"/>
        <v>2024-5</v>
      </c>
      <c r="AP714" s="8"/>
      <c r="AQ714" s="8"/>
      <c r="AR714" s="8"/>
      <c r="AT714" s="8"/>
    </row>
    <row r="715" spans="1:46" x14ac:dyDescent="0.25">
      <c r="A715" t="s">
        <v>27</v>
      </c>
      <c r="B715" t="s">
        <v>81</v>
      </c>
      <c r="C715" t="s">
        <v>379</v>
      </c>
      <c r="D715" s="7">
        <v>10572</v>
      </c>
      <c r="E715">
        <v>6</v>
      </c>
      <c r="W715" t="s">
        <v>81</v>
      </c>
      <c r="X715" s="11" t="s">
        <v>379</v>
      </c>
      <c r="Y715" s="7">
        <v>10572</v>
      </c>
      <c r="Z715" s="11" t="str">
        <f t="shared" si="54"/>
        <v>2024-5</v>
      </c>
      <c r="AP715" s="8"/>
      <c r="AQ715" s="8"/>
      <c r="AR715" s="8"/>
      <c r="AT715" s="8"/>
    </row>
    <row r="716" spans="1:46" x14ac:dyDescent="0.25">
      <c r="A716" t="s">
        <v>5</v>
      </c>
      <c r="B716" t="s">
        <v>269</v>
      </c>
      <c r="C716" t="s">
        <v>379</v>
      </c>
      <c r="D716" s="7">
        <v>99358</v>
      </c>
      <c r="E716">
        <v>9</v>
      </c>
      <c r="W716" t="s">
        <v>269</v>
      </c>
      <c r="X716" s="11" t="s">
        <v>379</v>
      </c>
      <c r="Y716" s="7">
        <v>99358</v>
      </c>
      <c r="Z716" s="11" t="str">
        <f t="shared" si="54"/>
        <v>2024-5</v>
      </c>
      <c r="AP716" s="8"/>
      <c r="AQ716" s="8"/>
      <c r="AR716" s="8"/>
      <c r="AT716" s="8"/>
    </row>
    <row r="717" spans="1:46" x14ac:dyDescent="0.25">
      <c r="A717" t="s">
        <v>23</v>
      </c>
      <c r="B717" t="s">
        <v>120</v>
      </c>
      <c r="C717" t="s">
        <v>379</v>
      </c>
      <c r="D717" s="7">
        <v>65780</v>
      </c>
      <c r="E717">
        <v>1</v>
      </c>
      <c r="W717" t="s">
        <v>120</v>
      </c>
      <c r="X717" s="11" t="s">
        <v>379</v>
      </c>
      <c r="Y717" s="7">
        <v>65780</v>
      </c>
      <c r="Z717" s="11" t="str">
        <f t="shared" si="54"/>
        <v>2024-5</v>
      </c>
      <c r="AP717" s="8"/>
      <c r="AQ717" s="8"/>
      <c r="AR717" s="8"/>
      <c r="AT717" s="8"/>
    </row>
    <row r="718" spans="1:46" x14ac:dyDescent="0.25">
      <c r="A718" t="s">
        <v>10</v>
      </c>
      <c r="B718" t="s">
        <v>142</v>
      </c>
      <c r="C718" t="s">
        <v>380</v>
      </c>
      <c r="D718" s="7">
        <v>13819</v>
      </c>
      <c r="E718">
        <v>6</v>
      </c>
      <c r="W718" t="s">
        <v>142</v>
      </c>
      <c r="X718" s="11" t="s">
        <v>380</v>
      </c>
      <c r="Y718" s="7">
        <v>13819</v>
      </c>
      <c r="Z718" s="11" t="str">
        <f t="shared" si="54"/>
        <v>2024-5</v>
      </c>
      <c r="AP718" s="8"/>
      <c r="AQ718" s="8"/>
      <c r="AR718" s="8"/>
      <c r="AT718" s="8"/>
    </row>
    <row r="719" spans="1:46" x14ac:dyDescent="0.25">
      <c r="A719" t="s">
        <v>32</v>
      </c>
      <c r="B719" t="s">
        <v>279</v>
      </c>
      <c r="C719" t="s">
        <v>380</v>
      </c>
      <c r="D719" s="7">
        <v>67515</v>
      </c>
      <c r="E719">
        <v>6</v>
      </c>
      <c r="W719" t="s">
        <v>279</v>
      </c>
      <c r="X719" s="11" t="s">
        <v>380</v>
      </c>
      <c r="Y719" s="7">
        <v>67515</v>
      </c>
      <c r="Z719" s="11" t="str">
        <f t="shared" si="54"/>
        <v>2024-5</v>
      </c>
      <c r="AP719" s="8"/>
      <c r="AQ719" s="8"/>
      <c r="AR719" s="8"/>
      <c r="AT719" s="8"/>
    </row>
    <row r="720" spans="1:46" x14ac:dyDescent="0.25">
      <c r="A720" t="s">
        <v>10</v>
      </c>
      <c r="B720" t="s">
        <v>18</v>
      </c>
      <c r="C720" t="s">
        <v>380</v>
      </c>
      <c r="D720" s="7">
        <v>98644</v>
      </c>
      <c r="E720">
        <v>7</v>
      </c>
      <c r="W720" t="s">
        <v>18</v>
      </c>
      <c r="X720" s="11" t="s">
        <v>380</v>
      </c>
      <c r="Y720" s="7">
        <v>98644</v>
      </c>
      <c r="Z720" s="11" t="str">
        <f t="shared" si="54"/>
        <v>2024-5</v>
      </c>
      <c r="AP720" s="8"/>
      <c r="AQ720" s="8"/>
      <c r="AR720" s="8"/>
      <c r="AT720" s="8"/>
    </row>
    <row r="721" spans="1:46" x14ac:dyDescent="0.25">
      <c r="A721" t="s">
        <v>27</v>
      </c>
      <c r="B721" t="s">
        <v>157</v>
      </c>
      <c r="C721" t="s">
        <v>381</v>
      </c>
      <c r="D721" s="7">
        <v>36650</v>
      </c>
      <c r="E721">
        <v>0</v>
      </c>
      <c r="W721" t="s">
        <v>157</v>
      </c>
      <c r="X721" s="11" t="s">
        <v>381</v>
      </c>
      <c r="Y721" s="7">
        <v>36650</v>
      </c>
      <c r="Z721" s="11" t="str">
        <f t="shared" si="54"/>
        <v>2024-5</v>
      </c>
      <c r="AP721" s="8"/>
      <c r="AQ721" s="8"/>
      <c r="AR721" s="8"/>
      <c r="AT721" s="8"/>
    </row>
    <row r="722" spans="1:46" x14ac:dyDescent="0.25">
      <c r="A722" t="s">
        <v>36</v>
      </c>
      <c r="B722" t="s">
        <v>57</v>
      </c>
      <c r="C722" t="s">
        <v>381</v>
      </c>
      <c r="D722" s="7">
        <v>41328</v>
      </c>
      <c r="E722">
        <v>7</v>
      </c>
      <c r="W722" t="s">
        <v>57</v>
      </c>
      <c r="X722" s="11" t="s">
        <v>381</v>
      </c>
      <c r="Y722" s="7">
        <v>41328</v>
      </c>
      <c r="Z722" s="11" t="str">
        <f t="shared" si="54"/>
        <v>2024-5</v>
      </c>
      <c r="AP722" s="8"/>
      <c r="AQ722" s="8"/>
      <c r="AR722" s="8"/>
      <c r="AT722" s="8"/>
    </row>
    <row r="723" spans="1:46" x14ac:dyDescent="0.25">
      <c r="A723" t="s">
        <v>17</v>
      </c>
      <c r="B723" t="s">
        <v>158</v>
      </c>
      <c r="C723" t="s">
        <v>381</v>
      </c>
      <c r="D723" s="7">
        <v>98357</v>
      </c>
      <c r="E723">
        <v>7</v>
      </c>
      <c r="W723" t="s">
        <v>158</v>
      </c>
      <c r="X723" s="11" t="s">
        <v>381</v>
      </c>
      <c r="Y723" s="7">
        <v>98357</v>
      </c>
      <c r="Z723" s="11" t="str">
        <f t="shared" si="54"/>
        <v>2024-5</v>
      </c>
      <c r="AP723" s="8"/>
      <c r="AQ723" s="8"/>
      <c r="AR723" s="8"/>
      <c r="AT723" s="8"/>
    </row>
    <row r="724" spans="1:46" x14ac:dyDescent="0.25">
      <c r="A724" t="s">
        <v>5</v>
      </c>
      <c r="B724" t="s">
        <v>90</v>
      </c>
      <c r="C724" t="s">
        <v>381</v>
      </c>
      <c r="D724" s="7">
        <v>57656</v>
      </c>
      <c r="E724">
        <v>6</v>
      </c>
      <c r="W724" t="s">
        <v>90</v>
      </c>
      <c r="X724" s="11" t="s">
        <v>381</v>
      </c>
      <c r="Y724" s="7">
        <v>57656</v>
      </c>
      <c r="Z724" s="11" t="str">
        <f t="shared" si="54"/>
        <v>2024-5</v>
      </c>
      <c r="AP724" s="8"/>
      <c r="AQ724" s="8"/>
      <c r="AR724" s="8"/>
      <c r="AT724" s="8"/>
    </row>
    <row r="725" spans="1:46" x14ac:dyDescent="0.25">
      <c r="A725" t="s">
        <v>23</v>
      </c>
      <c r="B725" t="s">
        <v>98</v>
      </c>
      <c r="C725" t="s">
        <v>381</v>
      </c>
      <c r="D725" s="7">
        <v>48172</v>
      </c>
      <c r="E725">
        <v>2</v>
      </c>
      <c r="W725" t="s">
        <v>98</v>
      </c>
      <c r="X725" s="11" t="s">
        <v>381</v>
      </c>
      <c r="Y725" s="7">
        <v>48172</v>
      </c>
      <c r="Z725" s="11" t="str">
        <f t="shared" si="54"/>
        <v>2024-5</v>
      </c>
      <c r="AP725" s="8"/>
      <c r="AQ725" s="8"/>
      <c r="AR725" s="8"/>
      <c r="AT725" s="8"/>
    </row>
    <row r="726" spans="1:46" x14ac:dyDescent="0.25">
      <c r="A726" t="s">
        <v>27</v>
      </c>
      <c r="B726" t="s">
        <v>53</v>
      </c>
      <c r="C726" t="s">
        <v>382</v>
      </c>
      <c r="D726" s="7">
        <v>65547</v>
      </c>
      <c r="E726">
        <v>2</v>
      </c>
      <c r="W726" t="s">
        <v>53</v>
      </c>
      <c r="X726" s="11" t="s">
        <v>382</v>
      </c>
      <c r="Y726" s="7">
        <v>65547</v>
      </c>
      <c r="Z726" s="11" t="str">
        <f t="shared" si="54"/>
        <v>2024-5</v>
      </c>
      <c r="AP726" s="8"/>
      <c r="AQ726" s="8"/>
      <c r="AR726" s="8"/>
      <c r="AT726" s="8"/>
    </row>
    <row r="727" spans="1:46" x14ac:dyDescent="0.25">
      <c r="A727" t="s">
        <v>8</v>
      </c>
      <c r="B727" t="s">
        <v>173</v>
      </c>
      <c r="C727" t="s">
        <v>382</v>
      </c>
      <c r="D727" s="7">
        <v>95726</v>
      </c>
      <c r="E727">
        <v>9</v>
      </c>
      <c r="W727" t="s">
        <v>173</v>
      </c>
      <c r="X727" s="11" t="s">
        <v>382</v>
      </c>
      <c r="Y727" s="7">
        <v>95726</v>
      </c>
      <c r="Z727" s="11" t="str">
        <f t="shared" si="54"/>
        <v>2024-5</v>
      </c>
      <c r="AP727" s="8"/>
      <c r="AQ727" s="8"/>
      <c r="AR727" s="8"/>
      <c r="AT727" s="8"/>
    </row>
    <row r="728" spans="1:46" x14ac:dyDescent="0.25">
      <c r="A728" t="s">
        <v>10</v>
      </c>
      <c r="B728" t="s">
        <v>241</v>
      </c>
      <c r="C728" t="s">
        <v>383</v>
      </c>
      <c r="D728" s="7">
        <v>70059</v>
      </c>
      <c r="E728">
        <v>4</v>
      </c>
      <c r="W728" t="s">
        <v>241</v>
      </c>
      <c r="X728" s="11" t="s">
        <v>383</v>
      </c>
      <c r="Y728" s="7">
        <v>70059</v>
      </c>
      <c r="Z728" s="11" t="str">
        <f t="shared" si="54"/>
        <v>2024-5</v>
      </c>
      <c r="AP728" s="8"/>
      <c r="AQ728" s="8"/>
      <c r="AR728" s="8"/>
      <c r="AT728" s="8"/>
    </row>
    <row r="729" spans="1:46" x14ac:dyDescent="0.25">
      <c r="A729" t="s">
        <v>14</v>
      </c>
      <c r="B729" t="s">
        <v>384</v>
      </c>
      <c r="C729" t="s">
        <v>383</v>
      </c>
      <c r="D729" s="7">
        <v>46574</v>
      </c>
      <c r="E729">
        <v>7</v>
      </c>
      <c r="W729" t="s">
        <v>384</v>
      </c>
      <c r="X729" s="11" t="s">
        <v>383</v>
      </c>
      <c r="Y729" s="7">
        <v>46574</v>
      </c>
      <c r="Z729" s="11" t="str">
        <f t="shared" si="54"/>
        <v>2024-5</v>
      </c>
      <c r="AP729" s="8"/>
      <c r="AQ729" s="8"/>
      <c r="AR729" s="8"/>
      <c r="AT729" s="8"/>
    </row>
    <row r="730" spans="1:46" x14ac:dyDescent="0.25">
      <c r="A730" t="s">
        <v>20</v>
      </c>
      <c r="B730" t="s">
        <v>11</v>
      </c>
      <c r="C730" t="s">
        <v>383</v>
      </c>
      <c r="D730" s="7">
        <v>88134</v>
      </c>
      <c r="E730">
        <v>3</v>
      </c>
      <c r="W730" t="s">
        <v>11</v>
      </c>
      <c r="X730" s="11" t="s">
        <v>383</v>
      </c>
      <c r="Y730" s="7">
        <v>88134</v>
      </c>
      <c r="Z730" s="11" t="str">
        <f t="shared" si="54"/>
        <v>2024-5</v>
      </c>
      <c r="AP730" s="8"/>
      <c r="AQ730" s="8"/>
      <c r="AR730" s="8"/>
      <c r="AT730" s="8"/>
    </row>
    <row r="731" spans="1:46" x14ac:dyDescent="0.25">
      <c r="A731" t="s">
        <v>33</v>
      </c>
      <c r="B731" t="s">
        <v>133</v>
      </c>
      <c r="C731" t="s">
        <v>383</v>
      </c>
      <c r="D731" s="7">
        <v>49172</v>
      </c>
      <c r="E731">
        <v>5</v>
      </c>
      <c r="W731" t="s">
        <v>133</v>
      </c>
      <c r="X731" s="11" t="s">
        <v>383</v>
      </c>
      <c r="Y731" s="7">
        <v>49172</v>
      </c>
      <c r="Z731" s="11" t="str">
        <f t="shared" si="54"/>
        <v>2024-5</v>
      </c>
      <c r="AP731" s="8"/>
      <c r="AQ731" s="8"/>
      <c r="AR731" s="8"/>
      <c r="AT731" s="8"/>
    </row>
    <row r="732" spans="1:46" x14ac:dyDescent="0.25">
      <c r="A732" t="s">
        <v>8</v>
      </c>
      <c r="B732" t="s">
        <v>216</v>
      </c>
      <c r="C732" t="s">
        <v>383</v>
      </c>
      <c r="D732" s="7">
        <v>30601</v>
      </c>
      <c r="E732">
        <v>7</v>
      </c>
      <c r="W732" t="s">
        <v>216</v>
      </c>
      <c r="X732" s="11" t="s">
        <v>383</v>
      </c>
      <c r="Y732" s="7">
        <v>30601</v>
      </c>
      <c r="Z732" s="11" t="str">
        <f t="shared" si="54"/>
        <v>2024-5</v>
      </c>
      <c r="AP732" s="8"/>
      <c r="AQ732" s="8"/>
      <c r="AR732" s="8"/>
      <c r="AT732" s="8"/>
    </row>
    <row r="733" spans="1:46" x14ac:dyDescent="0.25">
      <c r="A733" t="s">
        <v>23</v>
      </c>
      <c r="B733" t="s">
        <v>42</v>
      </c>
      <c r="C733" t="s">
        <v>383</v>
      </c>
      <c r="D733" s="7">
        <v>84838</v>
      </c>
      <c r="E733">
        <v>10</v>
      </c>
      <c r="W733" t="s">
        <v>42</v>
      </c>
      <c r="X733" s="11" t="s">
        <v>383</v>
      </c>
      <c r="Y733" s="7">
        <v>84838</v>
      </c>
      <c r="Z733" s="11" t="str">
        <f t="shared" si="54"/>
        <v>2024-5</v>
      </c>
      <c r="AP733" s="8"/>
      <c r="AQ733" s="8"/>
      <c r="AR733" s="8"/>
      <c r="AT733" s="8"/>
    </row>
    <row r="734" spans="1:46" x14ac:dyDescent="0.25">
      <c r="A734" t="s">
        <v>12</v>
      </c>
      <c r="B734" t="s">
        <v>274</v>
      </c>
      <c r="C734" t="s">
        <v>383</v>
      </c>
      <c r="D734" s="7">
        <v>62649</v>
      </c>
      <c r="E734">
        <v>5</v>
      </c>
      <c r="W734" t="s">
        <v>274</v>
      </c>
      <c r="X734" s="11" t="s">
        <v>383</v>
      </c>
      <c r="Y734" s="7">
        <v>62649</v>
      </c>
      <c r="Z734" s="11" t="str">
        <f t="shared" si="54"/>
        <v>2024-5</v>
      </c>
      <c r="AP734" s="8"/>
      <c r="AQ734" s="8"/>
      <c r="AR734" s="8"/>
      <c r="AT734" s="8"/>
    </row>
    <row r="735" spans="1:46" x14ac:dyDescent="0.25">
      <c r="A735" t="s">
        <v>17</v>
      </c>
      <c r="B735" t="s">
        <v>112</v>
      </c>
      <c r="C735" t="s">
        <v>383</v>
      </c>
      <c r="D735" s="7">
        <v>84845</v>
      </c>
      <c r="E735">
        <v>4</v>
      </c>
      <c r="W735" t="s">
        <v>112</v>
      </c>
      <c r="X735" s="11" t="s">
        <v>383</v>
      </c>
      <c r="Y735" s="7">
        <v>84845</v>
      </c>
      <c r="Z735" s="11" t="str">
        <f t="shared" si="54"/>
        <v>2024-5</v>
      </c>
      <c r="AP735" s="8"/>
      <c r="AQ735" s="8"/>
      <c r="AR735" s="8"/>
      <c r="AT735" s="8"/>
    </row>
    <row r="736" spans="1:46" x14ac:dyDescent="0.25">
      <c r="A736" t="s">
        <v>27</v>
      </c>
      <c r="B736" t="s">
        <v>173</v>
      </c>
      <c r="C736" t="s">
        <v>383</v>
      </c>
      <c r="D736" s="7">
        <v>96047</v>
      </c>
      <c r="E736">
        <v>4</v>
      </c>
      <c r="W736" t="s">
        <v>173</v>
      </c>
      <c r="X736" s="11" t="s">
        <v>383</v>
      </c>
      <c r="Y736" s="7">
        <v>96047</v>
      </c>
      <c r="Z736" s="11" t="str">
        <f t="shared" si="54"/>
        <v>2024-5</v>
      </c>
      <c r="AP736" s="8"/>
      <c r="AQ736" s="8"/>
      <c r="AR736" s="8"/>
      <c r="AT736" s="8"/>
    </row>
    <row r="737" spans="1:46" x14ac:dyDescent="0.25">
      <c r="A737" t="s">
        <v>32</v>
      </c>
      <c r="B737" t="s">
        <v>13</v>
      </c>
      <c r="C737" t="s">
        <v>383</v>
      </c>
      <c r="D737" s="7">
        <v>45400</v>
      </c>
      <c r="E737">
        <v>8</v>
      </c>
      <c r="W737" t="s">
        <v>13</v>
      </c>
      <c r="X737" s="11" t="s">
        <v>383</v>
      </c>
      <c r="Y737" s="7">
        <v>45400</v>
      </c>
      <c r="Z737" s="11" t="str">
        <f t="shared" si="54"/>
        <v>2024-5</v>
      </c>
      <c r="AP737" s="8"/>
      <c r="AQ737" s="8"/>
      <c r="AR737" s="8"/>
      <c r="AT737" s="8"/>
    </row>
    <row r="738" spans="1:46" x14ac:dyDescent="0.25">
      <c r="A738" t="s">
        <v>14</v>
      </c>
      <c r="B738" t="s">
        <v>114</v>
      </c>
      <c r="C738" t="s">
        <v>385</v>
      </c>
      <c r="D738" s="7">
        <v>87842</v>
      </c>
      <c r="E738">
        <v>9</v>
      </c>
      <c r="W738" t="s">
        <v>114</v>
      </c>
      <c r="X738" s="11" t="s">
        <v>385</v>
      </c>
      <c r="Y738" s="7">
        <v>87842</v>
      </c>
      <c r="Z738" s="11" t="str">
        <f t="shared" si="54"/>
        <v>2024-5</v>
      </c>
      <c r="AP738" s="8"/>
      <c r="AQ738" s="8"/>
      <c r="AR738" s="8"/>
      <c r="AT738" s="8"/>
    </row>
    <row r="739" spans="1:46" x14ac:dyDescent="0.25">
      <c r="A739" t="s">
        <v>17</v>
      </c>
      <c r="B739" t="s">
        <v>116</v>
      </c>
      <c r="C739" t="s">
        <v>385</v>
      </c>
      <c r="D739" s="7">
        <v>65887</v>
      </c>
      <c r="E739">
        <v>5</v>
      </c>
      <c r="W739" t="s">
        <v>116</v>
      </c>
      <c r="X739" s="11" t="s">
        <v>385</v>
      </c>
      <c r="Y739" s="7">
        <v>65887</v>
      </c>
      <c r="Z739" s="11" t="str">
        <f t="shared" si="54"/>
        <v>2024-5</v>
      </c>
      <c r="AP739" s="8"/>
      <c r="AQ739" s="8"/>
      <c r="AR739" s="8"/>
      <c r="AT739" s="8"/>
    </row>
    <row r="740" spans="1:46" x14ac:dyDescent="0.25">
      <c r="A740" t="s">
        <v>5</v>
      </c>
      <c r="B740" t="s">
        <v>136</v>
      </c>
      <c r="C740" t="s">
        <v>385</v>
      </c>
      <c r="D740" s="7">
        <v>40830</v>
      </c>
      <c r="E740">
        <v>7</v>
      </c>
      <c r="W740" t="s">
        <v>136</v>
      </c>
      <c r="X740" s="11" t="s">
        <v>385</v>
      </c>
      <c r="Y740" s="7">
        <v>40830</v>
      </c>
      <c r="Z740" s="11" t="str">
        <f t="shared" si="54"/>
        <v>2024-5</v>
      </c>
      <c r="AP740" s="8"/>
      <c r="AQ740" s="8"/>
      <c r="AR740" s="8"/>
      <c r="AT740" s="8"/>
    </row>
    <row r="741" spans="1:46" x14ac:dyDescent="0.25">
      <c r="A741" t="s">
        <v>14</v>
      </c>
      <c r="B741" t="s">
        <v>256</v>
      </c>
      <c r="C741" t="s">
        <v>386</v>
      </c>
      <c r="D741" s="7">
        <v>45301</v>
      </c>
      <c r="E741">
        <v>5</v>
      </c>
      <c r="W741" t="s">
        <v>256</v>
      </c>
      <c r="X741" s="11" t="s">
        <v>386</v>
      </c>
      <c r="Y741" s="7">
        <v>45301</v>
      </c>
      <c r="Z741" s="11" t="str">
        <f t="shared" si="54"/>
        <v>2024-5</v>
      </c>
      <c r="AP741" s="8"/>
      <c r="AQ741" s="8"/>
      <c r="AR741" s="8"/>
      <c r="AT741" s="8"/>
    </row>
    <row r="742" spans="1:46" x14ac:dyDescent="0.25">
      <c r="A742" t="s">
        <v>10</v>
      </c>
      <c r="B742" t="s">
        <v>125</v>
      </c>
      <c r="C742" t="s">
        <v>386</v>
      </c>
      <c r="D742" s="7">
        <v>71179</v>
      </c>
      <c r="E742">
        <v>4</v>
      </c>
      <c r="W742" t="s">
        <v>125</v>
      </c>
      <c r="X742" s="11" t="s">
        <v>386</v>
      </c>
      <c r="Y742" s="7">
        <v>71179</v>
      </c>
      <c r="Z742" s="11" t="str">
        <f t="shared" si="54"/>
        <v>2024-5</v>
      </c>
      <c r="AP742" s="8"/>
      <c r="AQ742" s="8"/>
      <c r="AR742" s="8"/>
      <c r="AT742" s="8"/>
    </row>
    <row r="743" spans="1:46" x14ac:dyDescent="0.25">
      <c r="A743" t="s">
        <v>17</v>
      </c>
      <c r="B743" t="s">
        <v>296</v>
      </c>
      <c r="C743" t="s">
        <v>387</v>
      </c>
      <c r="D743" s="7">
        <v>22991</v>
      </c>
      <c r="E743">
        <v>7</v>
      </c>
      <c r="W743" t="s">
        <v>296</v>
      </c>
      <c r="X743" s="11" t="s">
        <v>387</v>
      </c>
      <c r="Y743" s="7">
        <v>22991</v>
      </c>
      <c r="Z743" s="11" t="str">
        <f t="shared" si="54"/>
        <v>2024-5</v>
      </c>
      <c r="AP743" s="8"/>
      <c r="AQ743" s="8"/>
      <c r="AR743" s="8"/>
      <c r="AT743" s="8"/>
    </row>
    <row r="744" spans="1:46" x14ac:dyDescent="0.25">
      <c r="A744" t="s">
        <v>33</v>
      </c>
      <c r="B744" t="s">
        <v>263</v>
      </c>
      <c r="C744" t="s">
        <v>387</v>
      </c>
      <c r="D744" s="7">
        <v>23211</v>
      </c>
      <c r="E744">
        <v>9</v>
      </c>
      <c r="W744" t="s">
        <v>263</v>
      </c>
      <c r="X744" s="11" t="s">
        <v>387</v>
      </c>
      <c r="Y744" s="7">
        <v>23211</v>
      </c>
      <c r="Z744" s="11" t="str">
        <f t="shared" si="54"/>
        <v>2024-5</v>
      </c>
      <c r="AP744" s="8"/>
      <c r="AQ744" s="8"/>
      <c r="AR744" s="8"/>
      <c r="AT744" s="8"/>
    </row>
    <row r="745" spans="1:46" x14ac:dyDescent="0.25">
      <c r="A745" t="s">
        <v>23</v>
      </c>
      <c r="B745" t="s">
        <v>183</v>
      </c>
      <c r="C745" t="s">
        <v>387</v>
      </c>
      <c r="D745" s="7">
        <v>87578</v>
      </c>
      <c r="E745">
        <v>10</v>
      </c>
      <c r="W745" t="s">
        <v>183</v>
      </c>
      <c r="X745" s="11" t="s">
        <v>387</v>
      </c>
      <c r="Y745" s="7">
        <v>87578</v>
      </c>
      <c r="Z745" s="11" t="str">
        <f t="shared" si="54"/>
        <v>2024-5</v>
      </c>
      <c r="AP745" s="8"/>
      <c r="AQ745" s="8"/>
      <c r="AR745" s="8"/>
      <c r="AT745" s="8"/>
    </row>
    <row r="746" spans="1:46" x14ac:dyDescent="0.25">
      <c r="A746" t="s">
        <v>12</v>
      </c>
      <c r="B746" t="s">
        <v>9</v>
      </c>
      <c r="C746" t="s">
        <v>387</v>
      </c>
      <c r="D746" s="7">
        <v>86279</v>
      </c>
      <c r="E746">
        <v>7</v>
      </c>
      <c r="W746" t="s">
        <v>9</v>
      </c>
      <c r="X746" s="11" t="s">
        <v>387</v>
      </c>
      <c r="Y746" s="7">
        <v>86279</v>
      </c>
      <c r="Z746" s="11" t="str">
        <f t="shared" si="54"/>
        <v>2024-5</v>
      </c>
      <c r="AP746" s="8"/>
      <c r="AQ746" s="8"/>
      <c r="AR746" s="8"/>
      <c r="AT746" s="8"/>
    </row>
    <row r="747" spans="1:46" x14ac:dyDescent="0.25">
      <c r="A747" t="s">
        <v>33</v>
      </c>
      <c r="B747" t="s">
        <v>11</v>
      </c>
      <c r="C747" t="s">
        <v>388</v>
      </c>
      <c r="D747" s="7">
        <v>28859</v>
      </c>
      <c r="E747">
        <v>10</v>
      </c>
      <c r="W747" t="s">
        <v>11</v>
      </c>
      <c r="X747" s="11" t="s">
        <v>388</v>
      </c>
      <c r="Y747" s="7">
        <v>28859</v>
      </c>
      <c r="Z747" s="11" t="str">
        <f t="shared" si="54"/>
        <v>2024-5</v>
      </c>
      <c r="AP747" s="8"/>
      <c r="AQ747" s="8"/>
      <c r="AR747" s="8"/>
      <c r="AT747" s="8"/>
    </row>
    <row r="748" spans="1:46" x14ac:dyDescent="0.25">
      <c r="A748" t="s">
        <v>20</v>
      </c>
      <c r="B748" t="s">
        <v>53</v>
      </c>
      <c r="C748" t="s">
        <v>389</v>
      </c>
      <c r="D748" s="7">
        <v>88691</v>
      </c>
      <c r="E748">
        <v>5</v>
      </c>
      <c r="W748" t="s">
        <v>53</v>
      </c>
      <c r="X748" s="11" t="s">
        <v>389</v>
      </c>
      <c r="Y748" s="7">
        <v>88691</v>
      </c>
      <c r="Z748" s="11" t="str">
        <f t="shared" si="54"/>
        <v>2024-6</v>
      </c>
      <c r="AP748" s="8"/>
      <c r="AQ748" s="8"/>
      <c r="AR748" s="8"/>
      <c r="AT748" s="8"/>
    </row>
    <row r="749" spans="1:46" x14ac:dyDescent="0.25">
      <c r="A749" t="s">
        <v>20</v>
      </c>
      <c r="B749" t="s">
        <v>19</v>
      </c>
      <c r="C749" t="s">
        <v>389</v>
      </c>
      <c r="D749" s="7">
        <v>31673</v>
      </c>
      <c r="E749">
        <v>5</v>
      </c>
      <c r="W749" t="s">
        <v>19</v>
      </c>
      <c r="X749" s="11" t="s">
        <v>389</v>
      </c>
      <c r="Y749" s="7">
        <v>31673</v>
      </c>
      <c r="Z749" s="11" t="str">
        <f t="shared" si="54"/>
        <v>2024-6</v>
      </c>
      <c r="AP749" s="8"/>
      <c r="AQ749" s="8"/>
      <c r="AR749" s="8"/>
      <c r="AT749" s="8"/>
    </row>
    <row r="750" spans="1:46" x14ac:dyDescent="0.25">
      <c r="A750" t="s">
        <v>17</v>
      </c>
      <c r="B750" t="s">
        <v>114</v>
      </c>
      <c r="C750" t="s">
        <v>389</v>
      </c>
      <c r="D750" s="7">
        <v>66405</v>
      </c>
      <c r="E750">
        <v>5</v>
      </c>
      <c r="W750" t="s">
        <v>114</v>
      </c>
      <c r="X750" s="11" t="s">
        <v>389</v>
      </c>
      <c r="Y750" s="7">
        <v>66405</v>
      </c>
      <c r="Z750" s="11" t="str">
        <f t="shared" si="54"/>
        <v>2024-6</v>
      </c>
      <c r="AP750" s="8"/>
      <c r="AQ750" s="8"/>
      <c r="AR750" s="8"/>
      <c r="AT750" s="8"/>
    </row>
    <row r="751" spans="1:46" x14ac:dyDescent="0.25">
      <c r="A751" t="s">
        <v>14</v>
      </c>
      <c r="B751" t="s">
        <v>81</v>
      </c>
      <c r="C751" t="s">
        <v>389</v>
      </c>
      <c r="D751" s="7">
        <v>39671</v>
      </c>
      <c r="E751">
        <v>6</v>
      </c>
      <c r="W751" t="s">
        <v>81</v>
      </c>
      <c r="X751" s="11" t="s">
        <v>389</v>
      </c>
      <c r="Y751" s="7">
        <v>39671</v>
      </c>
      <c r="Z751" s="11" t="str">
        <f t="shared" si="54"/>
        <v>2024-6</v>
      </c>
      <c r="AP751" s="8"/>
      <c r="AQ751" s="8"/>
      <c r="AR751" s="8"/>
      <c r="AT751" s="8"/>
    </row>
    <row r="752" spans="1:46" x14ac:dyDescent="0.25">
      <c r="A752" t="s">
        <v>8</v>
      </c>
      <c r="B752" t="s">
        <v>72</v>
      </c>
      <c r="C752" t="s">
        <v>389</v>
      </c>
      <c r="D752" s="7">
        <v>73560</v>
      </c>
      <c r="E752">
        <v>7</v>
      </c>
      <c r="W752" t="s">
        <v>72</v>
      </c>
      <c r="X752" s="11" t="s">
        <v>389</v>
      </c>
      <c r="Y752" s="7">
        <v>73560</v>
      </c>
      <c r="Z752" s="11" t="str">
        <f t="shared" si="54"/>
        <v>2024-6</v>
      </c>
      <c r="AP752" s="8"/>
      <c r="AQ752" s="8"/>
      <c r="AR752" s="8"/>
      <c r="AT752" s="8"/>
    </row>
    <row r="753" spans="1:46" x14ac:dyDescent="0.25">
      <c r="A753" t="s">
        <v>20</v>
      </c>
      <c r="B753" t="s">
        <v>319</v>
      </c>
      <c r="C753" t="s">
        <v>389</v>
      </c>
      <c r="D753" s="7">
        <v>18405</v>
      </c>
      <c r="E753">
        <v>10</v>
      </c>
      <c r="W753" t="s">
        <v>319</v>
      </c>
      <c r="X753" s="11" t="s">
        <v>389</v>
      </c>
      <c r="Y753" s="7">
        <v>18405</v>
      </c>
      <c r="Z753" s="11" t="str">
        <f t="shared" si="54"/>
        <v>2024-6</v>
      </c>
      <c r="AP753" s="8"/>
      <c r="AQ753" s="8"/>
      <c r="AR753" s="8"/>
      <c r="AT753" s="8"/>
    </row>
    <row r="754" spans="1:46" x14ac:dyDescent="0.25">
      <c r="A754" t="s">
        <v>33</v>
      </c>
      <c r="B754" t="s">
        <v>174</v>
      </c>
      <c r="C754" t="s">
        <v>389</v>
      </c>
      <c r="D754" s="7">
        <v>28117</v>
      </c>
      <c r="E754">
        <v>4</v>
      </c>
      <c r="W754" t="s">
        <v>174</v>
      </c>
      <c r="X754" s="11" t="s">
        <v>389</v>
      </c>
      <c r="Y754" s="7">
        <v>28117</v>
      </c>
      <c r="Z754" s="11" t="str">
        <f t="shared" si="54"/>
        <v>2024-6</v>
      </c>
      <c r="AP754" s="8"/>
      <c r="AQ754" s="8"/>
      <c r="AR754" s="8"/>
      <c r="AT754" s="8"/>
    </row>
    <row r="755" spans="1:46" x14ac:dyDescent="0.25">
      <c r="A755" t="s">
        <v>12</v>
      </c>
      <c r="B755" t="s">
        <v>41</v>
      </c>
      <c r="C755" t="s">
        <v>389</v>
      </c>
      <c r="D755" s="7">
        <v>28682</v>
      </c>
      <c r="E755">
        <v>2</v>
      </c>
      <c r="W755" t="s">
        <v>41</v>
      </c>
      <c r="X755" s="11" t="s">
        <v>389</v>
      </c>
      <c r="Y755" s="7">
        <v>28682</v>
      </c>
      <c r="Z755" s="11" t="str">
        <f t="shared" si="54"/>
        <v>2024-6</v>
      </c>
      <c r="AP755" s="8"/>
      <c r="AQ755" s="8"/>
      <c r="AR755" s="8"/>
      <c r="AT755" s="8"/>
    </row>
    <row r="756" spans="1:46" x14ac:dyDescent="0.25">
      <c r="A756" t="s">
        <v>12</v>
      </c>
      <c r="B756" t="s">
        <v>29</v>
      </c>
      <c r="C756" t="s">
        <v>389</v>
      </c>
      <c r="D756" s="7">
        <v>33149</v>
      </c>
      <c r="E756">
        <v>8</v>
      </c>
      <c r="W756" t="s">
        <v>29</v>
      </c>
      <c r="X756" s="11" t="s">
        <v>389</v>
      </c>
      <c r="Y756" s="7">
        <v>33149</v>
      </c>
      <c r="Z756" s="11" t="str">
        <f t="shared" si="54"/>
        <v>2024-6</v>
      </c>
      <c r="AP756" s="8"/>
      <c r="AQ756" s="8"/>
      <c r="AR756" s="8"/>
      <c r="AT756" s="8"/>
    </row>
    <row r="757" spans="1:46" x14ac:dyDescent="0.25">
      <c r="A757" t="s">
        <v>10</v>
      </c>
      <c r="B757" t="s">
        <v>215</v>
      </c>
      <c r="C757" t="s">
        <v>389</v>
      </c>
      <c r="D757" s="7">
        <v>43100</v>
      </c>
      <c r="E757">
        <v>6</v>
      </c>
      <c r="W757" t="s">
        <v>215</v>
      </c>
      <c r="X757" s="11" t="s">
        <v>389</v>
      </c>
      <c r="Y757" s="7">
        <v>43100</v>
      </c>
      <c r="Z757" s="11" t="str">
        <f t="shared" si="54"/>
        <v>2024-6</v>
      </c>
      <c r="AP757" s="8"/>
      <c r="AQ757" s="8"/>
      <c r="AR757" s="8"/>
      <c r="AT757" s="8"/>
    </row>
    <row r="758" spans="1:46" x14ac:dyDescent="0.25">
      <c r="A758" t="s">
        <v>8</v>
      </c>
      <c r="B758" t="s">
        <v>143</v>
      </c>
      <c r="C758" t="s">
        <v>389</v>
      </c>
      <c r="D758" s="7">
        <v>69158</v>
      </c>
      <c r="E758">
        <v>5</v>
      </c>
      <c r="W758" t="s">
        <v>143</v>
      </c>
      <c r="X758" s="11" t="s">
        <v>389</v>
      </c>
      <c r="Y758" s="7">
        <v>69158</v>
      </c>
      <c r="Z758" s="11" t="str">
        <f t="shared" si="54"/>
        <v>2024-6</v>
      </c>
      <c r="AP758" s="8"/>
      <c r="AQ758" s="8"/>
      <c r="AR758" s="8"/>
      <c r="AT758" s="8"/>
    </row>
    <row r="759" spans="1:46" x14ac:dyDescent="0.25">
      <c r="A759" t="s">
        <v>33</v>
      </c>
      <c r="B759" t="s">
        <v>21</v>
      </c>
      <c r="C759" t="s">
        <v>389</v>
      </c>
      <c r="D759" s="7">
        <v>37096</v>
      </c>
      <c r="E759">
        <v>5</v>
      </c>
      <c r="W759" t="s">
        <v>21</v>
      </c>
      <c r="X759" s="11" t="s">
        <v>389</v>
      </c>
      <c r="Y759" s="7">
        <v>37096</v>
      </c>
      <c r="Z759" s="11" t="str">
        <f t="shared" si="54"/>
        <v>2024-6</v>
      </c>
      <c r="AP759" s="8"/>
      <c r="AQ759" s="8"/>
      <c r="AR759" s="8"/>
      <c r="AT759" s="8"/>
    </row>
    <row r="760" spans="1:46" x14ac:dyDescent="0.25">
      <c r="A760" t="s">
        <v>5</v>
      </c>
      <c r="B760" t="s">
        <v>158</v>
      </c>
      <c r="C760" t="s">
        <v>390</v>
      </c>
      <c r="D760" s="7">
        <v>16739</v>
      </c>
      <c r="E760">
        <v>2</v>
      </c>
      <c r="W760" t="s">
        <v>158</v>
      </c>
      <c r="X760" s="11" t="s">
        <v>390</v>
      </c>
      <c r="Y760" s="7">
        <v>16739</v>
      </c>
      <c r="Z760" s="11" t="str">
        <f t="shared" si="54"/>
        <v>2024-6</v>
      </c>
      <c r="AP760" s="8"/>
      <c r="AQ760" s="8"/>
      <c r="AR760" s="8"/>
      <c r="AT760" s="8"/>
    </row>
    <row r="761" spans="1:46" x14ac:dyDescent="0.25">
      <c r="A761" t="s">
        <v>8</v>
      </c>
      <c r="B761" t="s">
        <v>29</v>
      </c>
      <c r="C761" t="s">
        <v>390</v>
      </c>
      <c r="D761" s="7">
        <v>42741</v>
      </c>
      <c r="E761">
        <v>4</v>
      </c>
      <c r="W761" t="s">
        <v>29</v>
      </c>
      <c r="X761" s="11" t="s">
        <v>390</v>
      </c>
      <c r="Y761" s="7">
        <v>42741</v>
      </c>
      <c r="Z761" s="11" t="str">
        <f t="shared" si="54"/>
        <v>2024-6</v>
      </c>
      <c r="AP761" s="8"/>
      <c r="AQ761" s="8"/>
      <c r="AR761" s="8"/>
      <c r="AT761" s="8"/>
    </row>
    <row r="762" spans="1:46" x14ac:dyDescent="0.25">
      <c r="A762" t="s">
        <v>32</v>
      </c>
      <c r="B762" t="s">
        <v>26</v>
      </c>
      <c r="C762" t="s">
        <v>390</v>
      </c>
      <c r="D762" s="7">
        <v>28153</v>
      </c>
      <c r="E762">
        <v>6</v>
      </c>
      <c r="W762" t="s">
        <v>26</v>
      </c>
      <c r="X762" s="11" t="s">
        <v>390</v>
      </c>
      <c r="Y762" s="7">
        <v>28153</v>
      </c>
      <c r="Z762" s="11" t="str">
        <f t="shared" si="54"/>
        <v>2024-6</v>
      </c>
      <c r="AP762" s="8"/>
      <c r="AQ762" s="8"/>
      <c r="AR762" s="8"/>
      <c r="AT762" s="8"/>
    </row>
    <row r="763" spans="1:46" x14ac:dyDescent="0.25">
      <c r="A763" t="s">
        <v>23</v>
      </c>
      <c r="B763" t="s">
        <v>180</v>
      </c>
      <c r="C763" t="s">
        <v>391</v>
      </c>
      <c r="D763" s="7">
        <v>19559</v>
      </c>
      <c r="E763">
        <v>0</v>
      </c>
      <c r="W763" t="s">
        <v>180</v>
      </c>
      <c r="X763" s="11" t="s">
        <v>391</v>
      </c>
      <c r="Y763" s="7">
        <v>19559</v>
      </c>
      <c r="Z763" s="11" t="str">
        <f t="shared" si="54"/>
        <v>2024-6</v>
      </c>
      <c r="AP763" s="8"/>
      <c r="AQ763" s="8"/>
      <c r="AR763" s="8"/>
      <c r="AT763" s="8"/>
    </row>
    <row r="764" spans="1:46" x14ac:dyDescent="0.25">
      <c r="A764" t="s">
        <v>36</v>
      </c>
      <c r="B764" t="s">
        <v>392</v>
      </c>
      <c r="C764" t="s">
        <v>391</v>
      </c>
      <c r="D764" s="7">
        <v>55148</v>
      </c>
      <c r="E764">
        <v>8</v>
      </c>
      <c r="W764" t="s">
        <v>392</v>
      </c>
      <c r="X764" s="11" t="s">
        <v>391</v>
      </c>
      <c r="Y764" s="7">
        <v>55148</v>
      </c>
      <c r="Z764" s="11" t="str">
        <f t="shared" si="54"/>
        <v>2024-6</v>
      </c>
      <c r="AP764" s="8"/>
      <c r="AQ764" s="8"/>
      <c r="AR764" s="8"/>
      <c r="AT764" s="8"/>
    </row>
    <row r="765" spans="1:46" x14ac:dyDescent="0.25">
      <c r="A765" t="s">
        <v>20</v>
      </c>
      <c r="B765" t="s">
        <v>393</v>
      </c>
      <c r="C765" t="s">
        <v>391</v>
      </c>
      <c r="D765" s="7">
        <v>87879</v>
      </c>
      <c r="E765">
        <v>6</v>
      </c>
      <c r="W765" t="s">
        <v>393</v>
      </c>
      <c r="X765" s="11" t="s">
        <v>391</v>
      </c>
      <c r="Y765" s="7">
        <v>87879</v>
      </c>
      <c r="Z765" s="11" t="str">
        <f t="shared" si="54"/>
        <v>2024-6</v>
      </c>
      <c r="AP765" s="8"/>
      <c r="AQ765" s="8"/>
      <c r="AR765" s="8"/>
      <c r="AT765" s="8"/>
    </row>
    <row r="766" spans="1:46" x14ac:dyDescent="0.25">
      <c r="A766" t="s">
        <v>17</v>
      </c>
      <c r="B766" t="s">
        <v>287</v>
      </c>
      <c r="C766" t="s">
        <v>391</v>
      </c>
      <c r="D766" s="7">
        <v>75381</v>
      </c>
      <c r="E766">
        <v>3</v>
      </c>
      <c r="W766" t="s">
        <v>287</v>
      </c>
      <c r="X766" s="11" t="s">
        <v>391</v>
      </c>
      <c r="Y766" s="7">
        <v>75381</v>
      </c>
      <c r="Z766" s="11" t="str">
        <f t="shared" si="54"/>
        <v>2024-6</v>
      </c>
      <c r="AP766" s="8"/>
      <c r="AQ766" s="8"/>
      <c r="AR766" s="8"/>
      <c r="AT766" s="8"/>
    </row>
    <row r="767" spans="1:46" x14ac:dyDescent="0.25">
      <c r="A767" t="s">
        <v>8</v>
      </c>
      <c r="B767" t="s">
        <v>220</v>
      </c>
      <c r="C767" t="s">
        <v>391</v>
      </c>
      <c r="D767" s="7">
        <v>14939</v>
      </c>
      <c r="E767">
        <v>8</v>
      </c>
      <c r="W767" t="s">
        <v>220</v>
      </c>
      <c r="X767" s="11" t="s">
        <v>391</v>
      </c>
      <c r="Y767" s="7">
        <v>14939</v>
      </c>
      <c r="Z767" s="11" t="str">
        <f t="shared" si="54"/>
        <v>2024-6</v>
      </c>
      <c r="AP767" s="8"/>
      <c r="AQ767" s="8"/>
      <c r="AR767" s="8"/>
      <c r="AT767" s="8"/>
    </row>
    <row r="768" spans="1:46" x14ac:dyDescent="0.25">
      <c r="A768" t="s">
        <v>5</v>
      </c>
      <c r="B768" t="s">
        <v>89</v>
      </c>
      <c r="C768" t="s">
        <v>394</v>
      </c>
      <c r="D768" s="7">
        <v>23001</v>
      </c>
      <c r="E768">
        <v>8</v>
      </c>
      <c r="W768" t="s">
        <v>89</v>
      </c>
      <c r="X768" s="11" t="s">
        <v>394</v>
      </c>
      <c r="Y768" s="7">
        <v>23001</v>
      </c>
      <c r="Z768" s="11" t="str">
        <f t="shared" si="54"/>
        <v>2024-6</v>
      </c>
      <c r="AP768" s="8"/>
      <c r="AQ768" s="8"/>
      <c r="AR768" s="8"/>
      <c r="AT768" s="8"/>
    </row>
    <row r="769" spans="1:46" x14ac:dyDescent="0.25">
      <c r="A769" t="s">
        <v>5</v>
      </c>
      <c r="B769" t="s">
        <v>215</v>
      </c>
      <c r="C769" t="s">
        <v>394</v>
      </c>
      <c r="D769" s="7">
        <v>16803</v>
      </c>
      <c r="E769">
        <v>9</v>
      </c>
      <c r="W769" t="s">
        <v>215</v>
      </c>
      <c r="X769" s="11" t="s">
        <v>394</v>
      </c>
      <c r="Y769" s="7">
        <v>16803</v>
      </c>
      <c r="Z769" s="11" t="str">
        <f t="shared" si="54"/>
        <v>2024-6</v>
      </c>
      <c r="AP769" s="8"/>
      <c r="AQ769" s="8"/>
      <c r="AR769" s="8"/>
      <c r="AT769" s="8"/>
    </row>
    <row r="770" spans="1:46" x14ac:dyDescent="0.25">
      <c r="A770" t="s">
        <v>10</v>
      </c>
      <c r="B770" t="s">
        <v>30</v>
      </c>
      <c r="C770" t="s">
        <v>394</v>
      </c>
      <c r="D770" s="7">
        <v>62877</v>
      </c>
      <c r="E770">
        <v>7</v>
      </c>
      <c r="W770" t="s">
        <v>30</v>
      </c>
      <c r="X770" s="11" t="s">
        <v>394</v>
      </c>
      <c r="Y770" s="7">
        <v>62877</v>
      </c>
      <c r="Z770" s="11" t="str">
        <f t="shared" si="54"/>
        <v>2024-6</v>
      </c>
      <c r="AP770" s="8"/>
      <c r="AQ770" s="8"/>
      <c r="AR770" s="8"/>
      <c r="AT770" s="8"/>
    </row>
    <row r="771" spans="1:46" x14ac:dyDescent="0.25">
      <c r="A771" t="s">
        <v>5</v>
      </c>
      <c r="B771" t="s">
        <v>325</v>
      </c>
      <c r="C771" t="s">
        <v>394</v>
      </c>
      <c r="D771" s="7">
        <v>88880</v>
      </c>
      <c r="E771">
        <v>9</v>
      </c>
      <c r="W771" t="s">
        <v>325</v>
      </c>
      <c r="X771" s="11" t="s">
        <v>394</v>
      </c>
      <c r="Y771" s="7">
        <v>88880</v>
      </c>
      <c r="Z771" s="11" t="str">
        <f t="shared" ref="Z771:Z834" si="55">MID(X771,1,4)&amp;"-"&amp;IF(MID(X771,6,1)*1=0,MID(X771,7,1),MID(X771,6,2))</f>
        <v>2024-6</v>
      </c>
      <c r="AP771" s="8"/>
      <c r="AQ771" s="8"/>
      <c r="AR771" s="8"/>
      <c r="AT771" s="8"/>
    </row>
    <row r="772" spans="1:46" x14ac:dyDescent="0.25">
      <c r="A772" t="s">
        <v>12</v>
      </c>
      <c r="B772" t="s">
        <v>296</v>
      </c>
      <c r="C772" t="s">
        <v>395</v>
      </c>
      <c r="D772" s="7">
        <v>61021</v>
      </c>
      <c r="E772">
        <v>9</v>
      </c>
      <c r="W772" t="s">
        <v>296</v>
      </c>
      <c r="X772" s="11" t="s">
        <v>395</v>
      </c>
      <c r="Y772" s="7">
        <v>61021</v>
      </c>
      <c r="Z772" s="11" t="str">
        <f t="shared" si="55"/>
        <v>2024-6</v>
      </c>
      <c r="AP772" s="8"/>
      <c r="AQ772" s="8"/>
      <c r="AR772" s="8"/>
      <c r="AT772" s="8"/>
    </row>
    <row r="773" spans="1:46" x14ac:dyDescent="0.25">
      <c r="A773" t="s">
        <v>23</v>
      </c>
      <c r="B773" t="s">
        <v>213</v>
      </c>
      <c r="C773" t="s">
        <v>395</v>
      </c>
      <c r="D773" s="7">
        <v>12350</v>
      </c>
      <c r="E773">
        <v>9</v>
      </c>
      <c r="W773" t="s">
        <v>213</v>
      </c>
      <c r="X773" s="11" t="s">
        <v>395</v>
      </c>
      <c r="Y773" s="7">
        <v>12350</v>
      </c>
      <c r="Z773" s="11" t="str">
        <f t="shared" si="55"/>
        <v>2024-6</v>
      </c>
      <c r="AP773" s="8"/>
      <c r="AQ773" s="8"/>
      <c r="AR773" s="8"/>
      <c r="AT773" s="8"/>
    </row>
    <row r="774" spans="1:46" x14ac:dyDescent="0.25">
      <c r="A774" t="s">
        <v>32</v>
      </c>
      <c r="B774" t="s">
        <v>274</v>
      </c>
      <c r="C774" t="s">
        <v>395</v>
      </c>
      <c r="D774" s="7">
        <v>37128</v>
      </c>
      <c r="E774">
        <v>9</v>
      </c>
      <c r="W774" t="s">
        <v>274</v>
      </c>
      <c r="X774" s="11" t="s">
        <v>395</v>
      </c>
      <c r="Y774" s="7">
        <v>37128</v>
      </c>
      <c r="Z774" s="11" t="str">
        <f t="shared" si="55"/>
        <v>2024-6</v>
      </c>
      <c r="AP774" s="8"/>
      <c r="AQ774" s="8"/>
      <c r="AR774" s="8"/>
      <c r="AT774" s="8"/>
    </row>
    <row r="775" spans="1:46" x14ac:dyDescent="0.25">
      <c r="A775" t="s">
        <v>27</v>
      </c>
      <c r="B775" t="s">
        <v>190</v>
      </c>
      <c r="C775" t="s">
        <v>395</v>
      </c>
      <c r="D775" s="7">
        <v>15196</v>
      </c>
      <c r="E775">
        <v>4</v>
      </c>
      <c r="W775" t="s">
        <v>190</v>
      </c>
      <c r="X775" s="11" t="s">
        <v>395</v>
      </c>
      <c r="Y775" s="7">
        <v>15196</v>
      </c>
      <c r="Z775" s="11" t="str">
        <f t="shared" si="55"/>
        <v>2024-6</v>
      </c>
      <c r="AP775" s="8"/>
      <c r="AQ775" s="8"/>
      <c r="AR775" s="8"/>
      <c r="AT775" s="8"/>
    </row>
    <row r="776" spans="1:46" x14ac:dyDescent="0.25">
      <c r="A776" t="s">
        <v>17</v>
      </c>
      <c r="B776" t="s">
        <v>136</v>
      </c>
      <c r="C776" t="s">
        <v>395</v>
      </c>
      <c r="D776" s="7">
        <v>43231</v>
      </c>
      <c r="E776">
        <v>6</v>
      </c>
      <c r="W776" t="s">
        <v>136</v>
      </c>
      <c r="X776" s="11" t="s">
        <v>395</v>
      </c>
      <c r="Y776" s="7">
        <v>43231</v>
      </c>
      <c r="Z776" s="11" t="str">
        <f t="shared" si="55"/>
        <v>2024-6</v>
      </c>
      <c r="AP776" s="8"/>
      <c r="AQ776" s="8"/>
      <c r="AR776" s="8"/>
      <c r="AT776" s="8"/>
    </row>
    <row r="777" spans="1:46" x14ac:dyDescent="0.25">
      <c r="A777" t="s">
        <v>27</v>
      </c>
      <c r="B777" t="s">
        <v>396</v>
      </c>
      <c r="C777" t="s">
        <v>397</v>
      </c>
      <c r="D777" s="7">
        <v>10858</v>
      </c>
      <c r="E777">
        <v>5</v>
      </c>
      <c r="W777" t="s">
        <v>396</v>
      </c>
      <c r="X777" s="11" t="s">
        <v>397</v>
      </c>
      <c r="Y777" s="7">
        <v>10858</v>
      </c>
      <c r="Z777" s="11" t="str">
        <f t="shared" si="55"/>
        <v>2024-6</v>
      </c>
      <c r="AP777" s="8"/>
      <c r="AQ777" s="8"/>
      <c r="AR777" s="8"/>
      <c r="AT777" s="8"/>
    </row>
    <row r="778" spans="1:46" x14ac:dyDescent="0.25">
      <c r="A778" t="s">
        <v>5</v>
      </c>
      <c r="B778" t="s">
        <v>202</v>
      </c>
      <c r="C778" t="s">
        <v>397</v>
      </c>
      <c r="D778" s="7">
        <v>78715</v>
      </c>
      <c r="E778">
        <v>4</v>
      </c>
      <c r="W778" t="s">
        <v>202</v>
      </c>
      <c r="X778" s="11" t="s">
        <v>397</v>
      </c>
      <c r="Y778" s="7">
        <v>78715</v>
      </c>
      <c r="Z778" s="11" t="str">
        <f t="shared" si="55"/>
        <v>2024-6</v>
      </c>
      <c r="AP778" s="8"/>
      <c r="AQ778" s="8"/>
      <c r="AR778" s="8"/>
      <c r="AT778" s="8"/>
    </row>
    <row r="779" spans="1:46" x14ac:dyDescent="0.25">
      <c r="A779" t="s">
        <v>17</v>
      </c>
      <c r="B779" t="s">
        <v>72</v>
      </c>
      <c r="C779" t="s">
        <v>397</v>
      </c>
      <c r="D779" s="7">
        <v>59956</v>
      </c>
      <c r="E779">
        <v>7</v>
      </c>
      <c r="W779" t="s">
        <v>72</v>
      </c>
      <c r="X779" s="11" t="s">
        <v>397</v>
      </c>
      <c r="Y779" s="7">
        <v>59956</v>
      </c>
      <c r="Z779" s="11" t="str">
        <f t="shared" si="55"/>
        <v>2024-6</v>
      </c>
      <c r="AP779" s="8"/>
      <c r="AQ779" s="8"/>
      <c r="AR779" s="8"/>
      <c r="AT779" s="8"/>
    </row>
    <row r="780" spans="1:46" x14ac:dyDescent="0.25">
      <c r="A780" t="s">
        <v>10</v>
      </c>
      <c r="B780" t="s">
        <v>13</v>
      </c>
      <c r="C780" t="s">
        <v>397</v>
      </c>
      <c r="D780" s="7">
        <v>78348</v>
      </c>
      <c r="E780">
        <v>7</v>
      </c>
      <c r="W780" t="s">
        <v>13</v>
      </c>
      <c r="X780" s="11" t="s">
        <v>397</v>
      </c>
      <c r="Y780" s="7">
        <v>78348</v>
      </c>
      <c r="Z780" s="11" t="str">
        <f t="shared" si="55"/>
        <v>2024-6</v>
      </c>
      <c r="AP780" s="8"/>
      <c r="AQ780" s="8"/>
      <c r="AR780" s="8"/>
      <c r="AT780" s="8"/>
    </row>
    <row r="781" spans="1:46" x14ac:dyDescent="0.25">
      <c r="A781" t="s">
        <v>27</v>
      </c>
      <c r="B781" t="s">
        <v>111</v>
      </c>
      <c r="C781" t="s">
        <v>397</v>
      </c>
      <c r="D781" s="7">
        <v>19726</v>
      </c>
      <c r="E781">
        <v>7</v>
      </c>
      <c r="W781" t="s">
        <v>111</v>
      </c>
      <c r="X781" s="11" t="s">
        <v>397</v>
      </c>
      <c r="Y781" s="7">
        <v>19726</v>
      </c>
      <c r="Z781" s="11" t="str">
        <f t="shared" si="55"/>
        <v>2024-6</v>
      </c>
      <c r="AP781" s="8"/>
      <c r="AQ781" s="8"/>
      <c r="AR781" s="8"/>
      <c r="AT781" s="8"/>
    </row>
    <row r="782" spans="1:46" x14ac:dyDescent="0.25">
      <c r="A782" t="s">
        <v>14</v>
      </c>
      <c r="B782" t="s">
        <v>104</v>
      </c>
      <c r="C782" t="s">
        <v>397</v>
      </c>
      <c r="D782" s="7">
        <v>43160</v>
      </c>
      <c r="E782">
        <v>8</v>
      </c>
      <c r="W782" t="s">
        <v>104</v>
      </c>
      <c r="X782" s="11" t="s">
        <v>397</v>
      </c>
      <c r="Y782" s="7">
        <v>43160</v>
      </c>
      <c r="Z782" s="11" t="str">
        <f t="shared" si="55"/>
        <v>2024-6</v>
      </c>
      <c r="AP782" s="8"/>
      <c r="AQ782" s="8"/>
      <c r="AR782" s="8"/>
      <c r="AT782" s="8"/>
    </row>
    <row r="783" spans="1:46" x14ac:dyDescent="0.25">
      <c r="A783" t="s">
        <v>14</v>
      </c>
      <c r="B783" t="s">
        <v>131</v>
      </c>
      <c r="C783" t="s">
        <v>398</v>
      </c>
      <c r="D783" s="7">
        <v>53071</v>
      </c>
      <c r="E783">
        <v>6</v>
      </c>
      <c r="W783" t="s">
        <v>131</v>
      </c>
      <c r="X783" s="11" t="s">
        <v>398</v>
      </c>
      <c r="Y783" s="7">
        <v>53071</v>
      </c>
      <c r="Z783" s="11" t="str">
        <f t="shared" si="55"/>
        <v>2024-6</v>
      </c>
      <c r="AP783" s="8"/>
      <c r="AQ783" s="8"/>
      <c r="AR783" s="8"/>
      <c r="AT783" s="8"/>
    </row>
    <row r="784" spans="1:46" x14ac:dyDescent="0.25">
      <c r="A784" t="s">
        <v>10</v>
      </c>
      <c r="B784" t="s">
        <v>196</v>
      </c>
      <c r="C784" t="s">
        <v>399</v>
      </c>
      <c r="D784" s="7">
        <v>98953</v>
      </c>
      <c r="E784">
        <v>10</v>
      </c>
      <c r="W784" t="s">
        <v>196</v>
      </c>
      <c r="X784" s="11" t="s">
        <v>399</v>
      </c>
      <c r="Y784" s="7">
        <v>98953</v>
      </c>
      <c r="Z784" s="11" t="str">
        <f t="shared" si="55"/>
        <v>2024-6</v>
      </c>
      <c r="AP784" s="8"/>
      <c r="AQ784" s="8"/>
      <c r="AR784" s="8"/>
      <c r="AT784" s="8"/>
    </row>
    <row r="785" spans="1:46" x14ac:dyDescent="0.25">
      <c r="A785" t="s">
        <v>32</v>
      </c>
      <c r="B785" t="s">
        <v>131</v>
      </c>
      <c r="C785" t="s">
        <v>399</v>
      </c>
      <c r="D785" s="7">
        <v>16191</v>
      </c>
      <c r="E785">
        <v>5</v>
      </c>
      <c r="W785" t="s">
        <v>131</v>
      </c>
      <c r="X785" s="11" t="s">
        <v>399</v>
      </c>
      <c r="Y785" s="7">
        <v>16191</v>
      </c>
      <c r="Z785" s="11" t="str">
        <f t="shared" si="55"/>
        <v>2024-6</v>
      </c>
      <c r="AP785" s="8"/>
      <c r="AQ785" s="8"/>
      <c r="AR785" s="8"/>
      <c r="AT785" s="8"/>
    </row>
    <row r="786" spans="1:46" x14ac:dyDescent="0.25">
      <c r="A786" t="s">
        <v>17</v>
      </c>
      <c r="B786" t="s">
        <v>42</v>
      </c>
      <c r="C786" t="s">
        <v>399</v>
      </c>
      <c r="D786" s="7">
        <v>11703</v>
      </c>
      <c r="E786">
        <v>5</v>
      </c>
      <c r="W786" t="s">
        <v>42</v>
      </c>
      <c r="X786" s="11" t="s">
        <v>399</v>
      </c>
      <c r="Y786" s="7">
        <v>11703</v>
      </c>
      <c r="Z786" s="11" t="str">
        <f t="shared" si="55"/>
        <v>2024-6</v>
      </c>
      <c r="AP786" s="8"/>
      <c r="AQ786" s="8"/>
      <c r="AR786" s="8"/>
      <c r="AT786" s="8"/>
    </row>
    <row r="787" spans="1:46" x14ac:dyDescent="0.25">
      <c r="A787" t="s">
        <v>27</v>
      </c>
      <c r="B787" t="s">
        <v>294</v>
      </c>
      <c r="C787" t="s">
        <v>400</v>
      </c>
      <c r="D787" s="7">
        <v>38535</v>
      </c>
      <c r="E787">
        <v>8</v>
      </c>
      <c r="W787" t="s">
        <v>294</v>
      </c>
      <c r="X787" s="11" t="s">
        <v>400</v>
      </c>
      <c r="Y787" s="7">
        <v>38535</v>
      </c>
      <c r="Z787" s="11" t="str">
        <f t="shared" si="55"/>
        <v>2024-6</v>
      </c>
      <c r="AP787" s="8"/>
      <c r="AQ787" s="8"/>
      <c r="AR787" s="8"/>
      <c r="AT787" s="8"/>
    </row>
    <row r="788" spans="1:46" x14ac:dyDescent="0.25">
      <c r="A788" t="s">
        <v>8</v>
      </c>
      <c r="B788" t="s">
        <v>195</v>
      </c>
      <c r="C788" t="s">
        <v>400</v>
      </c>
      <c r="D788" s="7">
        <v>87749</v>
      </c>
      <c r="E788">
        <v>10</v>
      </c>
      <c r="W788" t="s">
        <v>195</v>
      </c>
      <c r="X788" s="11" t="s">
        <v>400</v>
      </c>
      <c r="Y788" s="7">
        <v>87749</v>
      </c>
      <c r="Z788" s="11" t="str">
        <f t="shared" si="55"/>
        <v>2024-6</v>
      </c>
      <c r="AP788" s="8"/>
      <c r="AQ788" s="8"/>
      <c r="AR788" s="8"/>
      <c r="AT788" s="8"/>
    </row>
    <row r="789" spans="1:46" x14ac:dyDescent="0.25">
      <c r="A789" t="s">
        <v>32</v>
      </c>
      <c r="B789" t="s">
        <v>180</v>
      </c>
      <c r="C789" t="s">
        <v>400</v>
      </c>
      <c r="D789" s="7">
        <v>48951</v>
      </c>
      <c r="E789">
        <v>3</v>
      </c>
      <c r="W789" t="s">
        <v>180</v>
      </c>
      <c r="X789" s="11" t="s">
        <v>400</v>
      </c>
      <c r="Y789" s="7">
        <v>48951</v>
      </c>
      <c r="Z789" s="11" t="str">
        <f t="shared" si="55"/>
        <v>2024-6</v>
      </c>
      <c r="AP789" s="8"/>
      <c r="AQ789" s="8"/>
      <c r="AR789" s="8"/>
      <c r="AT789" s="8"/>
    </row>
    <row r="790" spans="1:46" x14ac:dyDescent="0.25">
      <c r="A790" t="s">
        <v>8</v>
      </c>
      <c r="B790" t="s">
        <v>147</v>
      </c>
      <c r="C790" t="s">
        <v>400</v>
      </c>
      <c r="D790" s="7">
        <v>94737</v>
      </c>
      <c r="E790">
        <v>9</v>
      </c>
      <c r="W790" t="s">
        <v>147</v>
      </c>
      <c r="X790" s="11" t="s">
        <v>400</v>
      </c>
      <c r="Y790" s="7">
        <v>94737</v>
      </c>
      <c r="Z790" s="11" t="str">
        <f t="shared" si="55"/>
        <v>2024-6</v>
      </c>
      <c r="AP790" s="8"/>
      <c r="AQ790" s="8"/>
      <c r="AR790" s="8"/>
      <c r="AT790" s="8"/>
    </row>
    <row r="791" spans="1:46" x14ac:dyDescent="0.25">
      <c r="A791" t="s">
        <v>8</v>
      </c>
      <c r="B791" t="s">
        <v>28</v>
      </c>
      <c r="C791" t="s">
        <v>400</v>
      </c>
      <c r="D791" s="7">
        <v>66190</v>
      </c>
      <c r="E791">
        <v>8</v>
      </c>
      <c r="W791" t="s">
        <v>28</v>
      </c>
      <c r="X791" s="11" t="s">
        <v>400</v>
      </c>
      <c r="Y791" s="7">
        <v>66190</v>
      </c>
      <c r="Z791" s="11" t="str">
        <f t="shared" si="55"/>
        <v>2024-6</v>
      </c>
      <c r="AP791" s="8"/>
      <c r="AQ791" s="8"/>
      <c r="AR791" s="8"/>
      <c r="AT791" s="8"/>
    </row>
    <row r="792" spans="1:46" x14ac:dyDescent="0.25">
      <c r="A792" t="s">
        <v>36</v>
      </c>
      <c r="B792" t="s">
        <v>188</v>
      </c>
      <c r="C792" t="s">
        <v>400</v>
      </c>
      <c r="D792" s="7">
        <v>57544</v>
      </c>
      <c r="E792">
        <v>6</v>
      </c>
      <c r="W792" t="s">
        <v>188</v>
      </c>
      <c r="X792" s="11" t="s">
        <v>400</v>
      </c>
      <c r="Y792" s="7">
        <v>57544</v>
      </c>
      <c r="Z792" s="11" t="str">
        <f t="shared" si="55"/>
        <v>2024-6</v>
      </c>
      <c r="AP792" s="8"/>
      <c r="AQ792" s="8"/>
      <c r="AR792" s="8"/>
      <c r="AT792" s="8"/>
    </row>
    <row r="793" spans="1:46" x14ac:dyDescent="0.25">
      <c r="A793" t="s">
        <v>17</v>
      </c>
      <c r="B793" t="s">
        <v>308</v>
      </c>
      <c r="C793" t="s">
        <v>400</v>
      </c>
      <c r="D793" s="7">
        <v>44493</v>
      </c>
      <c r="E793">
        <v>9</v>
      </c>
      <c r="W793" t="s">
        <v>308</v>
      </c>
      <c r="X793" s="11" t="s">
        <v>400</v>
      </c>
      <c r="Y793" s="7">
        <v>44493</v>
      </c>
      <c r="Z793" s="11" t="str">
        <f t="shared" si="55"/>
        <v>2024-6</v>
      </c>
      <c r="AP793" s="8"/>
      <c r="AQ793" s="8"/>
      <c r="AR793" s="8"/>
      <c r="AT793" s="8"/>
    </row>
    <row r="794" spans="1:46" x14ac:dyDescent="0.25">
      <c r="A794" t="s">
        <v>17</v>
      </c>
      <c r="B794" t="s">
        <v>58</v>
      </c>
      <c r="C794" t="s">
        <v>400</v>
      </c>
      <c r="D794" s="7">
        <v>62582</v>
      </c>
      <c r="E794">
        <v>8</v>
      </c>
      <c r="W794" t="s">
        <v>58</v>
      </c>
      <c r="X794" s="11" t="s">
        <v>400</v>
      </c>
      <c r="Y794" s="7">
        <v>62582</v>
      </c>
      <c r="Z794" s="11" t="str">
        <f t="shared" si="55"/>
        <v>2024-6</v>
      </c>
      <c r="AP794" s="8"/>
      <c r="AQ794" s="8"/>
      <c r="AR794" s="8"/>
      <c r="AT794" s="8"/>
    </row>
    <row r="795" spans="1:46" x14ac:dyDescent="0.25">
      <c r="A795" t="s">
        <v>20</v>
      </c>
      <c r="B795" t="s">
        <v>191</v>
      </c>
      <c r="C795" t="s">
        <v>400</v>
      </c>
      <c r="D795" s="7">
        <v>73805</v>
      </c>
      <c r="E795">
        <v>3</v>
      </c>
      <c r="W795" t="s">
        <v>191</v>
      </c>
      <c r="X795" s="11" t="s">
        <v>400</v>
      </c>
      <c r="Y795" s="7">
        <v>73805</v>
      </c>
      <c r="Z795" s="11" t="str">
        <f t="shared" si="55"/>
        <v>2024-6</v>
      </c>
      <c r="AP795" s="8"/>
      <c r="AQ795" s="8"/>
      <c r="AR795" s="8"/>
      <c r="AT795" s="8"/>
    </row>
    <row r="796" spans="1:46" x14ac:dyDescent="0.25">
      <c r="A796" t="s">
        <v>12</v>
      </c>
      <c r="B796" t="s">
        <v>41</v>
      </c>
      <c r="C796" t="s">
        <v>400</v>
      </c>
      <c r="D796" s="7">
        <v>58861</v>
      </c>
      <c r="E796">
        <v>6</v>
      </c>
      <c r="W796" t="s">
        <v>41</v>
      </c>
      <c r="X796" s="11" t="s">
        <v>400</v>
      </c>
      <c r="Y796" s="7">
        <v>58861</v>
      </c>
      <c r="Z796" s="11" t="str">
        <f t="shared" si="55"/>
        <v>2024-6</v>
      </c>
      <c r="AP796" s="8"/>
      <c r="AQ796" s="8"/>
      <c r="AR796" s="8"/>
      <c r="AT796" s="8"/>
    </row>
    <row r="797" spans="1:46" x14ac:dyDescent="0.25">
      <c r="A797" t="s">
        <v>10</v>
      </c>
      <c r="B797" t="s">
        <v>171</v>
      </c>
      <c r="C797" t="s">
        <v>401</v>
      </c>
      <c r="D797" s="7">
        <v>33349</v>
      </c>
      <c r="E797">
        <v>10</v>
      </c>
      <c r="W797" t="s">
        <v>171</v>
      </c>
      <c r="X797" s="11" t="s">
        <v>401</v>
      </c>
      <c r="Y797" s="7">
        <v>33349</v>
      </c>
      <c r="Z797" s="11" t="str">
        <f t="shared" si="55"/>
        <v>2024-6</v>
      </c>
      <c r="AP797" s="8"/>
      <c r="AQ797" s="8"/>
      <c r="AR797" s="8"/>
      <c r="AT797" s="8"/>
    </row>
    <row r="798" spans="1:46" x14ac:dyDescent="0.25">
      <c r="A798" t="s">
        <v>36</v>
      </c>
      <c r="B798" t="s">
        <v>13</v>
      </c>
      <c r="C798" t="s">
        <v>401</v>
      </c>
      <c r="D798" s="7">
        <v>82732</v>
      </c>
      <c r="E798">
        <v>9</v>
      </c>
      <c r="W798" t="s">
        <v>13</v>
      </c>
      <c r="X798" s="11" t="s">
        <v>401</v>
      </c>
      <c r="Y798" s="7">
        <v>82732</v>
      </c>
      <c r="Z798" s="11" t="str">
        <f t="shared" si="55"/>
        <v>2024-6</v>
      </c>
      <c r="AP798" s="8"/>
      <c r="AQ798" s="8"/>
      <c r="AR798" s="8"/>
      <c r="AT798" s="8"/>
    </row>
    <row r="799" spans="1:46" x14ac:dyDescent="0.25">
      <c r="A799" t="s">
        <v>5</v>
      </c>
      <c r="B799" t="s">
        <v>77</v>
      </c>
      <c r="C799" t="s">
        <v>401</v>
      </c>
      <c r="D799" s="7">
        <v>62698</v>
      </c>
      <c r="E799">
        <v>9</v>
      </c>
      <c r="W799" t="s">
        <v>77</v>
      </c>
      <c r="X799" s="11" t="s">
        <v>401</v>
      </c>
      <c r="Y799" s="7">
        <v>62698</v>
      </c>
      <c r="Z799" s="11" t="str">
        <f t="shared" si="55"/>
        <v>2024-6</v>
      </c>
      <c r="AP799" s="8"/>
      <c r="AQ799" s="8"/>
      <c r="AR799" s="8"/>
      <c r="AT799" s="8"/>
    </row>
    <row r="800" spans="1:46" x14ac:dyDescent="0.25">
      <c r="A800" t="s">
        <v>20</v>
      </c>
      <c r="B800" t="s">
        <v>53</v>
      </c>
      <c r="C800" t="s">
        <v>401</v>
      </c>
      <c r="D800" s="7">
        <v>57155</v>
      </c>
      <c r="E800">
        <v>5</v>
      </c>
      <c r="W800" t="s">
        <v>53</v>
      </c>
      <c r="X800" s="11" t="s">
        <v>401</v>
      </c>
      <c r="Y800" s="7">
        <v>57155</v>
      </c>
      <c r="Z800" s="11" t="str">
        <f t="shared" si="55"/>
        <v>2024-6</v>
      </c>
      <c r="AP800" s="8"/>
      <c r="AQ800" s="8"/>
      <c r="AR800" s="8"/>
      <c r="AT800" s="8"/>
    </row>
    <row r="801" spans="1:46" x14ac:dyDescent="0.25">
      <c r="A801" t="s">
        <v>33</v>
      </c>
      <c r="B801" t="s">
        <v>166</v>
      </c>
      <c r="C801" t="s">
        <v>401</v>
      </c>
      <c r="D801" s="7">
        <v>77005</v>
      </c>
      <c r="E801">
        <v>3</v>
      </c>
      <c r="W801" t="s">
        <v>166</v>
      </c>
      <c r="X801" s="11" t="s">
        <v>401</v>
      </c>
      <c r="Y801" s="7">
        <v>77005</v>
      </c>
      <c r="Z801" s="11" t="str">
        <f t="shared" si="55"/>
        <v>2024-6</v>
      </c>
      <c r="AP801" s="8"/>
      <c r="AQ801" s="8"/>
      <c r="AR801" s="8"/>
      <c r="AT801" s="8"/>
    </row>
    <row r="802" spans="1:46" x14ac:dyDescent="0.25">
      <c r="A802" t="s">
        <v>12</v>
      </c>
      <c r="B802" t="s">
        <v>101</v>
      </c>
      <c r="C802" t="s">
        <v>402</v>
      </c>
      <c r="D802" s="7">
        <v>40101</v>
      </c>
      <c r="E802">
        <v>1</v>
      </c>
      <c r="W802" t="s">
        <v>101</v>
      </c>
      <c r="X802" s="11" t="s">
        <v>402</v>
      </c>
      <c r="Y802" s="7">
        <v>40101</v>
      </c>
      <c r="Z802" s="11" t="str">
        <f t="shared" si="55"/>
        <v>2024-6</v>
      </c>
      <c r="AP802" s="8"/>
      <c r="AQ802" s="8"/>
      <c r="AR802" s="8"/>
      <c r="AT802" s="8"/>
    </row>
    <row r="803" spans="1:46" x14ac:dyDescent="0.25">
      <c r="A803" t="s">
        <v>8</v>
      </c>
      <c r="B803" t="s">
        <v>352</v>
      </c>
      <c r="C803" t="s">
        <v>402</v>
      </c>
      <c r="D803" s="7">
        <v>93379</v>
      </c>
      <c r="E803">
        <v>7</v>
      </c>
      <c r="W803" t="s">
        <v>352</v>
      </c>
      <c r="X803" s="11" t="s">
        <v>402</v>
      </c>
      <c r="Y803" s="7">
        <v>93379</v>
      </c>
      <c r="Z803" s="11" t="str">
        <f t="shared" si="55"/>
        <v>2024-6</v>
      </c>
      <c r="AP803" s="8"/>
      <c r="AQ803" s="8"/>
      <c r="AR803" s="8"/>
      <c r="AT803" s="8"/>
    </row>
    <row r="804" spans="1:46" x14ac:dyDescent="0.25">
      <c r="A804" t="s">
        <v>32</v>
      </c>
      <c r="B804" t="s">
        <v>35</v>
      </c>
      <c r="C804" t="s">
        <v>403</v>
      </c>
      <c r="D804" s="7">
        <v>93098</v>
      </c>
      <c r="E804">
        <v>8</v>
      </c>
      <c r="W804" t="s">
        <v>35</v>
      </c>
      <c r="X804" s="11" t="s">
        <v>403</v>
      </c>
      <c r="Y804" s="7">
        <v>93098</v>
      </c>
      <c r="Z804" s="11" t="str">
        <f t="shared" si="55"/>
        <v>2024-6</v>
      </c>
      <c r="AP804" s="8"/>
      <c r="AQ804" s="8"/>
      <c r="AR804" s="8"/>
      <c r="AT804" s="8"/>
    </row>
    <row r="805" spans="1:46" x14ac:dyDescent="0.25">
      <c r="A805" t="s">
        <v>5</v>
      </c>
      <c r="B805" t="s">
        <v>214</v>
      </c>
      <c r="C805" t="s">
        <v>403</v>
      </c>
      <c r="D805" s="7">
        <v>80794</v>
      </c>
      <c r="E805">
        <v>9</v>
      </c>
      <c r="W805" t="s">
        <v>214</v>
      </c>
      <c r="X805" s="11" t="s">
        <v>403</v>
      </c>
      <c r="Y805" s="7">
        <v>80794</v>
      </c>
      <c r="Z805" s="11" t="str">
        <f t="shared" si="55"/>
        <v>2024-6</v>
      </c>
      <c r="AP805" s="8"/>
      <c r="AQ805" s="8"/>
      <c r="AR805" s="8"/>
      <c r="AT805" s="8"/>
    </row>
    <row r="806" spans="1:46" x14ac:dyDescent="0.25">
      <c r="A806" t="s">
        <v>10</v>
      </c>
      <c r="B806" t="s">
        <v>184</v>
      </c>
      <c r="C806" t="s">
        <v>403</v>
      </c>
      <c r="D806" s="7">
        <v>42334</v>
      </c>
      <c r="E806">
        <v>7</v>
      </c>
      <c r="W806" t="s">
        <v>184</v>
      </c>
      <c r="X806" s="11" t="s">
        <v>403</v>
      </c>
      <c r="Y806" s="7">
        <v>42334</v>
      </c>
      <c r="Z806" s="11" t="str">
        <f t="shared" si="55"/>
        <v>2024-6</v>
      </c>
      <c r="AP806" s="8"/>
      <c r="AQ806" s="8"/>
      <c r="AR806" s="8"/>
      <c r="AT806" s="8"/>
    </row>
    <row r="807" spans="1:46" x14ac:dyDescent="0.25">
      <c r="A807" t="s">
        <v>20</v>
      </c>
      <c r="B807" t="s">
        <v>18</v>
      </c>
      <c r="C807" t="s">
        <v>403</v>
      </c>
      <c r="D807" s="7">
        <v>53858</v>
      </c>
      <c r="E807">
        <v>5</v>
      </c>
      <c r="W807" t="s">
        <v>18</v>
      </c>
      <c r="X807" s="11" t="s">
        <v>403</v>
      </c>
      <c r="Y807" s="7">
        <v>53858</v>
      </c>
      <c r="Z807" s="11" t="str">
        <f t="shared" si="55"/>
        <v>2024-6</v>
      </c>
      <c r="AP807" s="8"/>
      <c r="AQ807" s="8"/>
      <c r="AR807" s="8"/>
      <c r="AT807" s="8"/>
    </row>
    <row r="808" spans="1:46" x14ac:dyDescent="0.25">
      <c r="A808" t="s">
        <v>8</v>
      </c>
      <c r="B808" t="s">
        <v>364</v>
      </c>
      <c r="C808" t="s">
        <v>404</v>
      </c>
      <c r="D808" s="7">
        <v>12451</v>
      </c>
      <c r="E808">
        <v>3</v>
      </c>
      <c r="W808" t="s">
        <v>364</v>
      </c>
      <c r="X808" s="11" t="s">
        <v>404</v>
      </c>
      <c r="Y808" s="7">
        <v>12451</v>
      </c>
      <c r="Z808" s="11" t="str">
        <f t="shared" si="55"/>
        <v>2024-6</v>
      </c>
      <c r="AP808" s="8"/>
      <c r="AQ808" s="8"/>
      <c r="AR808" s="8"/>
      <c r="AT808" s="8"/>
    </row>
    <row r="809" spans="1:46" x14ac:dyDescent="0.25">
      <c r="A809" t="s">
        <v>8</v>
      </c>
      <c r="B809" t="s">
        <v>190</v>
      </c>
      <c r="C809" t="s">
        <v>404</v>
      </c>
      <c r="D809" s="7">
        <v>34136</v>
      </c>
      <c r="E809">
        <v>7</v>
      </c>
      <c r="W809" t="s">
        <v>190</v>
      </c>
      <c r="X809" s="11" t="s">
        <v>404</v>
      </c>
      <c r="Y809" s="7">
        <v>34136</v>
      </c>
      <c r="Z809" s="11" t="str">
        <f t="shared" si="55"/>
        <v>2024-6</v>
      </c>
      <c r="AP809" s="8"/>
      <c r="AQ809" s="8"/>
      <c r="AR809" s="8"/>
      <c r="AT809" s="8"/>
    </row>
    <row r="810" spans="1:46" x14ac:dyDescent="0.25">
      <c r="A810" t="s">
        <v>17</v>
      </c>
      <c r="B810" t="s">
        <v>249</v>
      </c>
      <c r="C810" t="s">
        <v>404</v>
      </c>
      <c r="D810" s="7">
        <v>13859</v>
      </c>
      <c r="E810">
        <v>7</v>
      </c>
      <c r="W810" t="s">
        <v>249</v>
      </c>
      <c r="X810" s="11" t="s">
        <v>404</v>
      </c>
      <c r="Y810" s="7">
        <v>13859</v>
      </c>
      <c r="Z810" s="11" t="str">
        <f t="shared" si="55"/>
        <v>2024-6</v>
      </c>
      <c r="AP810" s="8"/>
      <c r="AQ810" s="8"/>
      <c r="AR810" s="8"/>
      <c r="AT810" s="8"/>
    </row>
    <row r="811" spans="1:46" x14ac:dyDescent="0.25">
      <c r="A811" t="s">
        <v>10</v>
      </c>
      <c r="B811" t="s">
        <v>256</v>
      </c>
      <c r="C811" t="s">
        <v>404</v>
      </c>
      <c r="D811" s="7">
        <v>32971</v>
      </c>
      <c r="E811">
        <v>7</v>
      </c>
      <c r="W811" t="s">
        <v>256</v>
      </c>
      <c r="X811" s="11" t="s">
        <v>404</v>
      </c>
      <c r="Y811" s="7">
        <v>32971</v>
      </c>
      <c r="Z811" s="11" t="str">
        <f t="shared" si="55"/>
        <v>2024-6</v>
      </c>
      <c r="AP811" s="8"/>
      <c r="AQ811" s="8"/>
      <c r="AR811" s="8"/>
      <c r="AT811" s="8"/>
    </row>
    <row r="812" spans="1:46" x14ac:dyDescent="0.25">
      <c r="A812" t="s">
        <v>17</v>
      </c>
      <c r="B812" t="s">
        <v>296</v>
      </c>
      <c r="C812" t="s">
        <v>404</v>
      </c>
      <c r="D812" s="7">
        <v>26673</v>
      </c>
      <c r="E812">
        <v>2</v>
      </c>
      <c r="W812" t="s">
        <v>296</v>
      </c>
      <c r="X812" s="11" t="s">
        <v>404</v>
      </c>
      <c r="Y812" s="7">
        <v>26673</v>
      </c>
      <c r="Z812" s="11" t="str">
        <f t="shared" si="55"/>
        <v>2024-6</v>
      </c>
      <c r="AP812" s="8"/>
      <c r="AQ812" s="8"/>
      <c r="AR812" s="8"/>
      <c r="AT812" s="8"/>
    </row>
    <row r="813" spans="1:46" x14ac:dyDescent="0.25">
      <c r="A813" t="s">
        <v>36</v>
      </c>
      <c r="B813" t="s">
        <v>169</v>
      </c>
      <c r="C813" t="s">
        <v>404</v>
      </c>
      <c r="D813" s="7">
        <v>12479</v>
      </c>
      <c r="E813">
        <v>7</v>
      </c>
      <c r="W813" t="s">
        <v>169</v>
      </c>
      <c r="X813" s="11" t="s">
        <v>404</v>
      </c>
      <c r="Y813" s="7">
        <v>12479</v>
      </c>
      <c r="Z813" s="11" t="str">
        <f t="shared" si="55"/>
        <v>2024-6</v>
      </c>
      <c r="AP813" s="8"/>
      <c r="AQ813" s="8"/>
      <c r="AR813" s="8"/>
      <c r="AT813" s="8"/>
    </row>
    <row r="814" spans="1:46" x14ac:dyDescent="0.25">
      <c r="A814" t="s">
        <v>12</v>
      </c>
      <c r="B814" t="s">
        <v>42</v>
      </c>
      <c r="C814" t="s">
        <v>404</v>
      </c>
      <c r="D814" s="7">
        <v>14834</v>
      </c>
      <c r="E814">
        <v>5</v>
      </c>
      <c r="W814" t="s">
        <v>42</v>
      </c>
      <c r="X814" s="11" t="s">
        <v>404</v>
      </c>
      <c r="Y814" s="7">
        <v>14834</v>
      </c>
      <c r="Z814" s="11" t="str">
        <f t="shared" si="55"/>
        <v>2024-6</v>
      </c>
      <c r="AP814" s="8"/>
      <c r="AQ814" s="8"/>
      <c r="AR814" s="8"/>
      <c r="AT814" s="8"/>
    </row>
    <row r="815" spans="1:46" x14ac:dyDescent="0.25">
      <c r="A815" t="s">
        <v>32</v>
      </c>
      <c r="B815" t="s">
        <v>21</v>
      </c>
      <c r="C815" t="s">
        <v>405</v>
      </c>
      <c r="D815" s="7">
        <v>74619</v>
      </c>
      <c r="E815">
        <v>6</v>
      </c>
      <c r="W815" t="s">
        <v>21</v>
      </c>
      <c r="X815" s="11" t="s">
        <v>405</v>
      </c>
      <c r="Y815" s="7">
        <v>74619</v>
      </c>
      <c r="Z815" s="11" t="str">
        <f t="shared" si="55"/>
        <v>2024-6</v>
      </c>
      <c r="AP815" s="8"/>
      <c r="AQ815" s="8"/>
      <c r="AR815" s="8"/>
      <c r="AT815" s="8"/>
    </row>
    <row r="816" spans="1:46" x14ac:dyDescent="0.25">
      <c r="A816" t="s">
        <v>5</v>
      </c>
      <c r="B816" t="s">
        <v>53</v>
      </c>
      <c r="C816" t="s">
        <v>406</v>
      </c>
      <c r="D816" s="7">
        <v>77491</v>
      </c>
      <c r="E816">
        <v>4</v>
      </c>
      <c r="W816" t="s">
        <v>53</v>
      </c>
      <c r="X816" s="11" t="s">
        <v>406</v>
      </c>
      <c r="Y816" s="7">
        <v>77491</v>
      </c>
      <c r="Z816" s="11" t="str">
        <f t="shared" si="55"/>
        <v>2024-6</v>
      </c>
      <c r="AP816" s="8"/>
      <c r="AQ816" s="8"/>
      <c r="AR816" s="8"/>
      <c r="AT816" s="8"/>
    </row>
    <row r="817" spans="1:46" x14ac:dyDescent="0.25">
      <c r="A817" t="s">
        <v>5</v>
      </c>
      <c r="B817" t="s">
        <v>39</v>
      </c>
      <c r="C817" t="s">
        <v>407</v>
      </c>
      <c r="D817" s="7">
        <v>62725</v>
      </c>
      <c r="E817">
        <v>9</v>
      </c>
      <c r="W817" t="s">
        <v>39</v>
      </c>
      <c r="X817" s="11" t="s">
        <v>407</v>
      </c>
      <c r="Y817" s="7">
        <v>62725</v>
      </c>
      <c r="Z817" s="11" t="str">
        <f t="shared" si="55"/>
        <v>2024-6</v>
      </c>
      <c r="AP817" s="8"/>
      <c r="AQ817" s="8"/>
      <c r="AR817" s="8"/>
      <c r="AT817" s="8"/>
    </row>
    <row r="818" spans="1:46" x14ac:dyDescent="0.25">
      <c r="A818" t="s">
        <v>36</v>
      </c>
      <c r="B818" t="s">
        <v>35</v>
      </c>
      <c r="C818" t="s">
        <v>407</v>
      </c>
      <c r="D818" s="7">
        <v>25125</v>
      </c>
      <c r="E818">
        <v>8</v>
      </c>
      <c r="W818" t="s">
        <v>35</v>
      </c>
      <c r="X818" s="11" t="s">
        <v>407</v>
      </c>
      <c r="Y818" s="7">
        <v>25125</v>
      </c>
      <c r="Z818" s="11" t="str">
        <f t="shared" si="55"/>
        <v>2024-6</v>
      </c>
      <c r="AP818" s="8"/>
      <c r="AQ818" s="8"/>
      <c r="AR818" s="8"/>
      <c r="AT818" s="8"/>
    </row>
    <row r="819" spans="1:46" x14ac:dyDescent="0.25">
      <c r="A819" t="s">
        <v>23</v>
      </c>
      <c r="B819" t="s">
        <v>25</v>
      </c>
      <c r="C819" t="s">
        <v>407</v>
      </c>
      <c r="D819" s="7">
        <v>84883</v>
      </c>
      <c r="E819">
        <v>8</v>
      </c>
      <c r="W819" t="s">
        <v>25</v>
      </c>
      <c r="X819" s="11" t="s">
        <v>407</v>
      </c>
      <c r="Y819" s="7">
        <v>84883</v>
      </c>
      <c r="Z819" s="11" t="str">
        <f t="shared" si="55"/>
        <v>2024-6</v>
      </c>
      <c r="AP819" s="8"/>
      <c r="AQ819" s="8"/>
      <c r="AR819" s="8"/>
      <c r="AT819" s="8"/>
    </row>
    <row r="820" spans="1:46" x14ac:dyDescent="0.25">
      <c r="A820" t="s">
        <v>27</v>
      </c>
      <c r="B820" t="s">
        <v>220</v>
      </c>
      <c r="C820" t="s">
        <v>407</v>
      </c>
      <c r="D820" s="7">
        <v>40733</v>
      </c>
      <c r="E820">
        <v>8</v>
      </c>
      <c r="W820" t="s">
        <v>220</v>
      </c>
      <c r="X820" s="11" t="s">
        <v>407</v>
      </c>
      <c r="Y820" s="7">
        <v>40733</v>
      </c>
      <c r="Z820" s="11" t="str">
        <f t="shared" si="55"/>
        <v>2024-6</v>
      </c>
      <c r="AP820" s="8"/>
      <c r="AQ820" s="8"/>
      <c r="AR820" s="8"/>
      <c r="AT820" s="8"/>
    </row>
    <row r="821" spans="1:46" x14ac:dyDescent="0.25">
      <c r="A821" t="s">
        <v>36</v>
      </c>
      <c r="B821" t="s">
        <v>281</v>
      </c>
      <c r="C821" t="s">
        <v>408</v>
      </c>
      <c r="D821" s="7">
        <v>70036</v>
      </c>
      <c r="E821">
        <v>9</v>
      </c>
      <c r="W821" t="s">
        <v>281</v>
      </c>
      <c r="X821" s="11" t="s">
        <v>408</v>
      </c>
      <c r="Y821" s="7">
        <v>70036</v>
      </c>
      <c r="Z821" s="11" t="str">
        <f t="shared" si="55"/>
        <v>2024-6</v>
      </c>
      <c r="AP821" s="8"/>
      <c r="AQ821" s="8"/>
      <c r="AR821" s="8"/>
      <c r="AT821" s="8"/>
    </row>
    <row r="822" spans="1:46" x14ac:dyDescent="0.25">
      <c r="A822" t="s">
        <v>8</v>
      </c>
      <c r="B822" t="s">
        <v>174</v>
      </c>
      <c r="C822" t="s">
        <v>408</v>
      </c>
      <c r="D822" s="7">
        <v>97537</v>
      </c>
      <c r="E822">
        <v>5</v>
      </c>
      <c r="W822" t="s">
        <v>174</v>
      </c>
      <c r="X822" s="11" t="s">
        <v>408</v>
      </c>
      <c r="Y822" s="7">
        <v>97537</v>
      </c>
      <c r="Z822" s="11" t="str">
        <f t="shared" si="55"/>
        <v>2024-6</v>
      </c>
      <c r="AP822" s="8"/>
      <c r="AQ822" s="8"/>
      <c r="AR822" s="8"/>
      <c r="AT822" s="8"/>
    </row>
    <row r="823" spans="1:46" x14ac:dyDescent="0.25">
      <c r="A823" t="s">
        <v>14</v>
      </c>
      <c r="B823" t="s">
        <v>79</v>
      </c>
      <c r="C823" t="s">
        <v>409</v>
      </c>
      <c r="D823" s="7">
        <v>46862</v>
      </c>
      <c r="E823">
        <v>2</v>
      </c>
      <c r="W823" t="s">
        <v>79</v>
      </c>
      <c r="X823" s="11" t="s">
        <v>409</v>
      </c>
      <c r="Y823" s="7">
        <v>46862</v>
      </c>
      <c r="Z823" s="11" t="str">
        <f t="shared" si="55"/>
        <v>2024-7</v>
      </c>
      <c r="AP823" s="8"/>
      <c r="AQ823" s="8"/>
      <c r="AR823" s="8"/>
      <c r="AT823" s="8"/>
    </row>
    <row r="824" spans="1:46" x14ac:dyDescent="0.25">
      <c r="A824" t="s">
        <v>23</v>
      </c>
      <c r="B824" t="s">
        <v>215</v>
      </c>
      <c r="C824" t="s">
        <v>409</v>
      </c>
      <c r="D824" s="7">
        <v>67363</v>
      </c>
      <c r="E824">
        <v>7</v>
      </c>
      <c r="W824" t="s">
        <v>215</v>
      </c>
      <c r="X824" s="11" t="s">
        <v>409</v>
      </c>
      <c r="Y824" s="7">
        <v>67363</v>
      </c>
      <c r="Z824" s="11" t="str">
        <f t="shared" si="55"/>
        <v>2024-7</v>
      </c>
      <c r="AP824" s="8"/>
      <c r="AQ824" s="8"/>
      <c r="AR824" s="8"/>
      <c r="AT824" s="8"/>
    </row>
    <row r="825" spans="1:46" x14ac:dyDescent="0.25">
      <c r="A825" t="s">
        <v>14</v>
      </c>
      <c r="B825" t="s">
        <v>81</v>
      </c>
      <c r="C825" t="s">
        <v>409</v>
      </c>
      <c r="D825" s="7">
        <v>34193</v>
      </c>
      <c r="E825">
        <v>7</v>
      </c>
      <c r="W825" t="s">
        <v>81</v>
      </c>
      <c r="X825" s="11" t="s">
        <v>409</v>
      </c>
      <c r="Y825" s="7">
        <v>34193</v>
      </c>
      <c r="Z825" s="11" t="str">
        <f t="shared" si="55"/>
        <v>2024-7</v>
      </c>
      <c r="AP825" s="8"/>
      <c r="AQ825" s="8"/>
      <c r="AR825" s="8"/>
      <c r="AT825" s="8"/>
    </row>
    <row r="826" spans="1:46" x14ac:dyDescent="0.25">
      <c r="A826" t="s">
        <v>12</v>
      </c>
      <c r="B826" t="s">
        <v>82</v>
      </c>
      <c r="C826" t="s">
        <v>410</v>
      </c>
      <c r="D826" s="7">
        <v>52088</v>
      </c>
      <c r="E826">
        <v>4</v>
      </c>
      <c r="W826" t="s">
        <v>82</v>
      </c>
      <c r="X826" s="11" t="s">
        <v>410</v>
      </c>
      <c r="Y826" s="7">
        <v>52088</v>
      </c>
      <c r="Z826" s="11" t="str">
        <f t="shared" si="55"/>
        <v>2024-7</v>
      </c>
      <c r="AP826" s="8"/>
      <c r="AQ826" s="8"/>
      <c r="AR826" s="8"/>
      <c r="AT826" s="8"/>
    </row>
    <row r="827" spans="1:46" x14ac:dyDescent="0.25">
      <c r="A827" t="s">
        <v>36</v>
      </c>
      <c r="B827" t="s">
        <v>111</v>
      </c>
      <c r="C827" t="s">
        <v>410</v>
      </c>
      <c r="D827" s="7">
        <v>12376</v>
      </c>
      <c r="E827">
        <v>7</v>
      </c>
      <c r="W827" t="s">
        <v>111</v>
      </c>
      <c r="X827" s="11" t="s">
        <v>410</v>
      </c>
      <c r="Y827" s="7">
        <v>12376</v>
      </c>
      <c r="Z827" s="11" t="str">
        <f t="shared" si="55"/>
        <v>2024-7</v>
      </c>
      <c r="AP827" s="8"/>
      <c r="AQ827" s="8"/>
      <c r="AR827" s="8"/>
      <c r="AT827" s="8"/>
    </row>
    <row r="828" spans="1:46" x14ac:dyDescent="0.25">
      <c r="A828" t="s">
        <v>32</v>
      </c>
      <c r="B828" t="s">
        <v>231</v>
      </c>
      <c r="C828" t="s">
        <v>411</v>
      </c>
      <c r="D828" s="7">
        <v>60177</v>
      </c>
      <c r="E828">
        <v>7</v>
      </c>
      <c r="W828" t="s">
        <v>231</v>
      </c>
      <c r="X828" s="11" t="s">
        <v>411</v>
      </c>
      <c r="Y828" s="7">
        <v>60177</v>
      </c>
      <c r="Z828" s="11" t="str">
        <f t="shared" si="55"/>
        <v>2024-7</v>
      </c>
      <c r="AP828" s="8"/>
      <c r="AQ828" s="8"/>
      <c r="AR828" s="8"/>
      <c r="AT828" s="8"/>
    </row>
    <row r="829" spans="1:46" x14ac:dyDescent="0.25">
      <c r="A829" t="s">
        <v>32</v>
      </c>
      <c r="B829" t="s">
        <v>157</v>
      </c>
      <c r="C829" t="s">
        <v>411</v>
      </c>
      <c r="D829" s="7">
        <v>51902</v>
      </c>
      <c r="E829">
        <v>6</v>
      </c>
      <c r="W829" t="s">
        <v>157</v>
      </c>
      <c r="X829" s="11" t="s">
        <v>411</v>
      </c>
      <c r="Y829" s="7">
        <v>51902</v>
      </c>
      <c r="Z829" s="11" t="str">
        <f t="shared" si="55"/>
        <v>2024-7</v>
      </c>
      <c r="AP829" s="8"/>
      <c r="AQ829" s="8"/>
      <c r="AR829" s="8"/>
      <c r="AT829" s="8"/>
    </row>
    <row r="830" spans="1:46" x14ac:dyDescent="0.25">
      <c r="A830" t="s">
        <v>33</v>
      </c>
      <c r="B830" t="s">
        <v>341</v>
      </c>
      <c r="C830" t="s">
        <v>411</v>
      </c>
      <c r="D830" s="7">
        <v>85130</v>
      </c>
      <c r="E830">
        <v>3</v>
      </c>
      <c r="W830" t="s">
        <v>341</v>
      </c>
      <c r="X830" s="11" t="s">
        <v>411</v>
      </c>
      <c r="Y830" s="7">
        <v>85130</v>
      </c>
      <c r="Z830" s="11" t="str">
        <f t="shared" si="55"/>
        <v>2024-7</v>
      </c>
      <c r="AP830" s="8"/>
      <c r="AQ830" s="8"/>
      <c r="AR830" s="8"/>
      <c r="AT830" s="8"/>
    </row>
    <row r="831" spans="1:46" x14ac:dyDescent="0.25">
      <c r="A831" t="s">
        <v>20</v>
      </c>
      <c r="B831" t="s">
        <v>19</v>
      </c>
      <c r="C831" t="s">
        <v>411</v>
      </c>
      <c r="D831" s="7">
        <v>86002</v>
      </c>
      <c r="E831">
        <v>8</v>
      </c>
      <c r="W831" t="s">
        <v>19</v>
      </c>
      <c r="X831" s="11" t="s">
        <v>411</v>
      </c>
      <c r="Y831" s="7">
        <v>86002</v>
      </c>
      <c r="Z831" s="11" t="str">
        <f t="shared" si="55"/>
        <v>2024-7</v>
      </c>
      <c r="AP831" s="8"/>
      <c r="AQ831" s="8"/>
      <c r="AR831" s="8"/>
      <c r="AT831" s="8"/>
    </row>
    <row r="832" spans="1:46" x14ac:dyDescent="0.25">
      <c r="A832" t="s">
        <v>32</v>
      </c>
      <c r="B832" t="s">
        <v>247</v>
      </c>
      <c r="C832" t="s">
        <v>412</v>
      </c>
      <c r="D832" s="7">
        <v>95566</v>
      </c>
      <c r="E832">
        <v>6</v>
      </c>
      <c r="W832" t="s">
        <v>247</v>
      </c>
      <c r="X832" s="11" t="s">
        <v>412</v>
      </c>
      <c r="Y832" s="7">
        <v>95566</v>
      </c>
      <c r="Z832" s="11" t="str">
        <f t="shared" si="55"/>
        <v>2024-7</v>
      </c>
      <c r="AP832" s="8"/>
      <c r="AQ832" s="8"/>
      <c r="AR832" s="8"/>
      <c r="AT832" s="8"/>
    </row>
    <row r="833" spans="1:46" x14ac:dyDescent="0.25">
      <c r="A833" t="s">
        <v>23</v>
      </c>
      <c r="B833" t="s">
        <v>173</v>
      </c>
      <c r="C833" t="s">
        <v>412</v>
      </c>
      <c r="D833" s="7">
        <v>92352</v>
      </c>
      <c r="E833">
        <v>4</v>
      </c>
      <c r="W833" t="s">
        <v>173</v>
      </c>
      <c r="X833" s="11" t="s">
        <v>412</v>
      </c>
      <c r="Y833" s="7">
        <v>92352</v>
      </c>
      <c r="Z833" s="11" t="str">
        <f t="shared" si="55"/>
        <v>2024-7</v>
      </c>
      <c r="AP833" s="8"/>
      <c r="AQ833" s="8"/>
      <c r="AR833" s="8"/>
      <c r="AT833" s="8"/>
    </row>
    <row r="834" spans="1:46" x14ac:dyDescent="0.25">
      <c r="A834" t="s">
        <v>33</v>
      </c>
      <c r="B834" t="s">
        <v>11</v>
      </c>
      <c r="C834" t="s">
        <v>412</v>
      </c>
      <c r="D834" s="7">
        <v>28602</v>
      </c>
      <c r="E834">
        <v>3</v>
      </c>
      <c r="W834" t="s">
        <v>11</v>
      </c>
      <c r="X834" s="11" t="s">
        <v>412</v>
      </c>
      <c r="Y834" s="7">
        <v>28602</v>
      </c>
      <c r="Z834" s="11" t="str">
        <f t="shared" si="55"/>
        <v>2024-7</v>
      </c>
      <c r="AP834" s="8"/>
      <c r="AQ834" s="8"/>
      <c r="AR834" s="8"/>
      <c r="AT834" s="8"/>
    </row>
    <row r="835" spans="1:46" x14ac:dyDescent="0.25">
      <c r="A835" t="s">
        <v>5</v>
      </c>
      <c r="B835" t="s">
        <v>392</v>
      </c>
      <c r="C835" t="s">
        <v>412</v>
      </c>
      <c r="D835" s="7">
        <v>36611</v>
      </c>
      <c r="E835">
        <v>7</v>
      </c>
      <c r="W835" t="s">
        <v>392</v>
      </c>
      <c r="X835" s="11" t="s">
        <v>412</v>
      </c>
      <c r="Y835" s="7">
        <v>36611</v>
      </c>
      <c r="Z835" s="11" t="str">
        <f t="shared" ref="Z835:Z898" si="56">MID(X835,1,4)&amp;"-"&amp;IF(MID(X835,6,1)*1=0,MID(X835,7,1),MID(X835,6,2))</f>
        <v>2024-7</v>
      </c>
      <c r="AP835" s="8"/>
      <c r="AQ835" s="8"/>
      <c r="AR835" s="8"/>
      <c r="AT835" s="8"/>
    </row>
    <row r="836" spans="1:46" x14ac:dyDescent="0.25">
      <c r="A836" t="s">
        <v>14</v>
      </c>
      <c r="B836" t="s">
        <v>158</v>
      </c>
      <c r="C836" t="s">
        <v>413</v>
      </c>
      <c r="D836" s="7">
        <v>77392</v>
      </c>
      <c r="E836">
        <v>7</v>
      </c>
      <c r="W836" t="s">
        <v>158</v>
      </c>
      <c r="X836" s="11" t="s">
        <v>413</v>
      </c>
      <c r="Y836" s="7">
        <v>77392</v>
      </c>
      <c r="Z836" s="11" t="str">
        <f t="shared" si="56"/>
        <v>2024-7</v>
      </c>
      <c r="AP836" s="8"/>
      <c r="AQ836" s="8"/>
      <c r="AR836" s="8"/>
      <c r="AT836" s="8"/>
    </row>
    <row r="837" spans="1:46" x14ac:dyDescent="0.25">
      <c r="A837" t="s">
        <v>10</v>
      </c>
      <c r="B837" t="s">
        <v>11</v>
      </c>
      <c r="C837" t="s">
        <v>413</v>
      </c>
      <c r="D837" s="7">
        <v>78250</v>
      </c>
      <c r="E837">
        <v>5</v>
      </c>
      <c r="W837" t="s">
        <v>11</v>
      </c>
      <c r="X837" s="11" t="s">
        <v>413</v>
      </c>
      <c r="Y837" s="7">
        <v>78250</v>
      </c>
      <c r="Z837" s="11" t="str">
        <f t="shared" si="56"/>
        <v>2024-7</v>
      </c>
      <c r="AP837" s="8"/>
      <c r="AQ837" s="8"/>
      <c r="AR837" s="8"/>
      <c r="AT837" s="8"/>
    </row>
    <row r="838" spans="1:46" x14ac:dyDescent="0.25">
      <c r="A838" t="s">
        <v>33</v>
      </c>
      <c r="B838" t="s">
        <v>184</v>
      </c>
      <c r="C838" t="s">
        <v>414</v>
      </c>
      <c r="D838" s="7">
        <v>23955</v>
      </c>
      <c r="E838">
        <v>8</v>
      </c>
      <c r="W838" t="s">
        <v>184</v>
      </c>
      <c r="X838" s="11" t="s">
        <v>414</v>
      </c>
      <c r="Y838" s="7">
        <v>23955</v>
      </c>
      <c r="Z838" s="11" t="str">
        <f t="shared" si="56"/>
        <v>2024-7</v>
      </c>
      <c r="AP838" s="8"/>
      <c r="AQ838" s="8"/>
      <c r="AR838" s="8"/>
      <c r="AT838" s="8"/>
    </row>
    <row r="839" spans="1:46" x14ac:dyDescent="0.25">
      <c r="A839" t="s">
        <v>8</v>
      </c>
      <c r="B839" t="s">
        <v>188</v>
      </c>
      <c r="C839" t="s">
        <v>414</v>
      </c>
      <c r="D839" s="7">
        <v>68619</v>
      </c>
      <c r="E839">
        <v>7</v>
      </c>
      <c r="W839" t="s">
        <v>188</v>
      </c>
      <c r="X839" s="11" t="s">
        <v>414</v>
      </c>
      <c r="Y839" s="7">
        <v>68619</v>
      </c>
      <c r="Z839" s="11" t="str">
        <f t="shared" si="56"/>
        <v>2024-7</v>
      </c>
      <c r="AP839" s="8"/>
      <c r="AQ839" s="8"/>
      <c r="AR839" s="8"/>
      <c r="AT839" s="8"/>
    </row>
    <row r="840" spans="1:46" x14ac:dyDescent="0.25">
      <c r="A840" t="s">
        <v>27</v>
      </c>
      <c r="B840" t="s">
        <v>15</v>
      </c>
      <c r="C840" t="s">
        <v>414</v>
      </c>
      <c r="D840" s="7">
        <v>72713</v>
      </c>
      <c r="E840">
        <v>5</v>
      </c>
      <c r="W840" t="s">
        <v>15</v>
      </c>
      <c r="X840" s="11" t="s">
        <v>414</v>
      </c>
      <c r="Y840" s="7">
        <v>72713</v>
      </c>
      <c r="Z840" s="11" t="str">
        <f t="shared" si="56"/>
        <v>2024-7</v>
      </c>
      <c r="AP840" s="8"/>
      <c r="AQ840" s="8"/>
      <c r="AR840" s="8"/>
      <c r="AT840" s="8"/>
    </row>
    <row r="841" spans="1:46" x14ac:dyDescent="0.25">
      <c r="A841" t="s">
        <v>27</v>
      </c>
      <c r="B841" t="s">
        <v>319</v>
      </c>
      <c r="C841" t="s">
        <v>414</v>
      </c>
      <c r="D841" s="7">
        <v>10381</v>
      </c>
      <c r="E841">
        <v>7</v>
      </c>
      <c r="W841" t="s">
        <v>319</v>
      </c>
      <c r="X841" s="11" t="s">
        <v>414</v>
      </c>
      <c r="Y841" s="7">
        <v>10381</v>
      </c>
      <c r="Z841" s="11" t="str">
        <f t="shared" si="56"/>
        <v>2024-7</v>
      </c>
      <c r="AP841" s="8"/>
      <c r="AQ841" s="8"/>
      <c r="AR841" s="8"/>
      <c r="AT841" s="8"/>
    </row>
    <row r="842" spans="1:46" x14ac:dyDescent="0.25">
      <c r="A842" t="s">
        <v>36</v>
      </c>
      <c r="B842" t="s">
        <v>287</v>
      </c>
      <c r="C842" t="s">
        <v>414</v>
      </c>
      <c r="D842" s="7">
        <v>75460</v>
      </c>
      <c r="E842">
        <v>9</v>
      </c>
      <c r="W842" t="s">
        <v>287</v>
      </c>
      <c r="X842" s="11" t="s">
        <v>414</v>
      </c>
      <c r="Y842" s="7">
        <v>75460</v>
      </c>
      <c r="Z842" s="11" t="str">
        <f t="shared" si="56"/>
        <v>2024-7</v>
      </c>
      <c r="AP842" s="8"/>
      <c r="AQ842" s="8"/>
      <c r="AR842" s="8"/>
      <c r="AT842" s="8"/>
    </row>
    <row r="843" spans="1:46" x14ac:dyDescent="0.25">
      <c r="A843" t="s">
        <v>27</v>
      </c>
      <c r="B843" t="s">
        <v>104</v>
      </c>
      <c r="C843" t="s">
        <v>414</v>
      </c>
      <c r="D843" s="7">
        <v>19290</v>
      </c>
      <c r="E843">
        <v>8</v>
      </c>
      <c r="W843" t="s">
        <v>104</v>
      </c>
      <c r="X843" s="11" t="s">
        <v>414</v>
      </c>
      <c r="Y843" s="7">
        <v>19290</v>
      </c>
      <c r="Z843" s="11" t="str">
        <f t="shared" si="56"/>
        <v>2024-7</v>
      </c>
      <c r="AP843" s="8"/>
      <c r="AQ843" s="8"/>
      <c r="AR843" s="8"/>
      <c r="AT843" s="8"/>
    </row>
    <row r="844" spans="1:46" x14ac:dyDescent="0.25">
      <c r="A844" t="s">
        <v>23</v>
      </c>
      <c r="B844" t="s">
        <v>35</v>
      </c>
      <c r="C844" t="s">
        <v>414</v>
      </c>
      <c r="D844" s="7">
        <v>45311</v>
      </c>
      <c r="E844">
        <v>6</v>
      </c>
      <c r="W844" t="s">
        <v>35</v>
      </c>
      <c r="X844" s="11" t="s">
        <v>414</v>
      </c>
      <c r="Y844" s="7">
        <v>45311</v>
      </c>
      <c r="Z844" s="11" t="str">
        <f t="shared" si="56"/>
        <v>2024-7</v>
      </c>
      <c r="AP844" s="8"/>
      <c r="AQ844" s="8"/>
      <c r="AR844" s="8"/>
      <c r="AT844" s="8"/>
    </row>
    <row r="845" spans="1:46" x14ac:dyDescent="0.25">
      <c r="A845" t="s">
        <v>32</v>
      </c>
      <c r="B845" t="s">
        <v>82</v>
      </c>
      <c r="C845" t="s">
        <v>414</v>
      </c>
      <c r="D845" s="7">
        <v>38033</v>
      </c>
      <c r="E845">
        <v>9</v>
      </c>
      <c r="W845" t="s">
        <v>82</v>
      </c>
      <c r="X845" s="11" t="s">
        <v>414</v>
      </c>
      <c r="Y845" s="7">
        <v>38033</v>
      </c>
      <c r="Z845" s="11" t="str">
        <f t="shared" si="56"/>
        <v>2024-7</v>
      </c>
      <c r="AP845" s="8"/>
      <c r="AQ845" s="8"/>
      <c r="AR845" s="8"/>
      <c r="AT845" s="8"/>
    </row>
    <row r="846" spans="1:46" x14ac:dyDescent="0.25">
      <c r="A846" t="s">
        <v>8</v>
      </c>
      <c r="B846" t="s">
        <v>92</v>
      </c>
      <c r="C846" t="s">
        <v>415</v>
      </c>
      <c r="D846" s="7">
        <v>12354</v>
      </c>
      <c r="E846">
        <v>9</v>
      </c>
      <c r="W846" t="s">
        <v>92</v>
      </c>
      <c r="X846" s="11" t="s">
        <v>415</v>
      </c>
      <c r="Y846" s="7">
        <v>12354</v>
      </c>
      <c r="Z846" s="11" t="str">
        <f t="shared" si="56"/>
        <v>2024-7</v>
      </c>
      <c r="AP846" s="8"/>
      <c r="AQ846" s="8"/>
      <c r="AR846" s="8"/>
      <c r="AT846" s="8"/>
    </row>
    <row r="847" spans="1:46" x14ac:dyDescent="0.25">
      <c r="A847" t="s">
        <v>32</v>
      </c>
      <c r="B847" t="s">
        <v>60</v>
      </c>
      <c r="C847" t="s">
        <v>415</v>
      </c>
      <c r="D847" s="7">
        <v>96106</v>
      </c>
      <c r="E847">
        <v>7</v>
      </c>
      <c r="W847" t="s">
        <v>60</v>
      </c>
      <c r="X847" s="11" t="s">
        <v>415</v>
      </c>
      <c r="Y847" s="7">
        <v>96106</v>
      </c>
      <c r="Z847" s="11" t="str">
        <f t="shared" si="56"/>
        <v>2024-7</v>
      </c>
      <c r="AP847" s="8"/>
      <c r="AQ847" s="8"/>
      <c r="AR847" s="8"/>
      <c r="AT847" s="8"/>
    </row>
    <row r="848" spans="1:46" x14ac:dyDescent="0.25">
      <c r="A848" t="s">
        <v>17</v>
      </c>
      <c r="B848" t="s">
        <v>85</v>
      </c>
      <c r="C848" t="s">
        <v>415</v>
      </c>
      <c r="D848" s="7">
        <v>75819</v>
      </c>
      <c r="E848">
        <v>6</v>
      </c>
      <c r="W848" t="s">
        <v>85</v>
      </c>
      <c r="X848" s="11" t="s">
        <v>415</v>
      </c>
      <c r="Y848" s="7">
        <v>75819</v>
      </c>
      <c r="Z848" s="11" t="str">
        <f t="shared" si="56"/>
        <v>2024-7</v>
      </c>
      <c r="AP848" s="8"/>
      <c r="AQ848" s="8"/>
      <c r="AR848" s="8"/>
      <c r="AT848" s="8"/>
    </row>
    <row r="849" spans="1:46" x14ac:dyDescent="0.25">
      <c r="A849" t="s">
        <v>5</v>
      </c>
      <c r="B849" t="s">
        <v>48</v>
      </c>
      <c r="C849" t="s">
        <v>416</v>
      </c>
      <c r="D849" s="7">
        <v>52164</v>
      </c>
      <c r="E849">
        <v>4</v>
      </c>
      <c r="W849" t="s">
        <v>48</v>
      </c>
      <c r="X849" s="11" t="s">
        <v>416</v>
      </c>
      <c r="Y849" s="7">
        <v>52164</v>
      </c>
      <c r="Z849" s="11" t="str">
        <f t="shared" si="56"/>
        <v>2024-7</v>
      </c>
      <c r="AP849" s="8"/>
      <c r="AQ849" s="8"/>
      <c r="AR849" s="8"/>
      <c r="AT849" s="8"/>
    </row>
    <row r="850" spans="1:46" x14ac:dyDescent="0.25">
      <c r="A850" t="s">
        <v>10</v>
      </c>
      <c r="B850" t="s">
        <v>119</v>
      </c>
      <c r="C850" t="s">
        <v>416</v>
      </c>
      <c r="D850" s="7">
        <v>26803</v>
      </c>
      <c r="E850">
        <v>2</v>
      </c>
      <c r="W850" t="s">
        <v>119</v>
      </c>
      <c r="X850" s="11" t="s">
        <v>416</v>
      </c>
      <c r="Y850" s="7">
        <v>26803</v>
      </c>
      <c r="Z850" s="11" t="str">
        <f t="shared" si="56"/>
        <v>2024-7</v>
      </c>
      <c r="AP850" s="8"/>
      <c r="AQ850" s="8"/>
      <c r="AR850" s="8"/>
      <c r="AT850" s="8"/>
    </row>
    <row r="851" spans="1:46" x14ac:dyDescent="0.25">
      <c r="A851" t="s">
        <v>33</v>
      </c>
      <c r="B851" t="s">
        <v>89</v>
      </c>
      <c r="C851" t="s">
        <v>416</v>
      </c>
      <c r="D851" s="7">
        <v>94599</v>
      </c>
      <c r="E851">
        <v>7</v>
      </c>
      <c r="W851" t="s">
        <v>89</v>
      </c>
      <c r="X851" s="11" t="s">
        <v>416</v>
      </c>
      <c r="Y851" s="7">
        <v>94599</v>
      </c>
      <c r="Z851" s="11" t="str">
        <f t="shared" si="56"/>
        <v>2024-7</v>
      </c>
      <c r="AP851" s="8"/>
      <c r="AQ851" s="8"/>
      <c r="AR851" s="8"/>
      <c r="AT851" s="8"/>
    </row>
    <row r="852" spans="1:46" x14ac:dyDescent="0.25">
      <c r="A852" t="s">
        <v>5</v>
      </c>
      <c r="B852" t="s">
        <v>286</v>
      </c>
      <c r="C852" t="s">
        <v>416</v>
      </c>
      <c r="D852" s="7">
        <v>65539</v>
      </c>
      <c r="E852">
        <v>8</v>
      </c>
      <c r="W852" t="s">
        <v>286</v>
      </c>
      <c r="X852" s="11" t="s">
        <v>416</v>
      </c>
      <c r="Y852" s="7">
        <v>65539</v>
      </c>
      <c r="Z852" s="11" t="str">
        <f t="shared" si="56"/>
        <v>2024-7</v>
      </c>
      <c r="AP852" s="8"/>
      <c r="AQ852" s="8"/>
      <c r="AR852" s="8"/>
      <c r="AT852" s="8"/>
    </row>
    <row r="853" spans="1:46" x14ac:dyDescent="0.25">
      <c r="A853" t="s">
        <v>33</v>
      </c>
      <c r="B853" t="s">
        <v>352</v>
      </c>
      <c r="C853" t="s">
        <v>417</v>
      </c>
      <c r="D853" s="7">
        <v>50576</v>
      </c>
      <c r="E853">
        <v>5</v>
      </c>
      <c r="W853" t="s">
        <v>352</v>
      </c>
      <c r="X853" s="11" t="s">
        <v>417</v>
      </c>
      <c r="Y853" s="7">
        <v>50576</v>
      </c>
      <c r="Z853" s="11" t="str">
        <f t="shared" si="56"/>
        <v>2024-7</v>
      </c>
      <c r="AP853" s="8"/>
      <c r="AQ853" s="8"/>
      <c r="AR853" s="8"/>
      <c r="AT853" s="8"/>
    </row>
    <row r="854" spans="1:46" x14ac:dyDescent="0.25">
      <c r="A854" t="s">
        <v>10</v>
      </c>
      <c r="B854" t="s">
        <v>25</v>
      </c>
      <c r="C854" t="s">
        <v>417</v>
      </c>
      <c r="D854" s="7">
        <v>52335</v>
      </c>
      <c r="E854">
        <v>3</v>
      </c>
      <c r="W854" t="s">
        <v>25</v>
      </c>
      <c r="X854" s="11" t="s">
        <v>417</v>
      </c>
      <c r="Y854" s="7">
        <v>52335</v>
      </c>
      <c r="Z854" s="11" t="str">
        <f t="shared" si="56"/>
        <v>2024-7</v>
      </c>
      <c r="AP854" s="8"/>
      <c r="AQ854" s="8"/>
      <c r="AR854" s="8"/>
      <c r="AT854" s="8"/>
    </row>
    <row r="855" spans="1:46" x14ac:dyDescent="0.25">
      <c r="A855" t="s">
        <v>10</v>
      </c>
      <c r="B855" t="s">
        <v>247</v>
      </c>
      <c r="C855" t="s">
        <v>418</v>
      </c>
      <c r="D855" s="7">
        <v>61215</v>
      </c>
      <c r="E855">
        <v>7</v>
      </c>
      <c r="W855" t="s">
        <v>247</v>
      </c>
      <c r="X855" s="11" t="s">
        <v>418</v>
      </c>
      <c r="Y855" s="7">
        <v>61215</v>
      </c>
      <c r="Z855" s="11" t="str">
        <f t="shared" si="56"/>
        <v>2024-7</v>
      </c>
      <c r="AP855" s="8"/>
      <c r="AQ855" s="8"/>
      <c r="AR855" s="8"/>
      <c r="AT855" s="8"/>
    </row>
    <row r="856" spans="1:46" x14ac:dyDescent="0.25">
      <c r="A856" t="s">
        <v>12</v>
      </c>
      <c r="B856" t="s">
        <v>9</v>
      </c>
      <c r="C856" t="s">
        <v>418</v>
      </c>
      <c r="D856" s="7">
        <v>72799</v>
      </c>
      <c r="E856">
        <v>9</v>
      </c>
      <c r="W856" t="s">
        <v>9</v>
      </c>
      <c r="X856" s="11" t="s">
        <v>418</v>
      </c>
      <c r="Y856" s="7">
        <v>72799</v>
      </c>
      <c r="Z856" s="11" t="str">
        <f t="shared" si="56"/>
        <v>2024-7</v>
      </c>
      <c r="AP856" s="8"/>
      <c r="AQ856" s="8"/>
      <c r="AR856" s="8"/>
      <c r="AT856" s="8"/>
    </row>
    <row r="857" spans="1:46" x14ac:dyDescent="0.25">
      <c r="A857" t="s">
        <v>5</v>
      </c>
      <c r="B857" t="s">
        <v>30</v>
      </c>
      <c r="C857" t="s">
        <v>419</v>
      </c>
      <c r="D857" s="7">
        <v>64199</v>
      </c>
      <c r="E857">
        <v>7</v>
      </c>
      <c r="W857" t="s">
        <v>30</v>
      </c>
      <c r="X857" s="11" t="s">
        <v>419</v>
      </c>
      <c r="Y857" s="7">
        <v>64199</v>
      </c>
      <c r="Z857" s="11" t="str">
        <f t="shared" si="56"/>
        <v>2024-7</v>
      </c>
      <c r="AP857" s="8"/>
      <c r="AQ857" s="8"/>
      <c r="AR857" s="8"/>
      <c r="AT857" s="8"/>
    </row>
    <row r="858" spans="1:46" x14ac:dyDescent="0.25">
      <c r="A858" t="s">
        <v>5</v>
      </c>
      <c r="B858" t="s">
        <v>183</v>
      </c>
      <c r="C858" t="s">
        <v>419</v>
      </c>
      <c r="D858" s="7">
        <v>48568</v>
      </c>
      <c r="E858">
        <v>7</v>
      </c>
      <c r="W858" t="s">
        <v>183</v>
      </c>
      <c r="X858" s="11" t="s">
        <v>419</v>
      </c>
      <c r="Y858" s="7">
        <v>48568</v>
      </c>
      <c r="Z858" s="11" t="str">
        <f t="shared" si="56"/>
        <v>2024-7</v>
      </c>
      <c r="AP858" s="8"/>
      <c r="AQ858" s="8"/>
      <c r="AR858" s="8"/>
      <c r="AT858" s="8"/>
    </row>
    <row r="859" spans="1:46" x14ac:dyDescent="0.25">
      <c r="A859" t="s">
        <v>5</v>
      </c>
      <c r="B859" t="s">
        <v>307</v>
      </c>
      <c r="C859" t="s">
        <v>419</v>
      </c>
      <c r="D859" s="7">
        <v>49360</v>
      </c>
      <c r="E859">
        <v>4</v>
      </c>
      <c r="W859" t="s">
        <v>307</v>
      </c>
      <c r="X859" s="11" t="s">
        <v>419</v>
      </c>
      <c r="Y859" s="7">
        <v>49360</v>
      </c>
      <c r="Z859" s="11" t="str">
        <f t="shared" si="56"/>
        <v>2024-7</v>
      </c>
      <c r="AP859" s="8"/>
      <c r="AQ859" s="8"/>
      <c r="AR859" s="8"/>
      <c r="AT859" s="8"/>
    </row>
    <row r="860" spans="1:46" x14ac:dyDescent="0.25">
      <c r="A860" t="s">
        <v>23</v>
      </c>
      <c r="B860" t="s">
        <v>127</v>
      </c>
      <c r="C860" t="s">
        <v>419</v>
      </c>
      <c r="D860" s="7">
        <v>43197</v>
      </c>
      <c r="E860">
        <v>7</v>
      </c>
      <c r="W860" t="s">
        <v>127</v>
      </c>
      <c r="X860" s="11" t="s">
        <v>419</v>
      </c>
      <c r="Y860" s="7">
        <v>43197</v>
      </c>
      <c r="Z860" s="11" t="str">
        <f t="shared" si="56"/>
        <v>2024-7</v>
      </c>
      <c r="AP860" s="8"/>
      <c r="AQ860" s="8"/>
      <c r="AR860" s="8"/>
      <c r="AT860" s="8"/>
    </row>
    <row r="861" spans="1:46" x14ac:dyDescent="0.25">
      <c r="A861" t="s">
        <v>36</v>
      </c>
      <c r="B861" t="s">
        <v>161</v>
      </c>
      <c r="C861" t="s">
        <v>419</v>
      </c>
      <c r="D861" s="7">
        <v>63154</v>
      </c>
      <c r="E861">
        <v>8</v>
      </c>
      <c r="W861" t="s">
        <v>161</v>
      </c>
      <c r="X861" s="11" t="s">
        <v>419</v>
      </c>
      <c r="Y861" s="7">
        <v>63154</v>
      </c>
      <c r="Z861" s="11" t="str">
        <f t="shared" si="56"/>
        <v>2024-7</v>
      </c>
      <c r="AP861" s="8"/>
      <c r="AQ861" s="8"/>
      <c r="AR861" s="8"/>
      <c r="AT861" s="8"/>
    </row>
    <row r="862" spans="1:46" x14ac:dyDescent="0.25">
      <c r="A862" t="s">
        <v>20</v>
      </c>
      <c r="B862" t="s">
        <v>173</v>
      </c>
      <c r="C862" t="s">
        <v>420</v>
      </c>
      <c r="D862" s="7">
        <v>93834</v>
      </c>
      <c r="E862">
        <v>10</v>
      </c>
      <c r="W862" t="s">
        <v>173</v>
      </c>
      <c r="X862" s="11" t="s">
        <v>420</v>
      </c>
      <c r="Y862" s="7">
        <v>93834</v>
      </c>
      <c r="Z862" s="11" t="str">
        <f t="shared" si="56"/>
        <v>2024-7</v>
      </c>
      <c r="AP862" s="8"/>
      <c r="AQ862" s="8"/>
      <c r="AR862" s="8"/>
      <c r="AT862" s="8"/>
    </row>
    <row r="863" spans="1:46" x14ac:dyDescent="0.25">
      <c r="A863" t="s">
        <v>12</v>
      </c>
      <c r="B863" t="s">
        <v>173</v>
      </c>
      <c r="C863" t="s">
        <v>421</v>
      </c>
      <c r="D863" s="7">
        <v>51876</v>
      </c>
      <c r="E863">
        <v>3</v>
      </c>
      <c r="W863" t="s">
        <v>173</v>
      </c>
      <c r="X863" s="11" t="s">
        <v>421</v>
      </c>
      <c r="Y863" s="7">
        <v>51876</v>
      </c>
      <c r="Z863" s="11" t="str">
        <f t="shared" si="56"/>
        <v>2024-7</v>
      </c>
      <c r="AP863" s="8"/>
      <c r="AQ863" s="8"/>
      <c r="AR863" s="8"/>
      <c r="AT863" s="8"/>
    </row>
    <row r="864" spans="1:46" x14ac:dyDescent="0.25">
      <c r="A864" t="s">
        <v>8</v>
      </c>
      <c r="B864" t="s">
        <v>41</v>
      </c>
      <c r="C864" t="s">
        <v>422</v>
      </c>
      <c r="D864" s="7">
        <v>90959</v>
      </c>
      <c r="E864">
        <v>9</v>
      </c>
      <c r="W864" t="s">
        <v>41</v>
      </c>
      <c r="X864" s="11" t="s">
        <v>422</v>
      </c>
      <c r="Y864" s="7">
        <v>90959</v>
      </c>
      <c r="Z864" s="11" t="str">
        <f t="shared" si="56"/>
        <v>2024-7</v>
      </c>
      <c r="AP864" s="8"/>
      <c r="AQ864" s="8"/>
      <c r="AR864" s="8"/>
      <c r="AT864" s="8"/>
    </row>
    <row r="865" spans="1:46" x14ac:dyDescent="0.25">
      <c r="A865" t="s">
        <v>17</v>
      </c>
      <c r="B865" t="s">
        <v>131</v>
      </c>
      <c r="C865" t="s">
        <v>422</v>
      </c>
      <c r="D865" s="7">
        <v>53285</v>
      </c>
      <c r="E865">
        <v>5</v>
      </c>
      <c r="W865" t="s">
        <v>131</v>
      </c>
      <c r="X865" s="11" t="s">
        <v>422</v>
      </c>
      <c r="Y865" s="7">
        <v>53285</v>
      </c>
      <c r="Z865" s="11" t="str">
        <f t="shared" si="56"/>
        <v>2024-7</v>
      </c>
      <c r="AP865" s="8"/>
      <c r="AQ865" s="8"/>
      <c r="AR865" s="8"/>
      <c r="AT865" s="8"/>
    </row>
    <row r="866" spans="1:46" x14ac:dyDescent="0.25">
      <c r="A866" t="s">
        <v>14</v>
      </c>
      <c r="B866" t="s">
        <v>184</v>
      </c>
      <c r="C866" t="s">
        <v>422</v>
      </c>
      <c r="D866" s="7">
        <v>97096</v>
      </c>
      <c r="E866">
        <v>1</v>
      </c>
      <c r="W866" t="s">
        <v>184</v>
      </c>
      <c r="X866" s="11" t="s">
        <v>422</v>
      </c>
      <c r="Y866" s="7">
        <v>97096</v>
      </c>
      <c r="Z866" s="11" t="str">
        <f t="shared" si="56"/>
        <v>2024-7</v>
      </c>
      <c r="AP866" s="8"/>
      <c r="AQ866" s="8"/>
      <c r="AR866" s="8"/>
      <c r="AT866" s="8"/>
    </row>
    <row r="867" spans="1:46" x14ac:dyDescent="0.25">
      <c r="A867" t="s">
        <v>27</v>
      </c>
      <c r="B867" t="s">
        <v>181</v>
      </c>
      <c r="C867" t="s">
        <v>422</v>
      </c>
      <c r="D867" s="7">
        <v>83451</v>
      </c>
      <c r="E867">
        <v>9</v>
      </c>
      <c r="W867" t="s">
        <v>181</v>
      </c>
      <c r="X867" s="11" t="s">
        <v>422</v>
      </c>
      <c r="Y867" s="7">
        <v>83451</v>
      </c>
      <c r="Z867" s="11" t="str">
        <f t="shared" si="56"/>
        <v>2024-7</v>
      </c>
      <c r="AP867" s="8"/>
      <c r="AQ867" s="8"/>
      <c r="AR867" s="8"/>
      <c r="AT867" s="8"/>
    </row>
    <row r="868" spans="1:46" x14ac:dyDescent="0.25">
      <c r="A868" t="s">
        <v>17</v>
      </c>
      <c r="B868" t="s">
        <v>104</v>
      </c>
      <c r="C868" t="s">
        <v>423</v>
      </c>
      <c r="D868" s="7">
        <v>65565</v>
      </c>
      <c r="E868">
        <v>2</v>
      </c>
      <c r="W868" t="s">
        <v>104</v>
      </c>
      <c r="X868" s="11" t="s">
        <v>423</v>
      </c>
      <c r="Y868" s="7">
        <v>65565</v>
      </c>
      <c r="Z868" s="11" t="str">
        <f t="shared" si="56"/>
        <v>2024-7</v>
      </c>
      <c r="AP868" s="8"/>
      <c r="AQ868" s="8"/>
      <c r="AR868" s="8"/>
      <c r="AT868" s="8"/>
    </row>
    <row r="869" spans="1:46" x14ac:dyDescent="0.25">
      <c r="A869" t="s">
        <v>17</v>
      </c>
      <c r="B869" t="s">
        <v>216</v>
      </c>
      <c r="C869" t="s">
        <v>423</v>
      </c>
      <c r="D869" s="7">
        <v>33199</v>
      </c>
      <c r="E869">
        <v>10</v>
      </c>
      <c r="W869" t="s">
        <v>216</v>
      </c>
      <c r="X869" s="11" t="s">
        <v>423</v>
      </c>
      <c r="Y869" s="7">
        <v>33199</v>
      </c>
      <c r="Z869" s="11" t="str">
        <f t="shared" si="56"/>
        <v>2024-7</v>
      </c>
      <c r="AP869" s="8"/>
      <c r="AQ869" s="8"/>
      <c r="AR869" s="8"/>
      <c r="AT869" s="8"/>
    </row>
    <row r="870" spans="1:46" x14ac:dyDescent="0.25">
      <c r="A870" t="s">
        <v>27</v>
      </c>
      <c r="B870" t="s">
        <v>229</v>
      </c>
      <c r="C870" t="s">
        <v>423</v>
      </c>
      <c r="D870" s="7">
        <v>82385</v>
      </c>
      <c r="E870">
        <v>10</v>
      </c>
      <c r="W870" t="s">
        <v>229</v>
      </c>
      <c r="X870" s="11" t="s">
        <v>423</v>
      </c>
      <c r="Y870" s="7">
        <v>82385</v>
      </c>
      <c r="Z870" s="11" t="str">
        <f t="shared" si="56"/>
        <v>2024-7</v>
      </c>
      <c r="AP870" s="8"/>
      <c r="AQ870" s="8"/>
      <c r="AR870" s="8"/>
      <c r="AT870" s="8"/>
    </row>
    <row r="871" spans="1:46" x14ac:dyDescent="0.25">
      <c r="A871" t="s">
        <v>8</v>
      </c>
      <c r="B871" t="s">
        <v>233</v>
      </c>
      <c r="C871" t="s">
        <v>423</v>
      </c>
      <c r="D871" s="7">
        <v>30306</v>
      </c>
      <c r="E871">
        <v>8</v>
      </c>
      <c r="W871" t="s">
        <v>233</v>
      </c>
      <c r="X871" s="11" t="s">
        <v>423</v>
      </c>
      <c r="Y871" s="7">
        <v>30306</v>
      </c>
      <c r="Z871" s="11" t="str">
        <f t="shared" si="56"/>
        <v>2024-7</v>
      </c>
      <c r="AP871" s="8"/>
      <c r="AQ871" s="8"/>
      <c r="AR871" s="8"/>
      <c r="AT871" s="8"/>
    </row>
    <row r="872" spans="1:46" x14ac:dyDescent="0.25">
      <c r="A872" t="s">
        <v>5</v>
      </c>
      <c r="B872" t="s">
        <v>266</v>
      </c>
      <c r="C872" t="s">
        <v>423</v>
      </c>
      <c r="D872" s="7">
        <v>90039</v>
      </c>
      <c r="E872">
        <v>7</v>
      </c>
      <c r="W872" t="s">
        <v>266</v>
      </c>
      <c r="X872" s="11" t="s">
        <v>423</v>
      </c>
      <c r="Y872" s="7">
        <v>90039</v>
      </c>
      <c r="Z872" s="11" t="str">
        <f t="shared" si="56"/>
        <v>2024-7</v>
      </c>
      <c r="AP872" s="8"/>
      <c r="AQ872" s="8"/>
      <c r="AR872" s="8"/>
      <c r="AT872" s="8"/>
    </row>
    <row r="873" spans="1:46" x14ac:dyDescent="0.25">
      <c r="A873" t="s">
        <v>32</v>
      </c>
      <c r="B873" t="s">
        <v>18</v>
      </c>
      <c r="C873" t="s">
        <v>423</v>
      </c>
      <c r="D873" s="7">
        <v>71749</v>
      </c>
      <c r="E873">
        <v>7</v>
      </c>
      <c r="W873" t="s">
        <v>18</v>
      </c>
      <c r="X873" s="11" t="s">
        <v>423</v>
      </c>
      <c r="Y873" s="7">
        <v>71749</v>
      </c>
      <c r="Z873" s="11" t="str">
        <f t="shared" si="56"/>
        <v>2024-7</v>
      </c>
      <c r="AP873" s="8"/>
      <c r="AQ873" s="8"/>
      <c r="AR873" s="8"/>
      <c r="AT873" s="8"/>
    </row>
    <row r="874" spans="1:46" x14ac:dyDescent="0.25">
      <c r="A874" t="s">
        <v>33</v>
      </c>
      <c r="B874" t="s">
        <v>242</v>
      </c>
      <c r="C874" t="s">
        <v>423</v>
      </c>
      <c r="D874" s="7">
        <v>34159</v>
      </c>
      <c r="E874">
        <v>3</v>
      </c>
      <c r="W874" t="s">
        <v>242</v>
      </c>
      <c r="X874" s="11" t="s">
        <v>423</v>
      </c>
      <c r="Y874" s="7">
        <v>34159</v>
      </c>
      <c r="Z874" s="11" t="str">
        <f t="shared" si="56"/>
        <v>2024-7</v>
      </c>
      <c r="AP874" s="8"/>
      <c r="AQ874" s="8"/>
      <c r="AR874" s="8"/>
      <c r="AT874" s="8"/>
    </row>
    <row r="875" spans="1:46" x14ac:dyDescent="0.25">
      <c r="A875" t="s">
        <v>8</v>
      </c>
      <c r="B875" t="s">
        <v>396</v>
      </c>
      <c r="C875" t="s">
        <v>423</v>
      </c>
      <c r="D875" s="7">
        <v>94828</v>
      </c>
      <c r="E875">
        <v>9</v>
      </c>
      <c r="W875" t="s">
        <v>396</v>
      </c>
      <c r="X875" s="11" t="s">
        <v>423</v>
      </c>
      <c r="Y875" s="7">
        <v>94828</v>
      </c>
      <c r="Z875" s="11" t="str">
        <f t="shared" si="56"/>
        <v>2024-7</v>
      </c>
      <c r="AP875" s="8"/>
      <c r="AQ875" s="8"/>
      <c r="AR875" s="8"/>
      <c r="AT875" s="8"/>
    </row>
    <row r="876" spans="1:46" x14ac:dyDescent="0.25">
      <c r="A876" t="s">
        <v>32</v>
      </c>
      <c r="B876" t="s">
        <v>269</v>
      </c>
      <c r="C876" t="s">
        <v>424</v>
      </c>
      <c r="D876" s="7">
        <v>60677</v>
      </c>
      <c r="E876">
        <v>8</v>
      </c>
      <c r="W876" t="s">
        <v>269</v>
      </c>
      <c r="X876" s="11" t="s">
        <v>424</v>
      </c>
      <c r="Y876" s="7">
        <v>60677</v>
      </c>
      <c r="Z876" s="11" t="str">
        <f t="shared" si="56"/>
        <v>2024-7</v>
      </c>
      <c r="AP876" s="8"/>
      <c r="AQ876" s="8"/>
      <c r="AR876" s="8"/>
      <c r="AT876" s="8"/>
    </row>
    <row r="877" spans="1:46" x14ac:dyDescent="0.25">
      <c r="A877" t="s">
        <v>27</v>
      </c>
      <c r="B877" t="s">
        <v>22</v>
      </c>
      <c r="C877" t="s">
        <v>424</v>
      </c>
      <c r="D877" s="7">
        <v>60911</v>
      </c>
      <c r="E877">
        <v>7</v>
      </c>
      <c r="W877" t="s">
        <v>22</v>
      </c>
      <c r="X877" s="11" t="s">
        <v>424</v>
      </c>
      <c r="Y877" s="7">
        <v>60911</v>
      </c>
      <c r="Z877" s="11" t="str">
        <f t="shared" si="56"/>
        <v>2024-7</v>
      </c>
      <c r="AP877" s="8"/>
      <c r="AQ877" s="8"/>
      <c r="AR877" s="8"/>
      <c r="AT877" s="8"/>
    </row>
    <row r="878" spans="1:46" x14ac:dyDescent="0.25">
      <c r="A878" t="s">
        <v>5</v>
      </c>
      <c r="B878" t="s">
        <v>259</v>
      </c>
      <c r="C878" t="s">
        <v>424</v>
      </c>
      <c r="D878" s="7">
        <v>50809</v>
      </c>
      <c r="E878">
        <v>7</v>
      </c>
      <c r="W878" t="s">
        <v>259</v>
      </c>
      <c r="X878" s="11" t="s">
        <v>424</v>
      </c>
      <c r="Y878" s="7">
        <v>50809</v>
      </c>
      <c r="Z878" s="11" t="str">
        <f t="shared" si="56"/>
        <v>2024-7</v>
      </c>
      <c r="AP878" s="8"/>
      <c r="AQ878" s="8"/>
      <c r="AR878" s="8"/>
      <c r="AT878" s="8"/>
    </row>
    <row r="879" spans="1:46" x14ac:dyDescent="0.25">
      <c r="A879" t="s">
        <v>8</v>
      </c>
      <c r="B879" t="s">
        <v>259</v>
      </c>
      <c r="C879" t="s">
        <v>425</v>
      </c>
      <c r="D879" s="7">
        <v>63214</v>
      </c>
      <c r="E879">
        <v>7</v>
      </c>
      <c r="W879" t="s">
        <v>259</v>
      </c>
      <c r="X879" s="11" t="s">
        <v>425</v>
      </c>
      <c r="Y879" s="7">
        <v>63214</v>
      </c>
      <c r="Z879" s="11" t="str">
        <f t="shared" si="56"/>
        <v>2024-7</v>
      </c>
      <c r="AP879" s="8"/>
      <c r="AQ879" s="8"/>
      <c r="AR879" s="8"/>
      <c r="AT879" s="8"/>
    </row>
    <row r="880" spans="1:46" x14ac:dyDescent="0.25">
      <c r="A880" t="s">
        <v>27</v>
      </c>
      <c r="B880" t="s">
        <v>45</v>
      </c>
      <c r="C880" t="s">
        <v>425</v>
      </c>
      <c r="D880" s="7">
        <v>68391</v>
      </c>
      <c r="E880">
        <v>9</v>
      </c>
      <c r="W880" t="s">
        <v>45</v>
      </c>
      <c r="X880" s="11" t="s">
        <v>425</v>
      </c>
      <c r="Y880" s="7">
        <v>68391</v>
      </c>
      <c r="Z880" s="11" t="str">
        <f t="shared" si="56"/>
        <v>2024-7</v>
      </c>
      <c r="AP880" s="8"/>
      <c r="AQ880" s="8"/>
      <c r="AR880" s="8"/>
      <c r="AT880" s="8"/>
    </row>
    <row r="881" spans="1:46" x14ac:dyDescent="0.25">
      <c r="A881" t="s">
        <v>8</v>
      </c>
      <c r="B881" t="s">
        <v>65</v>
      </c>
      <c r="C881" t="s">
        <v>425</v>
      </c>
      <c r="D881" s="7">
        <v>86954</v>
      </c>
      <c r="E881">
        <v>6</v>
      </c>
      <c r="W881" t="s">
        <v>65</v>
      </c>
      <c r="X881" s="11" t="s">
        <v>425</v>
      </c>
      <c r="Y881" s="7">
        <v>86954</v>
      </c>
      <c r="Z881" s="11" t="str">
        <f t="shared" si="56"/>
        <v>2024-7</v>
      </c>
      <c r="AP881" s="8"/>
      <c r="AQ881" s="8"/>
      <c r="AR881" s="8"/>
      <c r="AT881" s="8"/>
    </row>
    <row r="882" spans="1:46" x14ac:dyDescent="0.25">
      <c r="A882" t="s">
        <v>5</v>
      </c>
      <c r="B882" t="s">
        <v>18</v>
      </c>
      <c r="C882" t="s">
        <v>426</v>
      </c>
      <c r="D882" s="7">
        <v>12608</v>
      </c>
      <c r="E882">
        <v>5</v>
      </c>
      <c r="W882" t="s">
        <v>18</v>
      </c>
      <c r="X882" s="11" t="s">
        <v>426</v>
      </c>
      <c r="Y882" s="7">
        <v>12608</v>
      </c>
      <c r="Z882" s="11" t="str">
        <f t="shared" si="56"/>
        <v>2024-7</v>
      </c>
      <c r="AP882" s="8"/>
      <c r="AQ882" s="8"/>
      <c r="AR882" s="8"/>
      <c r="AT882" s="8"/>
    </row>
    <row r="883" spans="1:46" x14ac:dyDescent="0.25">
      <c r="A883" t="s">
        <v>36</v>
      </c>
      <c r="B883" t="s">
        <v>53</v>
      </c>
      <c r="C883" t="s">
        <v>426</v>
      </c>
      <c r="D883" s="7">
        <v>26392</v>
      </c>
      <c r="E883">
        <v>10</v>
      </c>
      <c r="W883" t="s">
        <v>53</v>
      </c>
      <c r="X883" s="11" t="s">
        <v>426</v>
      </c>
      <c r="Y883" s="7">
        <v>26392</v>
      </c>
      <c r="Z883" s="11" t="str">
        <f t="shared" si="56"/>
        <v>2024-7</v>
      </c>
      <c r="AP883" s="8"/>
      <c r="AQ883" s="8"/>
      <c r="AR883" s="8"/>
      <c r="AT883" s="8"/>
    </row>
    <row r="884" spans="1:46" x14ac:dyDescent="0.25">
      <c r="A884" t="s">
        <v>23</v>
      </c>
      <c r="B884" t="s">
        <v>70</v>
      </c>
      <c r="C884" t="s">
        <v>426</v>
      </c>
      <c r="D884" s="7">
        <v>65462</v>
      </c>
      <c r="E884">
        <v>9</v>
      </c>
      <c r="W884" t="s">
        <v>70</v>
      </c>
      <c r="X884" s="11" t="s">
        <v>426</v>
      </c>
      <c r="Y884" s="7">
        <v>65462</v>
      </c>
      <c r="Z884" s="11" t="str">
        <f t="shared" si="56"/>
        <v>2024-7</v>
      </c>
      <c r="AP884" s="8"/>
      <c r="AQ884" s="8"/>
      <c r="AR884" s="8"/>
      <c r="AT884" s="8"/>
    </row>
    <row r="885" spans="1:46" x14ac:dyDescent="0.25">
      <c r="A885" t="s">
        <v>20</v>
      </c>
      <c r="B885" t="s">
        <v>222</v>
      </c>
      <c r="C885" t="s">
        <v>426</v>
      </c>
      <c r="D885" s="7">
        <v>64410</v>
      </c>
      <c r="E885">
        <v>7</v>
      </c>
      <c r="W885" t="s">
        <v>222</v>
      </c>
      <c r="X885" s="11" t="s">
        <v>426</v>
      </c>
      <c r="Y885" s="7">
        <v>64410</v>
      </c>
      <c r="Z885" s="11" t="str">
        <f t="shared" si="56"/>
        <v>2024-7</v>
      </c>
      <c r="AP885" s="8"/>
      <c r="AQ885" s="8"/>
      <c r="AR885" s="8"/>
      <c r="AT885" s="8"/>
    </row>
    <row r="886" spans="1:46" x14ac:dyDescent="0.25">
      <c r="A886" t="s">
        <v>14</v>
      </c>
      <c r="B886" t="s">
        <v>53</v>
      </c>
      <c r="C886" t="s">
        <v>426</v>
      </c>
      <c r="D886" s="7">
        <v>15565</v>
      </c>
      <c r="E886">
        <v>0</v>
      </c>
      <c r="W886" t="s">
        <v>53</v>
      </c>
      <c r="X886" s="11" t="s">
        <v>426</v>
      </c>
      <c r="Y886" s="7">
        <v>15565</v>
      </c>
      <c r="Z886" s="11" t="str">
        <f t="shared" si="56"/>
        <v>2024-7</v>
      </c>
      <c r="AP886" s="8"/>
      <c r="AQ886" s="8"/>
      <c r="AR886" s="8"/>
      <c r="AT886" s="8"/>
    </row>
    <row r="887" spans="1:46" x14ac:dyDescent="0.25">
      <c r="A887" t="s">
        <v>14</v>
      </c>
      <c r="B887" t="s">
        <v>28</v>
      </c>
      <c r="C887" t="s">
        <v>426</v>
      </c>
      <c r="D887" s="7">
        <v>93234</v>
      </c>
      <c r="E887">
        <v>8</v>
      </c>
      <c r="W887" t="s">
        <v>28</v>
      </c>
      <c r="X887" s="11" t="s">
        <v>426</v>
      </c>
      <c r="Y887" s="7">
        <v>93234</v>
      </c>
      <c r="Z887" s="11" t="str">
        <f t="shared" si="56"/>
        <v>2024-7</v>
      </c>
      <c r="AP887" s="8"/>
      <c r="AQ887" s="8"/>
      <c r="AR887" s="8"/>
      <c r="AT887" s="8"/>
    </row>
    <row r="888" spans="1:46" x14ac:dyDescent="0.25">
      <c r="A888" t="s">
        <v>5</v>
      </c>
      <c r="B888" t="s">
        <v>327</v>
      </c>
      <c r="C888" t="s">
        <v>427</v>
      </c>
      <c r="D888" s="7">
        <v>75170</v>
      </c>
      <c r="E888">
        <v>6</v>
      </c>
      <c r="W888" t="s">
        <v>327</v>
      </c>
      <c r="X888" s="11" t="s">
        <v>427</v>
      </c>
      <c r="Y888" s="7">
        <v>75170</v>
      </c>
      <c r="Z888" s="11" t="str">
        <f t="shared" si="56"/>
        <v>2024-7</v>
      </c>
      <c r="AP888" s="8"/>
      <c r="AQ888" s="8"/>
      <c r="AR888" s="8"/>
      <c r="AT888" s="8"/>
    </row>
    <row r="889" spans="1:46" x14ac:dyDescent="0.25">
      <c r="A889" t="s">
        <v>10</v>
      </c>
      <c r="B889" t="s">
        <v>143</v>
      </c>
      <c r="C889" t="s">
        <v>427</v>
      </c>
      <c r="D889" s="7">
        <v>75099</v>
      </c>
      <c r="E889">
        <v>1</v>
      </c>
      <c r="W889" t="s">
        <v>143</v>
      </c>
      <c r="X889" s="11" t="s">
        <v>427</v>
      </c>
      <c r="Y889" s="7">
        <v>75099</v>
      </c>
      <c r="Z889" s="11" t="str">
        <f t="shared" si="56"/>
        <v>2024-7</v>
      </c>
      <c r="AP889" s="8"/>
      <c r="AQ889" s="8"/>
      <c r="AR889" s="8"/>
      <c r="AT889" s="8"/>
    </row>
    <row r="890" spans="1:46" x14ac:dyDescent="0.25">
      <c r="A890" t="s">
        <v>32</v>
      </c>
      <c r="B890" t="s">
        <v>242</v>
      </c>
      <c r="C890" t="s">
        <v>427</v>
      </c>
      <c r="D890" s="7">
        <v>79154</v>
      </c>
      <c r="E890">
        <v>10</v>
      </c>
      <c r="W890" t="s">
        <v>242</v>
      </c>
      <c r="X890" s="11" t="s">
        <v>427</v>
      </c>
      <c r="Y890" s="7">
        <v>79154</v>
      </c>
      <c r="Z890" s="11" t="str">
        <f t="shared" si="56"/>
        <v>2024-7</v>
      </c>
      <c r="AP890" s="8"/>
      <c r="AQ890" s="8"/>
      <c r="AR890" s="8"/>
      <c r="AT890" s="8"/>
    </row>
    <row r="891" spans="1:46" x14ac:dyDescent="0.25">
      <c r="A891" t="s">
        <v>36</v>
      </c>
      <c r="B891" t="s">
        <v>45</v>
      </c>
      <c r="C891" t="s">
        <v>427</v>
      </c>
      <c r="D891" s="7">
        <v>32361</v>
      </c>
      <c r="E891">
        <v>2</v>
      </c>
      <c r="W891" t="s">
        <v>45</v>
      </c>
      <c r="X891" s="11" t="s">
        <v>427</v>
      </c>
      <c r="Y891" s="7">
        <v>32361</v>
      </c>
      <c r="Z891" s="11" t="str">
        <f t="shared" si="56"/>
        <v>2024-7</v>
      </c>
      <c r="AP891" s="8"/>
      <c r="AQ891" s="8"/>
      <c r="AR891" s="8"/>
      <c r="AT891" s="8"/>
    </row>
    <row r="892" spans="1:46" x14ac:dyDescent="0.25">
      <c r="A892" t="s">
        <v>14</v>
      </c>
      <c r="B892" t="s">
        <v>253</v>
      </c>
      <c r="C892" t="s">
        <v>428</v>
      </c>
      <c r="D892" s="7">
        <v>10118</v>
      </c>
      <c r="E892">
        <v>5</v>
      </c>
      <c r="W892" t="s">
        <v>253</v>
      </c>
      <c r="X892" s="11" t="s">
        <v>428</v>
      </c>
      <c r="Y892" s="7">
        <v>10118</v>
      </c>
      <c r="Z892" s="11" t="str">
        <f t="shared" si="56"/>
        <v>2024-7</v>
      </c>
      <c r="AP892" s="8"/>
      <c r="AQ892" s="8"/>
      <c r="AR892" s="8"/>
      <c r="AT892" s="8"/>
    </row>
    <row r="893" spans="1:46" x14ac:dyDescent="0.25">
      <c r="A893" t="s">
        <v>23</v>
      </c>
      <c r="B893" t="s">
        <v>37</v>
      </c>
      <c r="C893" t="s">
        <v>428</v>
      </c>
      <c r="D893" s="7">
        <v>26732</v>
      </c>
      <c r="E893">
        <v>2</v>
      </c>
      <c r="W893" t="s">
        <v>37</v>
      </c>
      <c r="X893" s="11" t="s">
        <v>428</v>
      </c>
      <c r="Y893" s="7">
        <v>26732</v>
      </c>
      <c r="Z893" s="11" t="str">
        <f t="shared" si="56"/>
        <v>2024-7</v>
      </c>
      <c r="AP893" s="8"/>
      <c r="AQ893" s="8"/>
      <c r="AR893" s="8"/>
      <c r="AT893" s="8"/>
    </row>
    <row r="894" spans="1:46" x14ac:dyDescent="0.25">
      <c r="A894" t="s">
        <v>32</v>
      </c>
      <c r="B894" t="s">
        <v>197</v>
      </c>
      <c r="C894" t="s">
        <v>428</v>
      </c>
      <c r="D894" s="7">
        <v>84511</v>
      </c>
      <c r="E894">
        <v>1</v>
      </c>
      <c r="W894" t="s">
        <v>197</v>
      </c>
      <c r="X894" s="11" t="s">
        <v>428</v>
      </c>
      <c r="Y894" s="7">
        <v>84511</v>
      </c>
      <c r="Z894" s="11" t="str">
        <f t="shared" si="56"/>
        <v>2024-7</v>
      </c>
      <c r="AP894" s="8"/>
      <c r="AQ894" s="8"/>
      <c r="AR894" s="8"/>
      <c r="AT894" s="8"/>
    </row>
    <row r="895" spans="1:46" x14ac:dyDescent="0.25">
      <c r="A895" t="s">
        <v>33</v>
      </c>
      <c r="B895" t="s">
        <v>237</v>
      </c>
      <c r="C895" t="s">
        <v>428</v>
      </c>
      <c r="D895" s="7">
        <v>22186</v>
      </c>
      <c r="E895">
        <v>8</v>
      </c>
      <c r="W895" t="s">
        <v>237</v>
      </c>
      <c r="X895" s="11" t="s">
        <v>428</v>
      </c>
      <c r="Y895" s="7">
        <v>22186</v>
      </c>
      <c r="Z895" s="11" t="str">
        <f t="shared" si="56"/>
        <v>2024-7</v>
      </c>
      <c r="AP895" s="8"/>
      <c r="AQ895" s="8"/>
      <c r="AR895" s="8"/>
      <c r="AT895" s="8"/>
    </row>
    <row r="896" spans="1:46" x14ac:dyDescent="0.25">
      <c r="A896" t="s">
        <v>8</v>
      </c>
      <c r="B896" t="s">
        <v>53</v>
      </c>
      <c r="C896" t="s">
        <v>428</v>
      </c>
      <c r="D896" s="7">
        <v>56693</v>
      </c>
      <c r="E896">
        <v>8</v>
      </c>
      <c r="W896" t="s">
        <v>53</v>
      </c>
      <c r="X896" s="11" t="s">
        <v>428</v>
      </c>
      <c r="Y896" s="7">
        <v>56693</v>
      </c>
      <c r="Z896" s="11" t="str">
        <f t="shared" si="56"/>
        <v>2024-7</v>
      </c>
      <c r="AP896" s="8"/>
      <c r="AQ896" s="8"/>
      <c r="AR896" s="8"/>
      <c r="AT896" s="8"/>
    </row>
    <row r="897" spans="1:46" x14ac:dyDescent="0.25">
      <c r="A897" t="s">
        <v>36</v>
      </c>
      <c r="B897" t="s">
        <v>144</v>
      </c>
      <c r="C897" t="s">
        <v>428</v>
      </c>
      <c r="D897" s="7">
        <v>45801</v>
      </c>
      <c r="E897">
        <v>6</v>
      </c>
      <c r="W897" t="s">
        <v>144</v>
      </c>
      <c r="X897" s="11" t="s">
        <v>428</v>
      </c>
      <c r="Y897" s="7">
        <v>45801</v>
      </c>
      <c r="Z897" s="11" t="str">
        <f t="shared" si="56"/>
        <v>2024-7</v>
      </c>
      <c r="AP897" s="8"/>
      <c r="AQ897" s="8"/>
      <c r="AR897" s="8"/>
      <c r="AT897" s="8"/>
    </row>
    <row r="898" spans="1:46" x14ac:dyDescent="0.25">
      <c r="A898" t="s">
        <v>23</v>
      </c>
      <c r="B898" t="s">
        <v>87</v>
      </c>
      <c r="C898" t="s">
        <v>428</v>
      </c>
      <c r="D898" s="7">
        <v>82606</v>
      </c>
      <c r="E898">
        <v>5</v>
      </c>
      <c r="W898" t="s">
        <v>87</v>
      </c>
      <c r="X898" s="11" t="s">
        <v>428</v>
      </c>
      <c r="Y898" s="7">
        <v>82606</v>
      </c>
      <c r="Z898" s="11" t="str">
        <f t="shared" si="56"/>
        <v>2024-7</v>
      </c>
      <c r="AP898" s="8"/>
      <c r="AQ898" s="8"/>
      <c r="AR898" s="8"/>
      <c r="AT898" s="8"/>
    </row>
    <row r="899" spans="1:46" x14ac:dyDescent="0.25">
      <c r="A899" t="s">
        <v>17</v>
      </c>
      <c r="B899" t="s">
        <v>30</v>
      </c>
      <c r="C899" t="s">
        <v>428</v>
      </c>
      <c r="D899" s="7">
        <v>84047</v>
      </c>
      <c r="E899">
        <v>7</v>
      </c>
      <c r="W899" t="s">
        <v>30</v>
      </c>
      <c r="X899" s="11" t="s">
        <v>428</v>
      </c>
      <c r="Y899" s="7">
        <v>84047</v>
      </c>
      <c r="Z899" s="11" t="str">
        <f t="shared" ref="Z899:Z962" si="57">MID(X899,1,4)&amp;"-"&amp;IF(MID(X899,6,1)*1=0,MID(X899,7,1),MID(X899,6,2))</f>
        <v>2024-7</v>
      </c>
      <c r="AP899" s="8"/>
      <c r="AQ899" s="8"/>
      <c r="AR899" s="8"/>
      <c r="AT899" s="8"/>
    </row>
    <row r="900" spans="1:46" x14ac:dyDescent="0.25">
      <c r="A900" t="s">
        <v>20</v>
      </c>
      <c r="B900" t="s">
        <v>120</v>
      </c>
      <c r="C900" t="s">
        <v>429</v>
      </c>
      <c r="D900" s="7">
        <v>58559</v>
      </c>
      <c r="E900">
        <v>9</v>
      </c>
      <c r="W900" t="s">
        <v>120</v>
      </c>
      <c r="X900" s="11" t="s">
        <v>429</v>
      </c>
      <c r="Y900" s="7">
        <v>58559</v>
      </c>
      <c r="Z900" s="11" t="str">
        <f t="shared" si="57"/>
        <v>2024-7</v>
      </c>
      <c r="AP900" s="8"/>
      <c r="AQ900" s="8"/>
      <c r="AR900" s="8"/>
      <c r="AT900" s="8"/>
    </row>
    <row r="901" spans="1:46" x14ac:dyDescent="0.25">
      <c r="A901" t="s">
        <v>14</v>
      </c>
      <c r="B901" t="s">
        <v>15</v>
      </c>
      <c r="C901" t="s">
        <v>429</v>
      </c>
      <c r="D901" s="7">
        <v>90027</v>
      </c>
      <c r="E901">
        <v>6</v>
      </c>
      <c r="W901" t="s">
        <v>15</v>
      </c>
      <c r="X901" s="11" t="s">
        <v>429</v>
      </c>
      <c r="Y901" s="7">
        <v>90027</v>
      </c>
      <c r="Z901" s="11" t="str">
        <f t="shared" si="57"/>
        <v>2024-7</v>
      </c>
      <c r="AP901" s="8"/>
      <c r="AQ901" s="8"/>
      <c r="AR901" s="8"/>
      <c r="AT901" s="8"/>
    </row>
    <row r="902" spans="1:46" x14ac:dyDescent="0.25">
      <c r="A902" t="s">
        <v>20</v>
      </c>
      <c r="B902" t="s">
        <v>196</v>
      </c>
      <c r="C902" t="s">
        <v>430</v>
      </c>
      <c r="D902" s="7">
        <v>91886</v>
      </c>
      <c r="E902">
        <v>4</v>
      </c>
      <c r="W902" t="s">
        <v>196</v>
      </c>
      <c r="X902" s="11" t="s">
        <v>430</v>
      </c>
      <c r="Y902" s="7">
        <v>91886</v>
      </c>
      <c r="Z902" s="11" t="str">
        <f t="shared" si="57"/>
        <v>2024-7</v>
      </c>
      <c r="AP902" s="8"/>
      <c r="AQ902" s="8"/>
      <c r="AR902" s="8"/>
      <c r="AT902" s="8"/>
    </row>
    <row r="903" spans="1:46" x14ac:dyDescent="0.25">
      <c r="A903" t="s">
        <v>33</v>
      </c>
      <c r="B903" t="s">
        <v>183</v>
      </c>
      <c r="C903" t="s">
        <v>430</v>
      </c>
      <c r="D903" s="7">
        <v>73126</v>
      </c>
      <c r="E903">
        <v>5</v>
      </c>
      <c r="W903" t="s">
        <v>183</v>
      </c>
      <c r="X903" s="11" t="s">
        <v>430</v>
      </c>
      <c r="Y903" s="7">
        <v>73126</v>
      </c>
      <c r="Z903" s="11" t="str">
        <f t="shared" si="57"/>
        <v>2024-7</v>
      </c>
      <c r="AP903" s="8"/>
      <c r="AQ903" s="8"/>
      <c r="AR903" s="8"/>
      <c r="AT903" s="8"/>
    </row>
    <row r="904" spans="1:46" x14ac:dyDescent="0.25">
      <c r="A904" t="s">
        <v>17</v>
      </c>
      <c r="B904" t="s">
        <v>228</v>
      </c>
      <c r="C904" t="s">
        <v>430</v>
      </c>
      <c r="D904" s="7">
        <v>74443</v>
      </c>
      <c r="E904">
        <v>3</v>
      </c>
      <c r="W904" t="s">
        <v>228</v>
      </c>
      <c r="X904" s="11" t="s">
        <v>430</v>
      </c>
      <c r="Y904" s="7">
        <v>74443</v>
      </c>
      <c r="Z904" s="11" t="str">
        <f t="shared" si="57"/>
        <v>2024-7</v>
      </c>
      <c r="AP904" s="8"/>
      <c r="AQ904" s="8"/>
      <c r="AR904" s="8"/>
      <c r="AT904" s="8"/>
    </row>
    <row r="905" spans="1:46" x14ac:dyDescent="0.25">
      <c r="A905" t="s">
        <v>27</v>
      </c>
      <c r="B905" t="s">
        <v>56</v>
      </c>
      <c r="C905" t="s">
        <v>431</v>
      </c>
      <c r="D905" s="7">
        <v>69661</v>
      </c>
      <c r="E905">
        <v>7</v>
      </c>
      <c r="W905" t="s">
        <v>56</v>
      </c>
      <c r="X905" s="11" t="s">
        <v>431</v>
      </c>
      <c r="Y905" s="7">
        <v>69661</v>
      </c>
      <c r="Z905" s="11" t="str">
        <f t="shared" si="57"/>
        <v>2024-8</v>
      </c>
      <c r="AP905" s="8"/>
      <c r="AQ905" s="8"/>
      <c r="AR905" s="8"/>
      <c r="AT905" s="8"/>
    </row>
    <row r="906" spans="1:46" x14ac:dyDescent="0.25">
      <c r="A906" t="s">
        <v>12</v>
      </c>
      <c r="B906" t="s">
        <v>41</v>
      </c>
      <c r="C906" t="s">
        <v>431</v>
      </c>
      <c r="D906" s="7">
        <v>31146</v>
      </c>
      <c r="E906">
        <v>3</v>
      </c>
      <c r="W906" t="s">
        <v>41</v>
      </c>
      <c r="X906" s="11" t="s">
        <v>431</v>
      </c>
      <c r="Y906" s="7">
        <v>31146</v>
      </c>
      <c r="Z906" s="11" t="str">
        <f t="shared" si="57"/>
        <v>2024-8</v>
      </c>
      <c r="AP906" s="8"/>
      <c r="AQ906" s="8"/>
      <c r="AR906" s="8"/>
      <c r="AT906" s="8"/>
    </row>
    <row r="907" spans="1:46" x14ac:dyDescent="0.25">
      <c r="A907" t="s">
        <v>23</v>
      </c>
      <c r="B907" t="s">
        <v>42</v>
      </c>
      <c r="C907" t="s">
        <v>431</v>
      </c>
      <c r="D907" s="7">
        <v>27053</v>
      </c>
      <c r="E907">
        <v>3</v>
      </c>
      <c r="W907" t="s">
        <v>42</v>
      </c>
      <c r="X907" s="11" t="s">
        <v>431</v>
      </c>
      <c r="Y907" s="7">
        <v>27053</v>
      </c>
      <c r="Z907" s="11" t="str">
        <f t="shared" si="57"/>
        <v>2024-8</v>
      </c>
      <c r="AP907" s="8"/>
      <c r="AQ907" s="8"/>
      <c r="AR907" s="8"/>
      <c r="AT907" s="8"/>
    </row>
    <row r="908" spans="1:46" x14ac:dyDescent="0.25">
      <c r="A908" t="s">
        <v>27</v>
      </c>
      <c r="B908" t="s">
        <v>259</v>
      </c>
      <c r="C908" t="s">
        <v>431</v>
      </c>
      <c r="D908" s="7">
        <v>11038</v>
      </c>
      <c r="E908">
        <v>7</v>
      </c>
      <c r="W908" t="s">
        <v>259</v>
      </c>
      <c r="X908" s="11" t="s">
        <v>431</v>
      </c>
      <c r="Y908" s="7">
        <v>11038</v>
      </c>
      <c r="Z908" s="11" t="str">
        <f t="shared" si="57"/>
        <v>2024-8</v>
      </c>
      <c r="AP908" s="8"/>
      <c r="AQ908" s="8"/>
      <c r="AR908" s="8"/>
      <c r="AT908" s="8"/>
    </row>
    <row r="909" spans="1:46" x14ac:dyDescent="0.25">
      <c r="A909" t="s">
        <v>10</v>
      </c>
      <c r="B909" t="s">
        <v>44</v>
      </c>
      <c r="C909" t="s">
        <v>431</v>
      </c>
      <c r="D909" s="7">
        <v>70697</v>
      </c>
      <c r="E909">
        <v>6</v>
      </c>
      <c r="W909" t="s">
        <v>44</v>
      </c>
      <c r="X909" s="11" t="s">
        <v>431</v>
      </c>
      <c r="Y909" s="7">
        <v>70697</v>
      </c>
      <c r="Z909" s="11" t="str">
        <f t="shared" si="57"/>
        <v>2024-8</v>
      </c>
      <c r="AP909" s="8"/>
      <c r="AQ909" s="8"/>
      <c r="AR909" s="8"/>
      <c r="AT909" s="8"/>
    </row>
    <row r="910" spans="1:46" x14ac:dyDescent="0.25">
      <c r="A910" t="s">
        <v>20</v>
      </c>
      <c r="B910" t="s">
        <v>129</v>
      </c>
      <c r="C910" t="s">
        <v>431</v>
      </c>
      <c r="D910" s="7">
        <v>18712</v>
      </c>
      <c r="E910">
        <v>7</v>
      </c>
      <c r="W910" t="s">
        <v>129</v>
      </c>
      <c r="X910" s="11" t="s">
        <v>431</v>
      </c>
      <c r="Y910" s="7">
        <v>18712</v>
      </c>
      <c r="Z910" s="11" t="str">
        <f t="shared" si="57"/>
        <v>2024-8</v>
      </c>
      <c r="AP910" s="8"/>
      <c r="AQ910" s="8"/>
      <c r="AR910" s="8"/>
      <c r="AT910" s="8"/>
    </row>
    <row r="911" spans="1:46" x14ac:dyDescent="0.25">
      <c r="A911" t="s">
        <v>14</v>
      </c>
      <c r="B911" t="s">
        <v>396</v>
      </c>
      <c r="C911" t="s">
        <v>432</v>
      </c>
      <c r="D911" s="7">
        <v>96465</v>
      </c>
      <c r="E911">
        <v>8</v>
      </c>
      <c r="W911" t="s">
        <v>396</v>
      </c>
      <c r="X911" s="11" t="s">
        <v>432</v>
      </c>
      <c r="Y911" s="7">
        <v>96465</v>
      </c>
      <c r="Z911" s="11" t="str">
        <f t="shared" si="57"/>
        <v>2024-8</v>
      </c>
      <c r="AP911" s="8"/>
      <c r="AQ911" s="8"/>
      <c r="AR911" s="8"/>
      <c r="AT911" s="8"/>
    </row>
    <row r="912" spans="1:46" x14ac:dyDescent="0.25">
      <c r="A912" t="s">
        <v>10</v>
      </c>
      <c r="B912" t="s">
        <v>87</v>
      </c>
      <c r="C912" t="s">
        <v>432</v>
      </c>
      <c r="D912" s="7">
        <v>62713</v>
      </c>
      <c r="E912">
        <v>7</v>
      </c>
      <c r="W912" t="s">
        <v>87</v>
      </c>
      <c r="X912" s="11" t="s">
        <v>432</v>
      </c>
      <c r="Y912" s="7">
        <v>62713</v>
      </c>
      <c r="Z912" s="11" t="str">
        <f t="shared" si="57"/>
        <v>2024-8</v>
      </c>
      <c r="AP912" s="8"/>
      <c r="AQ912" s="8"/>
      <c r="AR912" s="8"/>
      <c r="AT912" s="8"/>
    </row>
    <row r="913" spans="1:46" x14ac:dyDescent="0.25">
      <c r="A913" t="s">
        <v>14</v>
      </c>
      <c r="B913" t="s">
        <v>34</v>
      </c>
      <c r="C913" t="s">
        <v>432</v>
      </c>
      <c r="D913" s="7">
        <v>77976</v>
      </c>
      <c r="E913">
        <v>5</v>
      </c>
      <c r="W913" t="s">
        <v>34</v>
      </c>
      <c r="X913" s="11" t="s">
        <v>432</v>
      </c>
      <c r="Y913" s="7">
        <v>77976</v>
      </c>
      <c r="Z913" s="11" t="str">
        <f t="shared" si="57"/>
        <v>2024-8</v>
      </c>
      <c r="AP913" s="8"/>
      <c r="AQ913" s="8"/>
      <c r="AR913" s="8"/>
      <c r="AT913" s="8"/>
    </row>
    <row r="914" spans="1:46" x14ac:dyDescent="0.25">
      <c r="A914" t="s">
        <v>23</v>
      </c>
      <c r="B914" t="s">
        <v>369</v>
      </c>
      <c r="C914" t="s">
        <v>432</v>
      </c>
      <c r="D914" s="7">
        <v>17603</v>
      </c>
      <c r="E914">
        <v>7</v>
      </c>
      <c r="W914" t="s">
        <v>369</v>
      </c>
      <c r="X914" s="11" t="s">
        <v>432</v>
      </c>
      <c r="Y914" s="7">
        <v>17603</v>
      </c>
      <c r="Z914" s="11" t="str">
        <f t="shared" si="57"/>
        <v>2024-8</v>
      </c>
      <c r="AP914" s="8"/>
      <c r="AQ914" s="8"/>
      <c r="AR914" s="8"/>
      <c r="AT914" s="8"/>
    </row>
    <row r="915" spans="1:46" x14ac:dyDescent="0.25">
      <c r="A915" t="s">
        <v>12</v>
      </c>
      <c r="B915" t="s">
        <v>51</v>
      </c>
      <c r="C915" t="s">
        <v>432</v>
      </c>
      <c r="D915" s="7">
        <v>58045</v>
      </c>
      <c r="E915">
        <v>8</v>
      </c>
      <c r="W915" t="s">
        <v>51</v>
      </c>
      <c r="X915" s="11" t="s">
        <v>432</v>
      </c>
      <c r="Y915" s="7">
        <v>58045</v>
      </c>
      <c r="Z915" s="11" t="str">
        <f t="shared" si="57"/>
        <v>2024-8</v>
      </c>
      <c r="AP915" s="8"/>
      <c r="AQ915" s="8"/>
      <c r="AR915" s="8"/>
      <c r="AT915" s="8"/>
    </row>
    <row r="916" spans="1:46" x14ac:dyDescent="0.25">
      <c r="A916" t="s">
        <v>10</v>
      </c>
      <c r="B916" t="s">
        <v>104</v>
      </c>
      <c r="C916" t="s">
        <v>432</v>
      </c>
      <c r="D916" s="7">
        <v>49357</v>
      </c>
      <c r="E916">
        <v>7</v>
      </c>
      <c r="W916" t="s">
        <v>104</v>
      </c>
      <c r="X916" s="11" t="s">
        <v>432</v>
      </c>
      <c r="Y916" s="7">
        <v>49357</v>
      </c>
      <c r="Z916" s="11" t="str">
        <f t="shared" si="57"/>
        <v>2024-8</v>
      </c>
      <c r="AP916" s="8"/>
      <c r="AQ916" s="8"/>
      <c r="AR916" s="8"/>
      <c r="AT916" s="8"/>
    </row>
    <row r="917" spans="1:46" x14ac:dyDescent="0.25">
      <c r="A917" t="s">
        <v>20</v>
      </c>
      <c r="B917" t="s">
        <v>132</v>
      </c>
      <c r="C917" t="s">
        <v>432</v>
      </c>
      <c r="D917" s="7">
        <v>59071</v>
      </c>
      <c r="E917">
        <v>5</v>
      </c>
      <c r="W917" t="s">
        <v>132</v>
      </c>
      <c r="X917" s="11" t="s">
        <v>432</v>
      </c>
      <c r="Y917" s="7">
        <v>59071</v>
      </c>
      <c r="Z917" s="11" t="str">
        <f t="shared" si="57"/>
        <v>2024-8</v>
      </c>
      <c r="AP917" s="8"/>
      <c r="AQ917" s="8"/>
      <c r="AR917" s="8"/>
      <c r="AT917" s="8"/>
    </row>
    <row r="918" spans="1:46" x14ac:dyDescent="0.25">
      <c r="A918" t="s">
        <v>23</v>
      </c>
      <c r="B918" t="s">
        <v>173</v>
      </c>
      <c r="C918" t="s">
        <v>432</v>
      </c>
      <c r="D918" s="7">
        <v>69049</v>
      </c>
      <c r="E918">
        <v>5</v>
      </c>
      <c r="W918" t="s">
        <v>173</v>
      </c>
      <c r="X918" s="11" t="s">
        <v>432</v>
      </c>
      <c r="Y918" s="7">
        <v>69049</v>
      </c>
      <c r="Z918" s="11" t="str">
        <f t="shared" si="57"/>
        <v>2024-8</v>
      </c>
      <c r="AP918" s="8"/>
      <c r="AQ918" s="8"/>
      <c r="AR918" s="8"/>
      <c r="AT918" s="8"/>
    </row>
    <row r="919" spans="1:46" x14ac:dyDescent="0.25">
      <c r="A919" t="s">
        <v>12</v>
      </c>
      <c r="B919" t="s">
        <v>54</v>
      </c>
      <c r="C919" t="s">
        <v>432</v>
      </c>
      <c r="D919" s="7">
        <v>49148</v>
      </c>
      <c r="E919">
        <v>8</v>
      </c>
      <c r="W919" t="s">
        <v>54</v>
      </c>
      <c r="X919" s="11" t="s">
        <v>432</v>
      </c>
      <c r="Y919" s="7">
        <v>49148</v>
      </c>
      <c r="Z919" s="11" t="str">
        <f t="shared" si="57"/>
        <v>2024-8</v>
      </c>
      <c r="AP919" s="8"/>
      <c r="AQ919" s="8"/>
      <c r="AR919" s="8"/>
      <c r="AT919" s="8"/>
    </row>
    <row r="920" spans="1:46" x14ac:dyDescent="0.25">
      <c r="A920" t="s">
        <v>8</v>
      </c>
      <c r="B920" t="s">
        <v>196</v>
      </c>
      <c r="C920" t="s">
        <v>433</v>
      </c>
      <c r="D920" s="7">
        <v>75785</v>
      </c>
      <c r="E920">
        <v>1</v>
      </c>
      <c r="W920" t="s">
        <v>196</v>
      </c>
      <c r="X920" s="11" t="s">
        <v>433</v>
      </c>
      <c r="Y920" s="7">
        <v>75785</v>
      </c>
      <c r="Z920" s="11" t="str">
        <f t="shared" si="57"/>
        <v>2024-8</v>
      </c>
      <c r="AP920" s="8"/>
      <c r="AQ920" s="8"/>
      <c r="AR920" s="8"/>
      <c r="AT920" s="8"/>
    </row>
    <row r="921" spans="1:46" x14ac:dyDescent="0.25">
      <c r="A921" t="s">
        <v>36</v>
      </c>
      <c r="B921" t="s">
        <v>237</v>
      </c>
      <c r="C921" t="s">
        <v>433</v>
      </c>
      <c r="D921" s="7">
        <v>72366</v>
      </c>
      <c r="E921">
        <v>9</v>
      </c>
      <c r="W921" t="s">
        <v>237</v>
      </c>
      <c r="X921" s="11" t="s">
        <v>433</v>
      </c>
      <c r="Y921" s="7">
        <v>72366</v>
      </c>
      <c r="Z921" s="11" t="str">
        <f t="shared" si="57"/>
        <v>2024-8</v>
      </c>
      <c r="AP921" s="8"/>
      <c r="AQ921" s="8"/>
      <c r="AR921" s="8"/>
      <c r="AT921" s="8"/>
    </row>
    <row r="922" spans="1:46" x14ac:dyDescent="0.25">
      <c r="A922" t="s">
        <v>33</v>
      </c>
      <c r="B922" t="s">
        <v>434</v>
      </c>
      <c r="C922" t="s">
        <v>433</v>
      </c>
      <c r="D922" s="7">
        <v>62214</v>
      </c>
      <c r="E922">
        <v>9</v>
      </c>
      <c r="W922" t="s">
        <v>434</v>
      </c>
      <c r="X922" s="11" t="s">
        <v>433</v>
      </c>
      <c r="Y922" s="7">
        <v>62214</v>
      </c>
      <c r="Z922" s="11" t="str">
        <f t="shared" si="57"/>
        <v>2024-8</v>
      </c>
      <c r="AP922" s="8"/>
      <c r="AQ922" s="8"/>
      <c r="AR922" s="8"/>
      <c r="AT922" s="8"/>
    </row>
    <row r="923" spans="1:46" x14ac:dyDescent="0.25">
      <c r="A923" t="s">
        <v>5</v>
      </c>
      <c r="B923" t="s">
        <v>296</v>
      </c>
      <c r="C923" t="s">
        <v>435</v>
      </c>
      <c r="D923" s="7">
        <v>37796</v>
      </c>
      <c r="E923">
        <v>7</v>
      </c>
      <c r="W923" t="s">
        <v>296</v>
      </c>
      <c r="X923" s="11" t="s">
        <v>435</v>
      </c>
      <c r="Y923" s="7">
        <v>37796</v>
      </c>
      <c r="Z923" s="11" t="str">
        <f t="shared" si="57"/>
        <v>2024-8</v>
      </c>
      <c r="AP923" s="8"/>
      <c r="AQ923" s="8"/>
      <c r="AR923" s="8"/>
      <c r="AT923" s="8"/>
    </row>
    <row r="924" spans="1:46" x14ac:dyDescent="0.25">
      <c r="A924" t="s">
        <v>20</v>
      </c>
      <c r="B924" t="s">
        <v>114</v>
      </c>
      <c r="C924" t="s">
        <v>435</v>
      </c>
      <c r="D924" s="7">
        <v>51606</v>
      </c>
      <c r="E924">
        <v>8</v>
      </c>
      <c r="W924" t="s">
        <v>114</v>
      </c>
      <c r="X924" s="11" t="s">
        <v>435</v>
      </c>
      <c r="Y924" s="7">
        <v>51606</v>
      </c>
      <c r="Z924" s="11" t="str">
        <f t="shared" si="57"/>
        <v>2024-8</v>
      </c>
      <c r="AP924" s="8"/>
      <c r="AQ924" s="8"/>
      <c r="AR924" s="8"/>
      <c r="AT924" s="8"/>
    </row>
    <row r="925" spans="1:46" x14ac:dyDescent="0.25">
      <c r="A925" t="s">
        <v>23</v>
      </c>
      <c r="B925" t="s">
        <v>72</v>
      </c>
      <c r="C925" t="s">
        <v>435</v>
      </c>
      <c r="D925" s="7">
        <v>51331</v>
      </c>
      <c r="E925">
        <v>8</v>
      </c>
      <c r="W925" t="s">
        <v>72</v>
      </c>
      <c r="X925" s="11" t="s">
        <v>435</v>
      </c>
      <c r="Y925" s="7">
        <v>51331</v>
      </c>
      <c r="Z925" s="11" t="str">
        <f t="shared" si="57"/>
        <v>2024-8</v>
      </c>
      <c r="AP925" s="8"/>
      <c r="AQ925" s="8"/>
      <c r="AR925" s="8"/>
      <c r="AT925" s="8"/>
    </row>
    <row r="926" spans="1:46" x14ac:dyDescent="0.25">
      <c r="A926" t="s">
        <v>10</v>
      </c>
      <c r="B926" t="s">
        <v>109</v>
      </c>
      <c r="C926" t="s">
        <v>435</v>
      </c>
      <c r="D926" s="7">
        <v>90950</v>
      </c>
      <c r="E926">
        <v>7</v>
      </c>
      <c r="W926" t="s">
        <v>109</v>
      </c>
      <c r="X926" s="11" t="s">
        <v>435</v>
      </c>
      <c r="Y926" s="7">
        <v>90950</v>
      </c>
      <c r="Z926" s="11" t="str">
        <f t="shared" si="57"/>
        <v>2024-8</v>
      </c>
      <c r="AP926" s="8"/>
      <c r="AQ926" s="8"/>
      <c r="AR926" s="8"/>
      <c r="AT926" s="8"/>
    </row>
    <row r="927" spans="1:46" x14ac:dyDescent="0.25">
      <c r="A927" t="s">
        <v>27</v>
      </c>
      <c r="B927" t="s">
        <v>266</v>
      </c>
      <c r="C927" t="s">
        <v>436</v>
      </c>
      <c r="D927" s="7">
        <v>92451</v>
      </c>
      <c r="E927">
        <v>8</v>
      </c>
      <c r="W927" t="s">
        <v>266</v>
      </c>
      <c r="X927" s="11" t="s">
        <v>436</v>
      </c>
      <c r="Y927" s="7">
        <v>92451</v>
      </c>
      <c r="Z927" s="11" t="str">
        <f t="shared" si="57"/>
        <v>2024-8</v>
      </c>
      <c r="AP927" s="8"/>
      <c r="AQ927" s="8"/>
      <c r="AR927" s="8"/>
      <c r="AT927" s="8"/>
    </row>
    <row r="928" spans="1:46" x14ac:dyDescent="0.25">
      <c r="A928" t="s">
        <v>12</v>
      </c>
      <c r="B928" t="s">
        <v>131</v>
      </c>
      <c r="C928" t="s">
        <v>436</v>
      </c>
      <c r="D928" s="7">
        <v>61837</v>
      </c>
      <c r="E928">
        <v>9</v>
      </c>
      <c r="W928" t="s">
        <v>131</v>
      </c>
      <c r="X928" s="11" t="s">
        <v>436</v>
      </c>
      <c r="Y928" s="7">
        <v>61837</v>
      </c>
      <c r="Z928" s="11" t="str">
        <f t="shared" si="57"/>
        <v>2024-8</v>
      </c>
      <c r="AP928" s="8"/>
      <c r="AQ928" s="8"/>
      <c r="AR928" s="8"/>
      <c r="AT928" s="8"/>
    </row>
    <row r="929" spans="1:46" x14ac:dyDescent="0.25">
      <c r="A929" t="s">
        <v>36</v>
      </c>
      <c r="B929" t="s">
        <v>82</v>
      </c>
      <c r="C929" t="s">
        <v>436</v>
      </c>
      <c r="D929" s="7">
        <v>74075</v>
      </c>
      <c r="E929">
        <v>6</v>
      </c>
      <c r="W929" t="s">
        <v>82</v>
      </c>
      <c r="X929" s="11" t="s">
        <v>436</v>
      </c>
      <c r="Y929" s="7">
        <v>74075</v>
      </c>
      <c r="Z929" s="11" t="str">
        <f t="shared" si="57"/>
        <v>2024-8</v>
      </c>
      <c r="AP929" s="8"/>
      <c r="AQ929" s="8"/>
      <c r="AR929" s="8"/>
      <c r="AT929" s="8"/>
    </row>
    <row r="930" spans="1:46" x14ac:dyDescent="0.25">
      <c r="A930" t="s">
        <v>32</v>
      </c>
      <c r="B930" t="s">
        <v>112</v>
      </c>
      <c r="C930" t="s">
        <v>436</v>
      </c>
      <c r="D930" s="7">
        <v>50305</v>
      </c>
      <c r="E930">
        <v>5</v>
      </c>
      <c r="W930" t="s">
        <v>112</v>
      </c>
      <c r="X930" s="11" t="s">
        <v>436</v>
      </c>
      <c r="Y930" s="7">
        <v>50305</v>
      </c>
      <c r="Z930" s="11" t="str">
        <f t="shared" si="57"/>
        <v>2024-8</v>
      </c>
      <c r="AP930" s="8"/>
      <c r="AQ930" s="8"/>
      <c r="AR930" s="8"/>
      <c r="AT930" s="8"/>
    </row>
    <row r="931" spans="1:46" x14ac:dyDescent="0.25">
      <c r="A931" t="s">
        <v>23</v>
      </c>
      <c r="B931" t="s">
        <v>396</v>
      </c>
      <c r="C931" t="s">
        <v>437</v>
      </c>
      <c r="D931" s="7">
        <v>77450</v>
      </c>
      <c r="E931">
        <v>6</v>
      </c>
      <c r="W931" t="s">
        <v>396</v>
      </c>
      <c r="X931" s="11" t="s">
        <v>437</v>
      </c>
      <c r="Y931" s="7">
        <v>77450</v>
      </c>
      <c r="Z931" s="11" t="str">
        <f t="shared" si="57"/>
        <v>2024-8</v>
      </c>
      <c r="AP931" s="8"/>
      <c r="AQ931" s="8"/>
      <c r="AR931" s="8"/>
      <c r="AT931" s="8"/>
    </row>
    <row r="932" spans="1:46" x14ac:dyDescent="0.25">
      <c r="A932" t="s">
        <v>14</v>
      </c>
      <c r="B932" t="s">
        <v>131</v>
      </c>
      <c r="C932" t="s">
        <v>437</v>
      </c>
      <c r="D932" s="7">
        <v>62127</v>
      </c>
      <c r="E932">
        <v>0</v>
      </c>
      <c r="W932" t="s">
        <v>131</v>
      </c>
      <c r="X932" s="11" t="s">
        <v>437</v>
      </c>
      <c r="Y932" s="7">
        <v>62127</v>
      </c>
      <c r="Z932" s="11" t="str">
        <f t="shared" si="57"/>
        <v>2024-8</v>
      </c>
      <c r="AP932" s="8"/>
      <c r="AQ932" s="8"/>
      <c r="AR932" s="8"/>
      <c r="AT932" s="8"/>
    </row>
    <row r="933" spans="1:46" x14ac:dyDescent="0.25">
      <c r="A933" t="s">
        <v>5</v>
      </c>
      <c r="B933" t="s">
        <v>127</v>
      </c>
      <c r="C933" t="s">
        <v>437</v>
      </c>
      <c r="D933" s="7">
        <v>26618</v>
      </c>
      <c r="E933">
        <v>3</v>
      </c>
      <c r="W933" t="s">
        <v>127</v>
      </c>
      <c r="X933" s="11" t="s">
        <v>437</v>
      </c>
      <c r="Y933" s="7">
        <v>26618</v>
      </c>
      <c r="Z933" s="11" t="str">
        <f t="shared" si="57"/>
        <v>2024-8</v>
      </c>
      <c r="AP933" s="8"/>
      <c r="AQ933" s="8"/>
      <c r="AR933" s="8"/>
      <c r="AT933" s="8"/>
    </row>
    <row r="934" spans="1:46" x14ac:dyDescent="0.25">
      <c r="A934" t="s">
        <v>23</v>
      </c>
      <c r="B934" t="s">
        <v>53</v>
      </c>
      <c r="C934" t="s">
        <v>438</v>
      </c>
      <c r="D934" s="7">
        <v>30346</v>
      </c>
      <c r="E934">
        <v>7</v>
      </c>
      <c r="W934" t="s">
        <v>53</v>
      </c>
      <c r="X934" s="11" t="s">
        <v>438</v>
      </c>
      <c r="Y934" s="7">
        <v>30346</v>
      </c>
      <c r="Z934" s="11" t="str">
        <f t="shared" si="57"/>
        <v>2024-8</v>
      </c>
      <c r="AP934" s="8"/>
      <c r="AQ934" s="8"/>
      <c r="AR934" s="8"/>
      <c r="AT934" s="8"/>
    </row>
    <row r="935" spans="1:46" x14ac:dyDescent="0.25">
      <c r="A935" t="s">
        <v>12</v>
      </c>
      <c r="B935" t="s">
        <v>396</v>
      </c>
      <c r="C935" t="s">
        <v>438</v>
      </c>
      <c r="D935" s="7">
        <v>17106</v>
      </c>
      <c r="E935">
        <v>6</v>
      </c>
      <c r="W935" t="s">
        <v>396</v>
      </c>
      <c r="X935" s="11" t="s">
        <v>438</v>
      </c>
      <c r="Y935" s="7">
        <v>17106</v>
      </c>
      <c r="Z935" s="11" t="str">
        <f t="shared" si="57"/>
        <v>2024-8</v>
      </c>
      <c r="AP935" s="8"/>
      <c r="AQ935" s="8"/>
      <c r="AR935" s="8"/>
      <c r="AT935" s="8"/>
    </row>
    <row r="936" spans="1:46" x14ac:dyDescent="0.25">
      <c r="A936" t="s">
        <v>8</v>
      </c>
      <c r="B936" t="s">
        <v>131</v>
      </c>
      <c r="C936" t="s">
        <v>438</v>
      </c>
      <c r="D936" s="7">
        <v>13036</v>
      </c>
      <c r="E936">
        <v>7</v>
      </c>
      <c r="W936" t="s">
        <v>131</v>
      </c>
      <c r="X936" s="11" t="s">
        <v>438</v>
      </c>
      <c r="Y936" s="7">
        <v>13036</v>
      </c>
      <c r="Z936" s="11" t="str">
        <f t="shared" si="57"/>
        <v>2024-8</v>
      </c>
      <c r="AP936" s="8"/>
      <c r="AQ936" s="8"/>
      <c r="AR936" s="8"/>
      <c r="AT936" s="8"/>
    </row>
    <row r="937" spans="1:46" x14ac:dyDescent="0.25">
      <c r="A937" t="s">
        <v>12</v>
      </c>
      <c r="B937" t="s">
        <v>396</v>
      </c>
      <c r="C937" t="s">
        <v>438</v>
      </c>
      <c r="D937" s="7">
        <v>23611</v>
      </c>
      <c r="E937">
        <v>6</v>
      </c>
      <c r="W937" t="s">
        <v>396</v>
      </c>
      <c r="X937" s="11" t="s">
        <v>438</v>
      </c>
      <c r="Y937" s="7">
        <v>23611</v>
      </c>
      <c r="Z937" s="11" t="str">
        <f t="shared" si="57"/>
        <v>2024-8</v>
      </c>
      <c r="AP937" s="8"/>
      <c r="AQ937" s="8"/>
      <c r="AR937" s="8"/>
      <c r="AT937" s="8"/>
    </row>
    <row r="938" spans="1:46" x14ac:dyDescent="0.25">
      <c r="A938" t="s">
        <v>20</v>
      </c>
      <c r="B938" t="s">
        <v>197</v>
      </c>
      <c r="C938" t="s">
        <v>438</v>
      </c>
      <c r="D938" s="7">
        <v>72632</v>
      </c>
      <c r="E938">
        <v>8</v>
      </c>
      <c r="W938" t="s">
        <v>197</v>
      </c>
      <c r="X938" s="11" t="s">
        <v>438</v>
      </c>
      <c r="Y938" s="7">
        <v>72632</v>
      </c>
      <c r="Z938" s="11" t="str">
        <f t="shared" si="57"/>
        <v>2024-8</v>
      </c>
      <c r="AP938" s="8"/>
      <c r="AQ938" s="8"/>
      <c r="AR938" s="8"/>
      <c r="AT938" s="8"/>
    </row>
    <row r="939" spans="1:46" x14ac:dyDescent="0.25">
      <c r="A939" t="s">
        <v>14</v>
      </c>
      <c r="B939" t="s">
        <v>336</v>
      </c>
      <c r="C939" t="s">
        <v>438</v>
      </c>
      <c r="D939" s="7">
        <v>82675</v>
      </c>
      <c r="E939">
        <v>4</v>
      </c>
      <c r="W939" t="s">
        <v>336</v>
      </c>
      <c r="X939" s="11" t="s">
        <v>438</v>
      </c>
      <c r="Y939" s="7">
        <v>82675</v>
      </c>
      <c r="Z939" s="11" t="str">
        <f t="shared" si="57"/>
        <v>2024-8</v>
      </c>
      <c r="AP939" s="8"/>
      <c r="AQ939" s="8"/>
      <c r="AR939" s="8"/>
      <c r="AT939" s="8"/>
    </row>
    <row r="940" spans="1:46" x14ac:dyDescent="0.25">
      <c r="A940" t="s">
        <v>23</v>
      </c>
      <c r="B940" t="s">
        <v>81</v>
      </c>
      <c r="C940" t="s">
        <v>438</v>
      </c>
      <c r="D940" s="7">
        <v>22578</v>
      </c>
      <c r="E940">
        <v>8</v>
      </c>
      <c r="W940" t="s">
        <v>81</v>
      </c>
      <c r="X940" s="11" t="s">
        <v>438</v>
      </c>
      <c r="Y940" s="7">
        <v>22578</v>
      </c>
      <c r="Z940" s="11" t="str">
        <f t="shared" si="57"/>
        <v>2024-8</v>
      </c>
      <c r="AP940" s="8"/>
      <c r="AQ940" s="8"/>
      <c r="AR940" s="8"/>
      <c r="AT940" s="8"/>
    </row>
    <row r="941" spans="1:46" x14ac:dyDescent="0.25">
      <c r="A941" t="s">
        <v>12</v>
      </c>
      <c r="B941" t="s">
        <v>92</v>
      </c>
      <c r="C941" t="s">
        <v>438</v>
      </c>
      <c r="D941" s="7">
        <v>45508</v>
      </c>
      <c r="E941">
        <v>4</v>
      </c>
      <c r="W941" t="s">
        <v>92</v>
      </c>
      <c r="X941" s="11" t="s">
        <v>438</v>
      </c>
      <c r="Y941" s="7">
        <v>45508</v>
      </c>
      <c r="Z941" s="11" t="str">
        <f t="shared" si="57"/>
        <v>2024-8</v>
      </c>
      <c r="AP941" s="8"/>
      <c r="AQ941" s="8"/>
      <c r="AR941" s="8"/>
      <c r="AT941" s="8"/>
    </row>
    <row r="942" spans="1:46" x14ac:dyDescent="0.25">
      <c r="A942" t="s">
        <v>5</v>
      </c>
      <c r="B942" t="s">
        <v>61</v>
      </c>
      <c r="C942" t="s">
        <v>438</v>
      </c>
      <c r="D942" s="7">
        <v>55927</v>
      </c>
      <c r="E942">
        <v>4</v>
      </c>
      <c r="W942" t="s">
        <v>61</v>
      </c>
      <c r="X942" s="11" t="s">
        <v>438</v>
      </c>
      <c r="Y942" s="7">
        <v>55927</v>
      </c>
      <c r="Z942" s="11" t="str">
        <f t="shared" si="57"/>
        <v>2024-8</v>
      </c>
      <c r="AP942" s="8"/>
      <c r="AQ942" s="8"/>
      <c r="AR942" s="8"/>
      <c r="AT942" s="8"/>
    </row>
    <row r="943" spans="1:46" x14ac:dyDescent="0.25">
      <c r="A943" t="s">
        <v>20</v>
      </c>
      <c r="B943" t="s">
        <v>242</v>
      </c>
      <c r="C943" t="s">
        <v>438</v>
      </c>
      <c r="D943" s="7">
        <v>84158</v>
      </c>
      <c r="E943">
        <v>5</v>
      </c>
      <c r="W943" t="s">
        <v>242</v>
      </c>
      <c r="X943" s="11" t="s">
        <v>438</v>
      </c>
      <c r="Y943" s="7">
        <v>84158</v>
      </c>
      <c r="Z943" s="11" t="str">
        <f t="shared" si="57"/>
        <v>2024-8</v>
      </c>
      <c r="AP943" s="8"/>
      <c r="AQ943" s="8"/>
      <c r="AR943" s="8"/>
      <c r="AT943" s="8"/>
    </row>
    <row r="944" spans="1:46" x14ac:dyDescent="0.25">
      <c r="A944" t="s">
        <v>10</v>
      </c>
      <c r="B944" t="s">
        <v>67</v>
      </c>
      <c r="C944" t="s">
        <v>438</v>
      </c>
      <c r="D944" s="7">
        <v>62653</v>
      </c>
      <c r="E944">
        <v>9</v>
      </c>
      <c r="W944" t="s">
        <v>67</v>
      </c>
      <c r="X944" s="11" t="s">
        <v>438</v>
      </c>
      <c r="Y944" s="7">
        <v>62653</v>
      </c>
      <c r="Z944" s="11" t="str">
        <f t="shared" si="57"/>
        <v>2024-8</v>
      </c>
      <c r="AP944" s="8"/>
      <c r="AQ944" s="8"/>
      <c r="AR944" s="8"/>
      <c r="AT944" s="8"/>
    </row>
    <row r="945" spans="1:46" x14ac:dyDescent="0.25">
      <c r="A945" t="s">
        <v>32</v>
      </c>
      <c r="B945" t="s">
        <v>127</v>
      </c>
      <c r="C945" t="s">
        <v>439</v>
      </c>
      <c r="D945" s="7">
        <v>66905</v>
      </c>
      <c r="E945">
        <v>10</v>
      </c>
      <c r="W945" t="s">
        <v>127</v>
      </c>
      <c r="X945" s="11" t="s">
        <v>439</v>
      </c>
      <c r="Y945" s="7">
        <v>66905</v>
      </c>
      <c r="Z945" s="11" t="str">
        <f t="shared" si="57"/>
        <v>2024-8</v>
      </c>
      <c r="AP945" s="8"/>
      <c r="AQ945" s="8"/>
      <c r="AR945" s="8"/>
      <c r="AT945" s="8"/>
    </row>
    <row r="946" spans="1:46" x14ac:dyDescent="0.25">
      <c r="A946" t="s">
        <v>14</v>
      </c>
      <c r="B946" t="s">
        <v>171</v>
      </c>
      <c r="C946" t="s">
        <v>439</v>
      </c>
      <c r="D946" s="7">
        <v>62499</v>
      </c>
      <c r="E946">
        <v>7</v>
      </c>
      <c r="W946" t="s">
        <v>171</v>
      </c>
      <c r="X946" s="11" t="s">
        <v>439</v>
      </c>
      <c r="Y946" s="7">
        <v>62499</v>
      </c>
      <c r="Z946" s="11" t="str">
        <f t="shared" si="57"/>
        <v>2024-8</v>
      </c>
      <c r="AP946" s="8"/>
      <c r="AQ946" s="8"/>
      <c r="AR946" s="8"/>
      <c r="AT946" s="8"/>
    </row>
    <row r="947" spans="1:46" x14ac:dyDescent="0.25">
      <c r="A947" t="s">
        <v>5</v>
      </c>
      <c r="B947" t="s">
        <v>195</v>
      </c>
      <c r="C947" t="s">
        <v>439</v>
      </c>
      <c r="D947" s="7">
        <v>31868</v>
      </c>
      <c r="E947">
        <v>6</v>
      </c>
      <c r="W947" t="s">
        <v>195</v>
      </c>
      <c r="X947" s="11" t="s">
        <v>439</v>
      </c>
      <c r="Y947" s="7">
        <v>31868</v>
      </c>
      <c r="Z947" s="11" t="str">
        <f t="shared" si="57"/>
        <v>2024-8</v>
      </c>
      <c r="AP947" s="8"/>
      <c r="AQ947" s="8"/>
      <c r="AR947" s="8"/>
      <c r="AT947" s="8"/>
    </row>
    <row r="948" spans="1:46" x14ac:dyDescent="0.25">
      <c r="A948" t="s">
        <v>8</v>
      </c>
      <c r="B948" t="s">
        <v>296</v>
      </c>
      <c r="C948" t="s">
        <v>440</v>
      </c>
      <c r="D948" s="7">
        <v>87705</v>
      </c>
      <c r="E948">
        <v>6</v>
      </c>
      <c r="W948" t="s">
        <v>296</v>
      </c>
      <c r="X948" s="11" t="s">
        <v>440</v>
      </c>
      <c r="Y948" s="7">
        <v>87705</v>
      </c>
      <c r="Z948" s="11" t="str">
        <f t="shared" si="57"/>
        <v>2024-8</v>
      </c>
      <c r="AP948" s="8"/>
      <c r="AQ948" s="8"/>
      <c r="AR948" s="8"/>
      <c r="AT948" s="8"/>
    </row>
    <row r="949" spans="1:46" x14ac:dyDescent="0.25">
      <c r="A949" t="s">
        <v>8</v>
      </c>
      <c r="B949" t="s">
        <v>327</v>
      </c>
      <c r="C949" t="s">
        <v>440</v>
      </c>
      <c r="D949" s="7">
        <v>27024</v>
      </c>
      <c r="E949">
        <v>9</v>
      </c>
      <c r="W949" t="s">
        <v>327</v>
      </c>
      <c r="X949" s="11" t="s">
        <v>440</v>
      </c>
      <c r="Y949" s="7">
        <v>27024</v>
      </c>
      <c r="Z949" s="11" t="str">
        <f t="shared" si="57"/>
        <v>2024-8</v>
      </c>
      <c r="AP949" s="8"/>
      <c r="AQ949" s="8"/>
      <c r="AR949" s="8"/>
      <c r="AT949" s="8"/>
    </row>
    <row r="950" spans="1:46" x14ac:dyDescent="0.25">
      <c r="A950" t="s">
        <v>17</v>
      </c>
      <c r="B950" t="s">
        <v>39</v>
      </c>
      <c r="C950" t="s">
        <v>440</v>
      </c>
      <c r="D950" s="7">
        <v>51330</v>
      </c>
      <c r="E950">
        <v>8</v>
      </c>
      <c r="W950" t="s">
        <v>39</v>
      </c>
      <c r="X950" s="11" t="s">
        <v>440</v>
      </c>
      <c r="Y950" s="7">
        <v>51330</v>
      </c>
      <c r="Z950" s="11" t="str">
        <f t="shared" si="57"/>
        <v>2024-8</v>
      </c>
      <c r="AP950" s="8"/>
      <c r="AQ950" s="8"/>
      <c r="AR950" s="8"/>
      <c r="AT950" s="8"/>
    </row>
    <row r="951" spans="1:46" x14ac:dyDescent="0.25">
      <c r="A951" t="s">
        <v>33</v>
      </c>
      <c r="B951" t="s">
        <v>65</v>
      </c>
      <c r="C951" t="s">
        <v>440</v>
      </c>
      <c r="D951" s="7">
        <v>24178</v>
      </c>
      <c r="E951">
        <v>8</v>
      </c>
      <c r="W951" t="s">
        <v>65</v>
      </c>
      <c r="X951" s="11" t="s">
        <v>440</v>
      </c>
      <c r="Y951" s="7">
        <v>24178</v>
      </c>
      <c r="Z951" s="11" t="str">
        <f t="shared" si="57"/>
        <v>2024-8</v>
      </c>
      <c r="AP951" s="8"/>
      <c r="AQ951" s="8"/>
      <c r="AR951" s="8"/>
      <c r="AT951" s="8"/>
    </row>
    <row r="952" spans="1:46" x14ac:dyDescent="0.25">
      <c r="A952" t="s">
        <v>17</v>
      </c>
      <c r="B952" t="s">
        <v>118</v>
      </c>
      <c r="C952" t="s">
        <v>441</v>
      </c>
      <c r="D952" s="7">
        <v>33027</v>
      </c>
      <c r="E952">
        <v>6</v>
      </c>
      <c r="W952" t="s">
        <v>118</v>
      </c>
      <c r="X952" s="11" t="s">
        <v>441</v>
      </c>
      <c r="Y952" s="7">
        <v>33027</v>
      </c>
      <c r="Z952" s="11" t="str">
        <f t="shared" si="57"/>
        <v>2024-8</v>
      </c>
      <c r="AP952" s="8"/>
      <c r="AQ952" s="8"/>
      <c r="AR952" s="8"/>
      <c r="AT952" s="8"/>
    </row>
    <row r="953" spans="1:46" x14ac:dyDescent="0.25">
      <c r="A953" t="s">
        <v>32</v>
      </c>
      <c r="B953" t="s">
        <v>212</v>
      </c>
      <c r="C953" t="s">
        <v>441</v>
      </c>
      <c r="D953" s="7">
        <v>43227</v>
      </c>
      <c r="E953">
        <v>9</v>
      </c>
      <c r="W953" t="s">
        <v>212</v>
      </c>
      <c r="X953" s="11" t="s">
        <v>441</v>
      </c>
      <c r="Y953" s="7">
        <v>43227</v>
      </c>
      <c r="Z953" s="11" t="str">
        <f t="shared" si="57"/>
        <v>2024-8</v>
      </c>
      <c r="AP953" s="8"/>
      <c r="AQ953" s="8"/>
      <c r="AR953" s="8"/>
      <c r="AT953" s="8"/>
    </row>
    <row r="954" spans="1:46" x14ac:dyDescent="0.25">
      <c r="A954" t="s">
        <v>14</v>
      </c>
      <c r="B954" t="s">
        <v>85</v>
      </c>
      <c r="C954" t="s">
        <v>441</v>
      </c>
      <c r="D954" s="7">
        <v>67217</v>
      </c>
      <c r="E954">
        <v>5</v>
      </c>
      <c r="W954" t="s">
        <v>85</v>
      </c>
      <c r="X954" s="11" t="s">
        <v>441</v>
      </c>
      <c r="Y954" s="7">
        <v>67217</v>
      </c>
      <c r="Z954" s="11" t="str">
        <f t="shared" si="57"/>
        <v>2024-8</v>
      </c>
      <c r="AP954" s="8"/>
      <c r="AQ954" s="8"/>
      <c r="AR954" s="8"/>
      <c r="AT954" s="8"/>
    </row>
    <row r="955" spans="1:46" x14ac:dyDescent="0.25">
      <c r="A955" t="s">
        <v>8</v>
      </c>
      <c r="B955" t="s">
        <v>158</v>
      </c>
      <c r="C955" t="s">
        <v>441</v>
      </c>
      <c r="D955" s="7">
        <v>33592</v>
      </c>
      <c r="E955">
        <v>6</v>
      </c>
      <c r="W955" t="s">
        <v>158</v>
      </c>
      <c r="X955" s="11" t="s">
        <v>441</v>
      </c>
      <c r="Y955" s="7">
        <v>33592</v>
      </c>
      <c r="Z955" s="11" t="str">
        <f t="shared" si="57"/>
        <v>2024-8</v>
      </c>
      <c r="AP955" s="8"/>
      <c r="AQ955" s="8"/>
      <c r="AR955" s="8"/>
      <c r="AT955" s="8"/>
    </row>
    <row r="956" spans="1:46" x14ac:dyDescent="0.25">
      <c r="A956" t="s">
        <v>17</v>
      </c>
      <c r="B956" t="s">
        <v>199</v>
      </c>
      <c r="C956" t="s">
        <v>441</v>
      </c>
      <c r="D956" s="7">
        <v>10879</v>
      </c>
      <c r="E956">
        <v>3</v>
      </c>
      <c r="W956" t="s">
        <v>199</v>
      </c>
      <c r="X956" s="11" t="s">
        <v>441</v>
      </c>
      <c r="Y956" s="7">
        <v>10879</v>
      </c>
      <c r="Z956" s="11" t="str">
        <f t="shared" si="57"/>
        <v>2024-8</v>
      </c>
      <c r="AP956" s="8"/>
      <c r="AQ956" s="8"/>
      <c r="AR956" s="8"/>
      <c r="AT956" s="8"/>
    </row>
    <row r="957" spans="1:46" x14ac:dyDescent="0.25">
      <c r="A957" t="s">
        <v>10</v>
      </c>
      <c r="B957" t="s">
        <v>22</v>
      </c>
      <c r="C957" t="s">
        <v>441</v>
      </c>
      <c r="D957" s="7">
        <v>25938</v>
      </c>
      <c r="E957">
        <v>7</v>
      </c>
      <c r="W957" t="s">
        <v>22</v>
      </c>
      <c r="X957" s="11" t="s">
        <v>441</v>
      </c>
      <c r="Y957" s="7">
        <v>25938</v>
      </c>
      <c r="Z957" s="11" t="str">
        <f t="shared" si="57"/>
        <v>2024-8</v>
      </c>
      <c r="AP957" s="8"/>
      <c r="AQ957" s="8"/>
      <c r="AR957" s="8"/>
      <c r="AT957" s="8"/>
    </row>
    <row r="958" spans="1:46" x14ac:dyDescent="0.25">
      <c r="A958" t="s">
        <v>27</v>
      </c>
      <c r="B958" t="s">
        <v>174</v>
      </c>
      <c r="C958" t="s">
        <v>441</v>
      </c>
      <c r="D958" s="7">
        <v>59849</v>
      </c>
      <c r="E958">
        <v>7</v>
      </c>
      <c r="W958" t="s">
        <v>174</v>
      </c>
      <c r="X958" s="11" t="s">
        <v>441</v>
      </c>
      <c r="Y958" s="7">
        <v>59849</v>
      </c>
      <c r="Z958" s="11" t="str">
        <f t="shared" si="57"/>
        <v>2024-8</v>
      </c>
      <c r="AP958" s="8"/>
      <c r="AQ958" s="8"/>
      <c r="AR958" s="8"/>
      <c r="AT958" s="8"/>
    </row>
    <row r="959" spans="1:46" x14ac:dyDescent="0.25">
      <c r="A959" t="s">
        <v>10</v>
      </c>
      <c r="B959" t="s">
        <v>142</v>
      </c>
      <c r="C959" t="s">
        <v>441</v>
      </c>
      <c r="D959" s="7">
        <v>65313</v>
      </c>
      <c r="E959">
        <v>10</v>
      </c>
      <c r="W959" t="s">
        <v>142</v>
      </c>
      <c r="X959" s="11" t="s">
        <v>441</v>
      </c>
      <c r="Y959" s="7">
        <v>65313</v>
      </c>
      <c r="Z959" s="11" t="str">
        <f t="shared" si="57"/>
        <v>2024-8</v>
      </c>
      <c r="AP959" s="8"/>
      <c r="AQ959" s="8"/>
      <c r="AR959" s="8"/>
      <c r="AT959" s="8"/>
    </row>
    <row r="960" spans="1:46" x14ac:dyDescent="0.25">
      <c r="A960" t="s">
        <v>33</v>
      </c>
      <c r="B960" t="s">
        <v>53</v>
      </c>
      <c r="C960" t="s">
        <v>442</v>
      </c>
      <c r="D960" s="7">
        <v>81460</v>
      </c>
      <c r="E960">
        <v>5</v>
      </c>
      <c r="W960" t="s">
        <v>53</v>
      </c>
      <c r="X960" s="11" t="s">
        <v>442</v>
      </c>
      <c r="Y960" s="7">
        <v>81460</v>
      </c>
      <c r="Z960" s="11" t="str">
        <f t="shared" si="57"/>
        <v>2024-8</v>
      </c>
      <c r="AP960" s="8"/>
      <c r="AQ960" s="8"/>
      <c r="AR960" s="8"/>
      <c r="AT960" s="8"/>
    </row>
    <row r="961" spans="1:46" x14ac:dyDescent="0.25">
      <c r="A961" t="s">
        <v>32</v>
      </c>
      <c r="B961" t="s">
        <v>81</v>
      </c>
      <c r="C961" t="s">
        <v>442</v>
      </c>
      <c r="D961" s="7">
        <v>38701</v>
      </c>
      <c r="E961">
        <v>9</v>
      </c>
      <c r="W961" t="s">
        <v>81</v>
      </c>
      <c r="X961" s="11" t="s">
        <v>442</v>
      </c>
      <c r="Y961" s="7">
        <v>38701</v>
      </c>
      <c r="Z961" s="11" t="str">
        <f t="shared" si="57"/>
        <v>2024-8</v>
      </c>
      <c r="AP961" s="8"/>
      <c r="AQ961" s="8"/>
      <c r="AR961" s="8"/>
      <c r="AT961" s="8"/>
    </row>
    <row r="962" spans="1:46" x14ac:dyDescent="0.25">
      <c r="A962" t="s">
        <v>5</v>
      </c>
      <c r="B962" t="s">
        <v>135</v>
      </c>
      <c r="C962" t="s">
        <v>442</v>
      </c>
      <c r="D962" s="7">
        <v>25921</v>
      </c>
      <c r="E962">
        <v>8</v>
      </c>
      <c r="W962" t="s">
        <v>135</v>
      </c>
      <c r="X962" s="11" t="s">
        <v>442</v>
      </c>
      <c r="Y962" s="7">
        <v>25921</v>
      </c>
      <c r="Z962" s="11" t="str">
        <f t="shared" si="57"/>
        <v>2024-8</v>
      </c>
      <c r="AP962" s="8"/>
      <c r="AQ962" s="8"/>
      <c r="AR962" s="8"/>
      <c r="AT962" s="8"/>
    </row>
    <row r="963" spans="1:46" x14ac:dyDescent="0.25">
      <c r="A963" t="s">
        <v>14</v>
      </c>
      <c r="B963" t="s">
        <v>336</v>
      </c>
      <c r="C963" t="s">
        <v>442</v>
      </c>
      <c r="D963" s="7">
        <v>97277</v>
      </c>
      <c r="E963">
        <v>4</v>
      </c>
      <c r="W963" t="s">
        <v>336</v>
      </c>
      <c r="X963" s="11" t="s">
        <v>442</v>
      </c>
      <c r="Y963" s="7">
        <v>97277</v>
      </c>
      <c r="Z963" s="11" t="str">
        <f t="shared" ref="Z963:Z1001" si="58">MID(X963,1,4)&amp;"-"&amp;IF(MID(X963,6,1)*1=0,MID(X963,7,1),MID(X963,6,2))</f>
        <v>2024-8</v>
      </c>
      <c r="AP963" s="8"/>
      <c r="AQ963" s="8"/>
      <c r="AR963" s="8"/>
      <c r="AT963" s="8"/>
    </row>
    <row r="964" spans="1:46" x14ac:dyDescent="0.25">
      <c r="A964" t="s">
        <v>8</v>
      </c>
      <c r="B964" t="s">
        <v>253</v>
      </c>
      <c r="C964" t="s">
        <v>443</v>
      </c>
      <c r="D964" s="7">
        <v>19058</v>
      </c>
      <c r="E964">
        <v>6</v>
      </c>
      <c r="W964" t="s">
        <v>253</v>
      </c>
      <c r="X964" s="11" t="s">
        <v>443</v>
      </c>
      <c r="Y964" s="7">
        <v>19058</v>
      </c>
      <c r="Z964" s="11" t="str">
        <f t="shared" si="58"/>
        <v>2024-8</v>
      </c>
      <c r="AP964" s="8"/>
      <c r="AQ964" s="8"/>
      <c r="AR964" s="8"/>
      <c r="AT964" s="8"/>
    </row>
    <row r="965" spans="1:46" x14ac:dyDescent="0.25">
      <c r="A965" t="s">
        <v>27</v>
      </c>
      <c r="B965" t="s">
        <v>184</v>
      </c>
      <c r="C965" t="s">
        <v>443</v>
      </c>
      <c r="D965" s="7">
        <v>32967</v>
      </c>
      <c r="E965">
        <v>4</v>
      </c>
      <c r="W965" t="s">
        <v>184</v>
      </c>
      <c r="X965" s="11" t="s">
        <v>443</v>
      </c>
      <c r="Y965" s="7">
        <v>32967</v>
      </c>
      <c r="Z965" s="11" t="str">
        <f t="shared" si="58"/>
        <v>2024-8</v>
      </c>
      <c r="AP965" s="8"/>
      <c r="AQ965" s="8"/>
      <c r="AR965" s="8"/>
      <c r="AT965" s="8"/>
    </row>
    <row r="966" spans="1:46" x14ac:dyDescent="0.25">
      <c r="A966" t="s">
        <v>36</v>
      </c>
      <c r="B966" t="s">
        <v>47</v>
      </c>
      <c r="C966" t="s">
        <v>443</v>
      </c>
      <c r="D966" s="7">
        <v>99619</v>
      </c>
      <c r="E966">
        <v>6</v>
      </c>
      <c r="W966" t="s">
        <v>47</v>
      </c>
      <c r="X966" s="11" t="s">
        <v>443</v>
      </c>
      <c r="Y966" s="7">
        <v>99619</v>
      </c>
      <c r="Z966" s="11" t="str">
        <f t="shared" si="58"/>
        <v>2024-8</v>
      </c>
      <c r="AP966" s="8"/>
      <c r="AQ966" s="8"/>
      <c r="AR966" s="8"/>
      <c r="AT966" s="8"/>
    </row>
    <row r="967" spans="1:46" x14ac:dyDescent="0.25">
      <c r="A967" t="s">
        <v>14</v>
      </c>
      <c r="B967" t="s">
        <v>100</v>
      </c>
      <c r="C967" t="s">
        <v>443</v>
      </c>
      <c r="D967" s="7">
        <v>51783</v>
      </c>
      <c r="E967">
        <v>5</v>
      </c>
      <c r="W967" t="s">
        <v>100</v>
      </c>
      <c r="X967" s="11" t="s">
        <v>443</v>
      </c>
      <c r="Y967" s="7">
        <v>51783</v>
      </c>
      <c r="Z967" s="11" t="str">
        <f t="shared" si="58"/>
        <v>2024-8</v>
      </c>
      <c r="AP967" s="8"/>
      <c r="AQ967" s="8"/>
      <c r="AR967" s="8"/>
      <c r="AT967" s="8"/>
    </row>
    <row r="968" spans="1:46" x14ac:dyDescent="0.25">
      <c r="A968" t="s">
        <v>10</v>
      </c>
      <c r="B968" t="s">
        <v>18</v>
      </c>
      <c r="C968" t="s">
        <v>443</v>
      </c>
      <c r="D968" s="7">
        <v>87916</v>
      </c>
      <c r="E968">
        <v>7</v>
      </c>
      <c r="W968" t="s">
        <v>18</v>
      </c>
      <c r="X968" s="11" t="s">
        <v>443</v>
      </c>
      <c r="Y968" s="7">
        <v>87916</v>
      </c>
      <c r="Z968" s="11" t="str">
        <f t="shared" si="58"/>
        <v>2024-8</v>
      </c>
      <c r="AP968" s="8"/>
      <c r="AQ968" s="8"/>
      <c r="AR968" s="8"/>
      <c r="AT968" s="8"/>
    </row>
    <row r="969" spans="1:46" x14ac:dyDescent="0.25">
      <c r="A969" t="s">
        <v>27</v>
      </c>
      <c r="B969" t="s">
        <v>132</v>
      </c>
      <c r="C969" t="s">
        <v>443</v>
      </c>
      <c r="D969" s="7">
        <v>32835</v>
      </c>
      <c r="E969">
        <v>5</v>
      </c>
      <c r="W969" t="s">
        <v>132</v>
      </c>
      <c r="X969" s="11" t="s">
        <v>443</v>
      </c>
      <c r="Y969" s="7">
        <v>32835</v>
      </c>
      <c r="Z969" s="11" t="str">
        <f t="shared" si="58"/>
        <v>2024-8</v>
      </c>
      <c r="AP969" s="8"/>
      <c r="AQ969" s="8"/>
      <c r="AR969" s="8"/>
      <c r="AT969" s="8"/>
    </row>
    <row r="970" spans="1:46" x14ac:dyDescent="0.25">
      <c r="A970" t="s">
        <v>27</v>
      </c>
      <c r="B970" t="s">
        <v>124</v>
      </c>
      <c r="C970" t="s">
        <v>443</v>
      </c>
      <c r="D970" s="7">
        <v>40198</v>
      </c>
      <c r="E970">
        <v>7</v>
      </c>
      <c r="W970" t="s">
        <v>124</v>
      </c>
      <c r="X970" s="11" t="s">
        <v>443</v>
      </c>
      <c r="Y970" s="7">
        <v>40198</v>
      </c>
      <c r="Z970" s="11" t="str">
        <f t="shared" si="58"/>
        <v>2024-8</v>
      </c>
      <c r="AP970" s="8"/>
      <c r="AQ970" s="8"/>
      <c r="AR970" s="8"/>
      <c r="AT970" s="8"/>
    </row>
    <row r="971" spans="1:46" x14ac:dyDescent="0.25">
      <c r="A971" t="s">
        <v>23</v>
      </c>
      <c r="B971" t="s">
        <v>334</v>
      </c>
      <c r="C971" t="s">
        <v>443</v>
      </c>
      <c r="D971" s="7">
        <v>98093</v>
      </c>
      <c r="E971">
        <v>6</v>
      </c>
      <c r="W971" t="s">
        <v>334</v>
      </c>
      <c r="X971" s="11" t="s">
        <v>443</v>
      </c>
      <c r="Y971" s="7">
        <v>98093</v>
      </c>
      <c r="Z971" s="11" t="str">
        <f t="shared" si="58"/>
        <v>2024-8</v>
      </c>
      <c r="AP971" s="8"/>
      <c r="AQ971" s="8"/>
      <c r="AR971" s="8"/>
      <c r="AT971" s="8"/>
    </row>
    <row r="972" spans="1:46" x14ac:dyDescent="0.25">
      <c r="A972" t="s">
        <v>17</v>
      </c>
      <c r="B972" t="s">
        <v>173</v>
      </c>
      <c r="C972" t="s">
        <v>443</v>
      </c>
      <c r="D972" s="7">
        <v>63004</v>
      </c>
      <c r="E972">
        <v>9</v>
      </c>
      <c r="W972" t="s">
        <v>173</v>
      </c>
      <c r="X972" s="11" t="s">
        <v>443</v>
      </c>
      <c r="Y972" s="7">
        <v>63004</v>
      </c>
      <c r="Z972" s="11" t="str">
        <f t="shared" si="58"/>
        <v>2024-8</v>
      </c>
      <c r="AP972" s="8"/>
      <c r="AQ972" s="8"/>
      <c r="AR972" s="8"/>
      <c r="AT972" s="8"/>
    </row>
    <row r="973" spans="1:46" x14ac:dyDescent="0.25">
      <c r="A973" t="s">
        <v>20</v>
      </c>
      <c r="B973" t="s">
        <v>26</v>
      </c>
      <c r="C973" t="s">
        <v>444</v>
      </c>
      <c r="D973" s="7">
        <v>20720</v>
      </c>
      <c r="E973">
        <v>9</v>
      </c>
      <c r="W973" t="s">
        <v>26</v>
      </c>
      <c r="X973" s="11" t="s">
        <v>444</v>
      </c>
      <c r="Y973" s="7">
        <v>20720</v>
      </c>
      <c r="Z973" s="11" t="str">
        <f t="shared" si="58"/>
        <v>2024-8</v>
      </c>
      <c r="AP973" s="8"/>
      <c r="AQ973" s="8"/>
      <c r="AR973" s="8"/>
      <c r="AT973" s="8"/>
    </row>
    <row r="974" spans="1:46" x14ac:dyDescent="0.25">
      <c r="A974" t="s">
        <v>23</v>
      </c>
      <c r="B974" t="s">
        <v>445</v>
      </c>
      <c r="C974" t="s">
        <v>444</v>
      </c>
      <c r="D974" s="7">
        <v>42749</v>
      </c>
      <c r="E974">
        <v>9</v>
      </c>
      <c r="W974" t="s">
        <v>445</v>
      </c>
      <c r="X974" s="11" t="s">
        <v>444</v>
      </c>
      <c r="Y974" s="7">
        <v>42749</v>
      </c>
      <c r="Z974" s="11" t="str">
        <f t="shared" si="58"/>
        <v>2024-8</v>
      </c>
      <c r="AP974" s="8"/>
      <c r="AQ974" s="8"/>
      <c r="AR974" s="8"/>
      <c r="AT974" s="8"/>
    </row>
    <row r="975" spans="1:46" x14ac:dyDescent="0.25">
      <c r="A975" t="s">
        <v>8</v>
      </c>
      <c r="B975" t="s">
        <v>319</v>
      </c>
      <c r="C975" t="s">
        <v>446</v>
      </c>
      <c r="D975" s="7">
        <v>54427</v>
      </c>
      <c r="E975">
        <v>6</v>
      </c>
      <c r="W975" t="s">
        <v>319</v>
      </c>
      <c r="X975" s="11" t="s">
        <v>446</v>
      </c>
      <c r="Y975" s="7">
        <v>54427</v>
      </c>
      <c r="Z975" s="11" t="str">
        <f t="shared" si="58"/>
        <v>2024-8</v>
      </c>
      <c r="AP975" s="8"/>
      <c r="AQ975" s="8"/>
      <c r="AR975" s="8"/>
      <c r="AT975" s="8"/>
    </row>
    <row r="976" spans="1:46" x14ac:dyDescent="0.25">
      <c r="A976" t="s">
        <v>33</v>
      </c>
      <c r="B976" t="s">
        <v>206</v>
      </c>
      <c r="C976" t="s">
        <v>446</v>
      </c>
      <c r="D976" s="7">
        <v>32465</v>
      </c>
      <c r="E976">
        <v>7</v>
      </c>
      <c r="W976" t="s">
        <v>206</v>
      </c>
      <c r="X976" s="11" t="s">
        <v>446</v>
      </c>
      <c r="Y976" s="7">
        <v>32465</v>
      </c>
      <c r="Z976" s="11" t="str">
        <f t="shared" si="58"/>
        <v>2024-8</v>
      </c>
      <c r="AP976" s="8"/>
      <c r="AQ976" s="8"/>
      <c r="AR976" s="8"/>
      <c r="AT976" s="8"/>
    </row>
    <row r="977" spans="1:46" x14ac:dyDescent="0.25">
      <c r="A977" t="s">
        <v>8</v>
      </c>
      <c r="B977" t="s">
        <v>22</v>
      </c>
      <c r="C977" t="s">
        <v>446</v>
      </c>
      <c r="D977" s="7">
        <v>77867</v>
      </c>
      <c r="E977">
        <v>3</v>
      </c>
      <c r="W977" t="s">
        <v>22</v>
      </c>
      <c r="X977" s="11" t="s">
        <v>446</v>
      </c>
      <c r="Y977" s="7">
        <v>77867</v>
      </c>
      <c r="Z977" s="11" t="str">
        <f t="shared" si="58"/>
        <v>2024-8</v>
      </c>
      <c r="AP977" s="8"/>
      <c r="AQ977" s="8"/>
      <c r="AR977" s="8"/>
      <c r="AT977" s="8"/>
    </row>
    <row r="978" spans="1:46" x14ac:dyDescent="0.25">
      <c r="A978" t="s">
        <v>10</v>
      </c>
      <c r="B978" t="s">
        <v>61</v>
      </c>
      <c r="C978" t="s">
        <v>446</v>
      </c>
      <c r="D978" s="7">
        <v>45256</v>
      </c>
      <c r="E978">
        <v>7</v>
      </c>
      <c r="W978" t="s">
        <v>61</v>
      </c>
      <c r="X978" s="11" t="s">
        <v>446</v>
      </c>
      <c r="Y978" s="7">
        <v>45256</v>
      </c>
      <c r="Z978" s="11" t="str">
        <f t="shared" si="58"/>
        <v>2024-8</v>
      </c>
      <c r="AP978" s="8"/>
      <c r="AQ978" s="8"/>
      <c r="AR978" s="8"/>
      <c r="AT978" s="8"/>
    </row>
    <row r="979" spans="1:46" x14ac:dyDescent="0.25">
      <c r="A979" t="s">
        <v>10</v>
      </c>
      <c r="B979" t="s">
        <v>133</v>
      </c>
      <c r="C979" t="s">
        <v>446</v>
      </c>
      <c r="D979" s="7">
        <v>33037</v>
      </c>
      <c r="E979">
        <v>3</v>
      </c>
      <c r="W979" t="s">
        <v>133</v>
      </c>
      <c r="X979" s="11" t="s">
        <v>446</v>
      </c>
      <c r="Y979" s="7">
        <v>33037</v>
      </c>
      <c r="Z979" s="11" t="str">
        <f t="shared" si="58"/>
        <v>2024-8</v>
      </c>
      <c r="AP979" s="8"/>
      <c r="AQ979" s="8"/>
      <c r="AR979" s="8"/>
      <c r="AT979" s="8"/>
    </row>
    <row r="980" spans="1:46" x14ac:dyDescent="0.25">
      <c r="A980" t="s">
        <v>33</v>
      </c>
      <c r="B980" t="s">
        <v>180</v>
      </c>
      <c r="C980" t="s">
        <v>446</v>
      </c>
      <c r="D980" s="7">
        <v>48429</v>
      </c>
      <c r="E980">
        <v>3</v>
      </c>
      <c r="W980" t="s">
        <v>180</v>
      </c>
      <c r="X980" s="11" t="s">
        <v>446</v>
      </c>
      <c r="Y980" s="7">
        <v>48429</v>
      </c>
      <c r="Z980" s="11" t="str">
        <f t="shared" si="58"/>
        <v>2024-8</v>
      </c>
      <c r="AP980" s="8"/>
      <c r="AQ980" s="8"/>
      <c r="AR980" s="8"/>
      <c r="AT980" s="8"/>
    </row>
    <row r="981" spans="1:46" x14ac:dyDescent="0.25">
      <c r="A981" t="s">
        <v>36</v>
      </c>
      <c r="B981" t="s">
        <v>196</v>
      </c>
      <c r="C981" t="s">
        <v>447</v>
      </c>
      <c r="D981" s="7">
        <v>24128</v>
      </c>
      <c r="E981">
        <v>7</v>
      </c>
      <c r="W981" t="s">
        <v>196</v>
      </c>
      <c r="X981" s="11" t="s">
        <v>447</v>
      </c>
      <c r="Y981" s="7">
        <v>24128</v>
      </c>
      <c r="Z981" s="11" t="str">
        <f t="shared" si="58"/>
        <v>2024-8</v>
      </c>
      <c r="AP981" s="8"/>
      <c r="AQ981" s="8"/>
      <c r="AR981" s="8"/>
      <c r="AT981" s="8"/>
    </row>
    <row r="982" spans="1:46" x14ac:dyDescent="0.25">
      <c r="A982" t="s">
        <v>33</v>
      </c>
      <c r="B982" t="s">
        <v>29</v>
      </c>
      <c r="C982" t="s">
        <v>447</v>
      </c>
      <c r="D982" s="7">
        <v>55486</v>
      </c>
      <c r="E982">
        <v>6</v>
      </c>
      <c r="W982" t="s">
        <v>29</v>
      </c>
      <c r="X982" s="11" t="s">
        <v>447</v>
      </c>
      <c r="Y982" s="7">
        <v>55486</v>
      </c>
      <c r="Z982" s="11" t="str">
        <f t="shared" si="58"/>
        <v>2024-8</v>
      </c>
      <c r="AP982" s="8"/>
      <c r="AQ982" s="8"/>
      <c r="AR982" s="8"/>
      <c r="AT982" s="8"/>
    </row>
    <row r="983" spans="1:46" x14ac:dyDescent="0.25">
      <c r="A983" t="s">
        <v>12</v>
      </c>
      <c r="B983" t="s">
        <v>352</v>
      </c>
      <c r="C983" t="s">
        <v>448</v>
      </c>
      <c r="D983" s="7">
        <v>82617</v>
      </c>
      <c r="E983">
        <v>7</v>
      </c>
      <c r="W983" t="s">
        <v>352</v>
      </c>
      <c r="X983" s="11" t="s">
        <v>448</v>
      </c>
      <c r="Y983" s="7">
        <v>82617</v>
      </c>
      <c r="Z983" s="11" t="str">
        <f t="shared" si="58"/>
        <v>2024-8</v>
      </c>
      <c r="AP983" s="8"/>
      <c r="AQ983" s="8"/>
      <c r="AR983" s="8"/>
      <c r="AT983" s="8"/>
    </row>
    <row r="984" spans="1:46" x14ac:dyDescent="0.25">
      <c r="A984" t="s">
        <v>5</v>
      </c>
      <c r="B984" t="s">
        <v>214</v>
      </c>
      <c r="C984" t="s">
        <v>448</v>
      </c>
      <c r="D984" s="7">
        <v>95453</v>
      </c>
      <c r="E984">
        <v>3</v>
      </c>
      <c r="W984" t="s">
        <v>214</v>
      </c>
      <c r="X984" s="11" t="s">
        <v>448</v>
      </c>
      <c r="Y984" s="7">
        <v>95453</v>
      </c>
      <c r="Z984" s="11" t="str">
        <f t="shared" si="58"/>
        <v>2024-8</v>
      </c>
      <c r="AP984" s="8"/>
      <c r="AQ984" s="8"/>
      <c r="AR984" s="8"/>
      <c r="AT984" s="8"/>
    </row>
    <row r="985" spans="1:46" x14ac:dyDescent="0.25">
      <c r="A985" t="s">
        <v>8</v>
      </c>
      <c r="B985" t="s">
        <v>325</v>
      </c>
      <c r="C985" t="s">
        <v>448</v>
      </c>
      <c r="D985" s="7">
        <v>16815</v>
      </c>
      <c r="E985">
        <v>8</v>
      </c>
      <c r="W985" t="s">
        <v>325</v>
      </c>
      <c r="X985" s="11" t="s">
        <v>448</v>
      </c>
      <c r="Y985" s="7">
        <v>16815</v>
      </c>
      <c r="Z985" s="11" t="str">
        <f t="shared" si="58"/>
        <v>2024-8</v>
      </c>
      <c r="AP985" s="8"/>
      <c r="AQ985" s="8"/>
      <c r="AR985" s="8"/>
      <c r="AT985" s="8"/>
    </row>
    <row r="986" spans="1:46" x14ac:dyDescent="0.25">
      <c r="A986" t="s">
        <v>36</v>
      </c>
      <c r="B986" t="s">
        <v>255</v>
      </c>
      <c r="C986" t="s">
        <v>448</v>
      </c>
      <c r="D986" s="7">
        <v>40600</v>
      </c>
      <c r="E986">
        <v>7</v>
      </c>
      <c r="W986" t="s">
        <v>255</v>
      </c>
      <c r="X986" s="11" t="s">
        <v>448</v>
      </c>
      <c r="Y986" s="7">
        <v>40600</v>
      </c>
      <c r="Z986" s="11" t="str">
        <f t="shared" si="58"/>
        <v>2024-8</v>
      </c>
      <c r="AP986" s="8"/>
      <c r="AQ986" s="8"/>
      <c r="AR986" s="8"/>
      <c r="AT986" s="8"/>
    </row>
    <row r="987" spans="1:46" x14ac:dyDescent="0.25">
      <c r="A987" t="s">
        <v>27</v>
      </c>
      <c r="B987" t="s">
        <v>93</v>
      </c>
      <c r="C987" t="s">
        <v>448</v>
      </c>
      <c r="D987" s="7">
        <v>95306</v>
      </c>
      <c r="E987">
        <v>8</v>
      </c>
      <c r="W987" t="s">
        <v>93</v>
      </c>
      <c r="X987" s="11" t="s">
        <v>448</v>
      </c>
      <c r="Y987" s="7">
        <v>95306</v>
      </c>
      <c r="Z987" s="11" t="str">
        <f t="shared" si="58"/>
        <v>2024-8</v>
      </c>
      <c r="AP987" s="8"/>
      <c r="AQ987" s="8"/>
      <c r="AR987" s="8"/>
      <c r="AT987" s="8"/>
    </row>
    <row r="988" spans="1:46" x14ac:dyDescent="0.25">
      <c r="A988" t="s">
        <v>12</v>
      </c>
      <c r="B988" t="s">
        <v>327</v>
      </c>
      <c r="C988" t="s">
        <v>449</v>
      </c>
      <c r="D988" s="7">
        <v>48748</v>
      </c>
      <c r="E988">
        <v>8</v>
      </c>
      <c r="W988" t="s">
        <v>327</v>
      </c>
      <c r="X988" s="11" t="s">
        <v>449</v>
      </c>
      <c r="Y988" s="7">
        <v>48748</v>
      </c>
      <c r="Z988" s="11" t="str">
        <f t="shared" si="58"/>
        <v>2024-8</v>
      </c>
      <c r="AP988" s="8"/>
      <c r="AQ988" s="8"/>
      <c r="AR988" s="8"/>
      <c r="AT988" s="8"/>
    </row>
    <row r="989" spans="1:46" x14ac:dyDescent="0.25">
      <c r="A989" t="s">
        <v>33</v>
      </c>
      <c r="B989" t="s">
        <v>55</v>
      </c>
      <c r="C989" t="s">
        <v>449</v>
      </c>
      <c r="D989" s="7">
        <v>66668</v>
      </c>
      <c r="E989">
        <v>8</v>
      </c>
      <c r="W989" t="s">
        <v>55</v>
      </c>
      <c r="X989" s="11" t="s">
        <v>449</v>
      </c>
      <c r="Y989" s="7">
        <v>66668</v>
      </c>
      <c r="Z989" s="11" t="str">
        <f t="shared" si="58"/>
        <v>2024-8</v>
      </c>
      <c r="AP989" s="8"/>
      <c r="AQ989" s="8"/>
      <c r="AR989" s="8"/>
      <c r="AT989" s="8"/>
    </row>
    <row r="990" spans="1:46" x14ac:dyDescent="0.25">
      <c r="A990" t="s">
        <v>8</v>
      </c>
      <c r="B990" t="s">
        <v>90</v>
      </c>
      <c r="C990" t="s">
        <v>450</v>
      </c>
      <c r="D990" s="7">
        <v>89010</v>
      </c>
      <c r="E990">
        <v>1</v>
      </c>
      <c r="W990" t="s">
        <v>90</v>
      </c>
      <c r="X990" s="11" t="s">
        <v>450</v>
      </c>
      <c r="Y990" s="7">
        <v>89010</v>
      </c>
      <c r="Z990" s="11" t="str">
        <f t="shared" si="58"/>
        <v>2024-8</v>
      </c>
      <c r="AP990" s="8"/>
      <c r="AQ990" s="8"/>
      <c r="AR990" s="8"/>
      <c r="AT990" s="8"/>
    </row>
    <row r="991" spans="1:46" x14ac:dyDescent="0.25">
      <c r="A991" t="s">
        <v>17</v>
      </c>
      <c r="B991" t="s">
        <v>451</v>
      </c>
      <c r="C991" t="s">
        <v>450</v>
      </c>
      <c r="D991" s="7">
        <v>71474</v>
      </c>
      <c r="E991">
        <v>8</v>
      </c>
      <c r="W991" t="s">
        <v>451</v>
      </c>
      <c r="X991" s="11" t="s">
        <v>450</v>
      </c>
      <c r="Y991" s="7">
        <v>71474</v>
      </c>
      <c r="Z991" s="11" t="str">
        <f t="shared" si="58"/>
        <v>2024-8</v>
      </c>
      <c r="AP991" s="8"/>
      <c r="AQ991" s="8"/>
      <c r="AR991" s="8"/>
      <c r="AT991" s="8"/>
    </row>
    <row r="992" spans="1:46" x14ac:dyDescent="0.25">
      <c r="A992" t="s">
        <v>33</v>
      </c>
      <c r="B992" t="s">
        <v>118</v>
      </c>
      <c r="C992" t="s">
        <v>452</v>
      </c>
      <c r="D992" s="7">
        <v>95633</v>
      </c>
      <c r="E992">
        <v>2</v>
      </c>
      <c r="W992" t="s">
        <v>118</v>
      </c>
      <c r="X992" s="11" t="s">
        <v>452</v>
      </c>
      <c r="Y992" s="7">
        <v>95633</v>
      </c>
      <c r="Z992" s="11" t="str">
        <f t="shared" si="58"/>
        <v>2024-8</v>
      </c>
      <c r="AP992" s="8"/>
      <c r="AQ992" s="8"/>
      <c r="AR992" s="8"/>
      <c r="AT992" s="8"/>
    </row>
    <row r="993" spans="1:46" x14ac:dyDescent="0.25">
      <c r="A993" t="s">
        <v>8</v>
      </c>
      <c r="B993" t="s">
        <v>279</v>
      </c>
      <c r="C993" t="s">
        <v>452</v>
      </c>
      <c r="D993" s="7">
        <v>30425</v>
      </c>
      <c r="E993">
        <v>10</v>
      </c>
      <c r="W993" t="s">
        <v>279</v>
      </c>
      <c r="X993" s="11" t="s">
        <v>452</v>
      </c>
      <c r="Y993" s="7">
        <v>30425</v>
      </c>
      <c r="Z993" s="11" t="str">
        <f t="shared" si="58"/>
        <v>2024-8</v>
      </c>
      <c r="AP993" s="8"/>
      <c r="AQ993" s="8"/>
      <c r="AR993" s="8"/>
      <c r="AT993" s="8"/>
    </row>
    <row r="994" spans="1:46" x14ac:dyDescent="0.25">
      <c r="A994" t="s">
        <v>33</v>
      </c>
      <c r="B994" t="s">
        <v>165</v>
      </c>
      <c r="C994" t="s">
        <v>452</v>
      </c>
      <c r="D994" s="7">
        <v>59114</v>
      </c>
      <c r="E994">
        <v>2</v>
      </c>
      <c r="W994" t="s">
        <v>165</v>
      </c>
      <c r="X994" s="11" t="s">
        <v>452</v>
      </c>
      <c r="Y994" s="7">
        <v>59114</v>
      </c>
      <c r="Z994" s="11" t="str">
        <f t="shared" si="58"/>
        <v>2024-8</v>
      </c>
      <c r="AP994" s="8"/>
      <c r="AQ994" s="8"/>
      <c r="AR994" s="8"/>
      <c r="AT994" s="8"/>
    </row>
    <row r="995" spans="1:46" x14ac:dyDescent="0.25">
      <c r="A995" t="s">
        <v>14</v>
      </c>
      <c r="B995" t="s">
        <v>296</v>
      </c>
      <c r="C995" t="s">
        <v>452</v>
      </c>
      <c r="D995" s="7">
        <v>37775</v>
      </c>
      <c r="E995">
        <v>6</v>
      </c>
      <c r="W995" t="s">
        <v>296</v>
      </c>
      <c r="X995" s="11" t="s">
        <v>452</v>
      </c>
      <c r="Y995" s="7">
        <v>37775</v>
      </c>
      <c r="Z995" s="11" t="str">
        <f t="shared" si="58"/>
        <v>2024-8</v>
      </c>
      <c r="AP995" s="8"/>
      <c r="AQ995" s="8"/>
      <c r="AR995" s="8"/>
      <c r="AT995" s="8"/>
    </row>
    <row r="996" spans="1:46" x14ac:dyDescent="0.25">
      <c r="A996" t="s">
        <v>8</v>
      </c>
      <c r="B996" t="s">
        <v>253</v>
      </c>
      <c r="C996" t="s">
        <v>453</v>
      </c>
      <c r="D996" s="7">
        <v>85289</v>
      </c>
      <c r="E996">
        <v>4</v>
      </c>
      <c r="W996" t="s">
        <v>253</v>
      </c>
      <c r="X996" s="11" t="s">
        <v>453</v>
      </c>
      <c r="Y996" s="7">
        <v>85289</v>
      </c>
      <c r="Z996" s="11" t="str">
        <f t="shared" si="58"/>
        <v>2024-8</v>
      </c>
      <c r="AP996" s="8"/>
      <c r="AQ996" s="8"/>
      <c r="AR996" s="8"/>
      <c r="AT996" s="8"/>
    </row>
    <row r="997" spans="1:46" x14ac:dyDescent="0.25">
      <c r="A997" t="s">
        <v>20</v>
      </c>
      <c r="B997" t="s">
        <v>238</v>
      </c>
      <c r="C997" t="s">
        <v>453</v>
      </c>
      <c r="D997" s="7">
        <v>68513</v>
      </c>
      <c r="E997">
        <v>10</v>
      </c>
      <c r="W997" t="s">
        <v>238</v>
      </c>
      <c r="X997" s="11" t="s">
        <v>453</v>
      </c>
      <c r="Y997" s="7">
        <v>68513</v>
      </c>
      <c r="Z997" s="11" t="str">
        <f t="shared" si="58"/>
        <v>2024-8</v>
      </c>
      <c r="AP997" s="8"/>
      <c r="AQ997" s="8"/>
      <c r="AR997" s="8"/>
      <c r="AT997" s="8"/>
    </row>
    <row r="998" spans="1:46" x14ac:dyDescent="0.25">
      <c r="A998" t="s">
        <v>14</v>
      </c>
      <c r="B998" t="s">
        <v>287</v>
      </c>
      <c r="C998" t="s">
        <v>454</v>
      </c>
      <c r="D998" s="7">
        <v>28606</v>
      </c>
      <c r="E998">
        <v>9</v>
      </c>
      <c r="W998" t="s">
        <v>287</v>
      </c>
      <c r="X998" s="11" t="s">
        <v>454</v>
      </c>
      <c r="Y998" s="7">
        <v>28606</v>
      </c>
      <c r="Z998" s="11" t="str">
        <f t="shared" si="58"/>
        <v>2024-8</v>
      </c>
      <c r="AP998" s="8"/>
      <c r="AQ998" s="8"/>
      <c r="AR998" s="8"/>
      <c r="AT998" s="8"/>
    </row>
    <row r="999" spans="1:46" x14ac:dyDescent="0.25">
      <c r="A999" t="s">
        <v>33</v>
      </c>
      <c r="B999" t="s">
        <v>220</v>
      </c>
      <c r="C999" t="s">
        <v>454</v>
      </c>
      <c r="D999" s="7">
        <v>79185</v>
      </c>
      <c r="E999">
        <v>7</v>
      </c>
      <c r="W999" t="s">
        <v>220</v>
      </c>
      <c r="X999" s="11" t="s">
        <v>454</v>
      </c>
      <c r="Y999" s="7">
        <v>79185</v>
      </c>
      <c r="Z999" s="11" t="str">
        <f t="shared" si="58"/>
        <v>2024-8</v>
      </c>
      <c r="AP999" s="8"/>
      <c r="AQ999" s="8"/>
      <c r="AR999" s="8"/>
      <c r="AT999" s="8"/>
    </row>
    <row r="1000" spans="1:46" x14ac:dyDescent="0.25">
      <c r="A1000" t="s">
        <v>17</v>
      </c>
      <c r="B1000" t="s">
        <v>214</v>
      </c>
      <c r="C1000" t="s">
        <v>454</v>
      </c>
      <c r="D1000" s="7">
        <v>87632</v>
      </c>
      <c r="E1000">
        <v>3</v>
      </c>
      <c r="W1000" t="s">
        <v>214</v>
      </c>
      <c r="X1000" s="11" t="s">
        <v>454</v>
      </c>
      <c r="Y1000" s="7">
        <v>87632</v>
      </c>
      <c r="Z1000" s="11" t="str">
        <f t="shared" si="58"/>
        <v>2024-8</v>
      </c>
      <c r="AP1000" s="8"/>
      <c r="AQ1000" s="8"/>
      <c r="AR1000" s="8"/>
      <c r="AT1000" s="8"/>
    </row>
    <row r="1001" spans="1:46" x14ac:dyDescent="0.25">
      <c r="A1001" t="s">
        <v>12</v>
      </c>
      <c r="B1001" t="s">
        <v>180</v>
      </c>
      <c r="C1001" t="s">
        <v>455</v>
      </c>
      <c r="D1001" s="7">
        <v>74244</v>
      </c>
      <c r="E1001">
        <v>6</v>
      </c>
      <c r="W1001" t="s">
        <v>180</v>
      </c>
      <c r="X1001" s="11" t="s">
        <v>455</v>
      </c>
      <c r="Y1001" s="7">
        <v>74244</v>
      </c>
      <c r="Z1001" s="11" t="str">
        <f t="shared" si="58"/>
        <v>2024-9</v>
      </c>
      <c r="AP1001" s="8"/>
      <c r="AQ1001" s="8"/>
      <c r="AR1001" s="8"/>
      <c r="AT1001" s="8"/>
    </row>
  </sheetData>
  <sortState ref="AZ2:BO199">
    <sortCondition ref="AZ2:AZ199"/>
  </sortState>
  <pageMargins left="0.75" right="0.75" top="1" bottom="1" header="0.5" footer="0.5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" operator="containsText" id="{2553A781-0C73-4709-9FA8-09849ED26537}">
            <xm:f>NOT(ISERROR(SEARCH("A",M1)))</xm:f>
            <xm:f>"A"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9" operator="containsText" id="{444D1456-AD7E-40D2-8C25-EEC6B128724E}">
            <xm:f>NOT(ISERROR(SEARCH("B",M1)))</xm:f>
            <xm:f>"B"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" operator="containsText" id="{5CCE331E-5D36-4DE9-A07F-439DD9086E5C}">
            <xm:f>NOT(ISERROR(SEARCH("C",M1)))</xm:f>
            <xm:f>"C"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7" operator="containsText" id="{54786A9F-C54A-4DE6-9C4E-87E0B3B59E45}">
            <xm:f>NOT(ISERROR(SEARCH("C",T1)))</xm:f>
            <xm:f>"C"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6" operator="containsText" id="{8E6A65E9-AC56-49BE-9238-665DC6B5772E}">
            <xm:f>NOT(ISERROR(SEARCH("B",T1)))</xm:f>
            <xm:f>"B"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5" operator="containsText" id="{C411E8C7-5E15-4CF2-83D6-45E6B5C433A3}">
            <xm:f>NOT(ISERROR(SEARCH("A",T1)))</xm:f>
            <xm:f>"A"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T1:T13</xm:sqref>
        </x14:conditionalFormatting>
        <x14:conditionalFormatting xmlns:xm="http://schemas.microsoft.com/office/excel/2006/main">
          <x14:cfRule type="containsText" priority="4" operator="containsText" id="{4F8E436D-8DF4-4FCF-81CE-9547E4953F45}">
            <xm:f>NOT(ISERROR(SEARCH("A",AS1)))</xm:f>
            <xm:f>"A"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" operator="containsText" id="{11F2EE2C-BFFC-4A78-AB43-C8BAFC9A5C6F}">
            <xm:f>NOT(ISERROR(SEARCH("B",AS1)))</xm:f>
            <xm:f>"B"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" operator="containsText" id="{F5E69D96-5D19-499A-B20E-91F698232DA7}">
            <xm:f>NOT(ISERROR(SEARCH("C",AS1)))</xm:f>
            <xm:f>"C"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AS1:AS1048576</xm:sqref>
        </x14:conditionalFormatting>
        <x14:conditionalFormatting xmlns:xm="http://schemas.microsoft.com/office/excel/2006/main">
          <x14:cfRule type="containsText" priority="1" operator="containsText" id="{2D883A0C-4EB5-48A4-AB4D-92362DED3C7E}">
            <xm:f>NOT(ISERROR(SEARCH("Z",AU1)))</xm:f>
            <xm:f>"Z"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AU1:AU1048576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I16" sqref="I16"/>
    </sheetView>
  </sheetViews>
  <sheetFormatPr defaultRowHeight="15" x14ac:dyDescent="0.25"/>
  <cols>
    <col min="1" max="1" width="28.7109375" customWidth="1"/>
    <col min="2" max="2" width="43.28515625" customWidth="1"/>
    <col min="3" max="4" width="12.5703125" customWidth="1"/>
  </cols>
  <sheetData>
    <row r="1" spans="1:4" x14ac:dyDescent="0.25">
      <c r="A1" t="s">
        <v>487</v>
      </c>
    </row>
    <row r="7" spans="1:4" ht="45" x14ac:dyDescent="0.25">
      <c r="B7" s="2" t="s">
        <v>480</v>
      </c>
      <c r="C7" s="3" t="s">
        <v>481</v>
      </c>
      <c r="D7" s="3" t="s">
        <v>482</v>
      </c>
    </row>
    <row r="8" spans="1:4" x14ac:dyDescent="0.25">
      <c r="A8">
        <v>1</v>
      </c>
      <c r="B8" s="4" t="s">
        <v>12</v>
      </c>
      <c r="C8" t="s">
        <v>471</v>
      </c>
      <c r="D8" t="s">
        <v>471</v>
      </c>
    </row>
    <row r="9" spans="1:4" x14ac:dyDescent="0.25">
      <c r="A9">
        <v>2</v>
      </c>
      <c r="B9" s="4" t="s">
        <v>10</v>
      </c>
      <c r="C9" t="s">
        <v>471</v>
      </c>
      <c r="D9" t="s">
        <v>471</v>
      </c>
    </row>
    <row r="10" spans="1:4" x14ac:dyDescent="0.25">
      <c r="A10">
        <v>3</v>
      </c>
      <c r="B10" s="4" t="s">
        <v>14</v>
      </c>
      <c r="C10" t="s">
        <v>471</v>
      </c>
      <c r="D10" t="s">
        <v>471</v>
      </c>
    </row>
    <row r="11" spans="1:4" x14ac:dyDescent="0.25">
      <c r="A11">
        <v>4</v>
      </c>
      <c r="B11" s="4" t="s">
        <v>33</v>
      </c>
      <c r="C11" t="s">
        <v>474</v>
      </c>
      <c r="D11" t="s">
        <v>474</v>
      </c>
    </row>
    <row r="12" spans="1:4" x14ac:dyDescent="0.25">
      <c r="A12">
        <v>5</v>
      </c>
      <c r="B12" s="4" t="s">
        <v>23</v>
      </c>
      <c r="C12" t="s">
        <v>471</v>
      </c>
      <c r="D12" t="s">
        <v>471</v>
      </c>
    </row>
    <row r="13" spans="1:4" x14ac:dyDescent="0.25">
      <c r="A13">
        <v>6</v>
      </c>
      <c r="B13" s="4" t="s">
        <v>27</v>
      </c>
      <c r="C13" t="s">
        <v>471</v>
      </c>
      <c r="D13" t="s">
        <v>471</v>
      </c>
    </row>
    <row r="14" spans="1:4" x14ac:dyDescent="0.25">
      <c r="A14">
        <v>7</v>
      </c>
      <c r="B14" s="4" t="s">
        <v>5</v>
      </c>
      <c r="C14" t="s">
        <v>471</v>
      </c>
      <c r="D14" t="s">
        <v>471</v>
      </c>
    </row>
    <row r="15" spans="1:4" x14ac:dyDescent="0.25">
      <c r="A15">
        <v>8</v>
      </c>
      <c r="B15" s="4" t="s">
        <v>8</v>
      </c>
      <c r="C15" t="s">
        <v>471</v>
      </c>
      <c r="D15" t="s">
        <v>471</v>
      </c>
    </row>
    <row r="16" spans="1:4" x14ac:dyDescent="0.25">
      <c r="A16">
        <v>9</v>
      </c>
      <c r="B16" s="4" t="s">
        <v>36</v>
      </c>
      <c r="C16" t="s">
        <v>478</v>
      </c>
      <c r="D16" t="s">
        <v>474</v>
      </c>
    </row>
    <row r="17" spans="1:4" x14ac:dyDescent="0.25">
      <c r="A17">
        <v>10</v>
      </c>
      <c r="B17" s="4" t="s">
        <v>17</v>
      </c>
      <c r="C17" t="s">
        <v>471</v>
      </c>
      <c r="D17" t="s">
        <v>471</v>
      </c>
    </row>
    <row r="18" spans="1:4" x14ac:dyDescent="0.25">
      <c r="A18">
        <v>11</v>
      </c>
      <c r="B18" s="4" t="s">
        <v>32</v>
      </c>
      <c r="C18" t="s">
        <v>471</v>
      </c>
      <c r="D18" t="s">
        <v>471</v>
      </c>
    </row>
    <row r="19" spans="1:4" x14ac:dyDescent="0.25">
      <c r="A19">
        <v>12</v>
      </c>
      <c r="B19" s="4" t="s">
        <v>20</v>
      </c>
      <c r="C19" t="s">
        <v>474</v>
      </c>
      <c r="D19" t="s">
        <v>478</v>
      </c>
    </row>
  </sheetData>
  <conditionalFormatting sqref="D8:D19">
    <cfRule type="containsText" dxfId="4" priority="3" operator="containsText" text="A">
      <formula>NOT(ISERROR(SEARCH("A",D8)))</formula>
    </cfRule>
    <cfRule type="containsText" dxfId="5" priority="2" operator="containsText" text="B">
      <formula>NOT(ISERROR(SEARCH("B",D8)))</formula>
    </cfRule>
    <cfRule type="containsText" dxfId="6" priority="1" operator="containsText" text="C">
      <formula>NOT(ISERROR(SEARCH("C",D8)))</formula>
    </cfRule>
  </conditionalFormatting>
  <pageMargins left="0.75" right="0.75" top="1" bottom="1" header="0.5" footer="0.5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49154338-EAE3-4A07-930C-8AD3B41276BD}">
            <xm:f>NOT(ISERROR(SEARCH("C",C8)))</xm:f>
            <xm:f>"C"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5" operator="containsText" id="{D2EC08F8-0C2E-44F3-83EC-F16410038DFE}">
            <xm:f>NOT(ISERROR(SEARCH("B",C8)))</xm:f>
            <xm:f>"B"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" operator="containsText" id="{D71517BF-8AFD-4485-89C3-D7AEE9426A45}">
            <xm:f>NOT(ISERROR(SEARCH("A",C8)))</xm:f>
            <xm:f>"A"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C8:C19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9"/>
  <sheetViews>
    <sheetView tabSelected="1" workbookViewId="0">
      <selection activeCell="U17" sqref="U17"/>
    </sheetView>
  </sheetViews>
  <sheetFormatPr defaultRowHeight="15" x14ac:dyDescent="0.25"/>
  <cols>
    <col min="1" max="1" width="33" customWidth="1"/>
    <col min="2" max="14" width="9.140625" style="13"/>
  </cols>
  <sheetData>
    <row r="1" spans="1:21" x14ac:dyDescent="0.25">
      <c r="A1" s="1" t="s">
        <v>1</v>
      </c>
      <c r="B1" s="4" t="s">
        <v>456</v>
      </c>
      <c r="C1" s="4" t="s">
        <v>457</v>
      </c>
      <c r="D1" s="4" t="s">
        <v>458</v>
      </c>
      <c r="E1" s="4" t="s">
        <v>459</v>
      </c>
      <c r="F1" s="4" t="s">
        <v>460</v>
      </c>
      <c r="G1" s="4" t="s">
        <v>461</v>
      </c>
      <c r="H1" s="4" t="s">
        <v>462</v>
      </c>
      <c r="I1" s="4" t="s">
        <v>463</v>
      </c>
      <c r="J1" s="4" t="s">
        <v>464</v>
      </c>
      <c r="K1" s="4" t="s">
        <v>465</v>
      </c>
      <c r="L1" s="4" t="s">
        <v>466</v>
      </c>
      <c r="M1" s="4" t="s">
        <v>467</v>
      </c>
      <c r="N1" s="4" t="s">
        <v>468</v>
      </c>
      <c r="O1" t="s">
        <v>469</v>
      </c>
      <c r="P1" t="s">
        <v>470</v>
      </c>
    </row>
    <row r="2" spans="1:21" x14ac:dyDescent="0.25">
      <c r="A2" s="12" t="s">
        <v>373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55373</v>
      </c>
      <c r="K2">
        <v>0</v>
      </c>
      <c r="L2">
        <v>0</v>
      </c>
      <c r="M2">
        <v>0</v>
      </c>
      <c r="N2">
        <v>0</v>
      </c>
      <c r="O2" t="s">
        <v>478</v>
      </c>
      <c r="P2" t="s">
        <v>472</v>
      </c>
    </row>
    <row r="3" spans="1:21" x14ac:dyDescent="0.25">
      <c r="A3" t="s">
        <v>165</v>
      </c>
      <c r="B3">
        <v>0</v>
      </c>
      <c r="C3">
        <v>0</v>
      </c>
      <c r="D3">
        <v>12159</v>
      </c>
      <c r="E3">
        <v>0</v>
      </c>
      <c r="F3">
        <v>83184</v>
      </c>
      <c r="G3">
        <v>77111</v>
      </c>
      <c r="H3">
        <v>0</v>
      </c>
      <c r="I3">
        <v>0</v>
      </c>
      <c r="J3">
        <v>0</v>
      </c>
      <c r="K3">
        <v>0</v>
      </c>
      <c r="L3">
        <v>0</v>
      </c>
      <c r="M3">
        <v>59114</v>
      </c>
      <c r="N3">
        <v>0</v>
      </c>
      <c r="O3" t="s">
        <v>471</v>
      </c>
      <c r="P3" t="s">
        <v>472</v>
      </c>
    </row>
    <row r="4" spans="1:21" x14ac:dyDescent="0.25">
      <c r="A4" t="s">
        <v>168</v>
      </c>
      <c r="B4">
        <v>0</v>
      </c>
      <c r="C4">
        <v>0</v>
      </c>
      <c r="D4">
        <v>76798</v>
      </c>
      <c r="E4">
        <v>0</v>
      </c>
      <c r="F4">
        <v>16401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478</v>
      </c>
      <c r="P4" t="s">
        <v>472</v>
      </c>
    </row>
    <row r="5" spans="1:21" x14ac:dyDescent="0.25">
      <c r="A5" t="s">
        <v>119</v>
      </c>
      <c r="B5">
        <v>0</v>
      </c>
      <c r="C5">
        <v>76055</v>
      </c>
      <c r="D5">
        <v>0</v>
      </c>
      <c r="E5">
        <v>76503</v>
      </c>
      <c r="F5">
        <v>0</v>
      </c>
      <c r="G5">
        <v>0</v>
      </c>
      <c r="H5">
        <v>55981</v>
      </c>
      <c r="I5">
        <v>55740</v>
      </c>
      <c r="J5">
        <v>0</v>
      </c>
      <c r="K5">
        <v>0</v>
      </c>
      <c r="L5">
        <v>26803</v>
      </c>
      <c r="M5">
        <v>0</v>
      </c>
      <c r="N5">
        <v>0</v>
      </c>
      <c r="O5" t="s">
        <v>471</v>
      </c>
      <c r="P5" t="s">
        <v>472</v>
      </c>
    </row>
    <row r="6" spans="1:21" x14ac:dyDescent="0.25">
      <c r="A6" t="s">
        <v>84</v>
      </c>
      <c r="B6">
        <v>31254</v>
      </c>
      <c r="C6">
        <v>0</v>
      </c>
      <c r="D6">
        <v>0</v>
      </c>
      <c r="E6">
        <v>0</v>
      </c>
      <c r="F6">
        <v>91876</v>
      </c>
      <c r="G6">
        <v>0</v>
      </c>
      <c r="H6">
        <v>13240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474</v>
      </c>
      <c r="P6" t="s">
        <v>472</v>
      </c>
    </row>
    <row r="7" spans="1:21" x14ac:dyDescent="0.25">
      <c r="A7" t="s">
        <v>197</v>
      </c>
      <c r="B7">
        <v>0</v>
      </c>
      <c r="C7">
        <v>0</v>
      </c>
      <c r="D7">
        <v>116081</v>
      </c>
      <c r="E7">
        <v>0</v>
      </c>
      <c r="F7">
        <v>0</v>
      </c>
      <c r="G7">
        <v>0</v>
      </c>
      <c r="H7">
        <v>63014</v>
      </c>
      <c r="I7">
        <v>0</v>
      </c>
      <c r="J7">
        <v>0</v>
      </c>
      <c r="K7">
        <v>0</v>
      </c>
      <c r="L7">
        <v>84511</v>
      </c>
      <c r="M7">
        <v>72632</v>
      </c>
      <c r="N7">
        <v>0</v>
      </c>
      <c r="O7" t="s">
        <v>471</v>
      </c>
      <c r="P7" t="s">
        <v>472</v>
      </c>
    </row>
    <row r="8" spans="1:21" x14ac:dyDescent="0.25">
      <c r="A8" t="s">
        <v>157</v>
      </c>
      <c r="B8">
        <v>0</v>
      </c>
      <c r="C8">
        <v>98169</v>
      </c>
      <c r="D8">
        <v>0</v>
      </c>
      <c r="E8">
        <v>0</v>
      </c>
      <c r="F8">
        <v>0</v>
      </c>
      <c r="G8">
        <v>0</v>
      </c>
      <c r="H8">
        <v>0</v>
      </c>
      <c r="I8">
        <v>33078</v>
      </c>
      <c r="J8">
        <v>36650</v>
      </c>
      <c r="K8">
        <v>0</v>
      </c>
      <c r="L8">
        <v>51902</v>
      </c>
      <c r="M8">
        <v>0</v>
      </c>
      <c r="N8">
        <v>0</v>
      </c>
      <c r="O8" t="s">
        <v>474</v>
      </c>
      <c r="P8" t="s">
        <v>472</v>
      </c>
    </row>
    <row r="9" spans="1:21" x14ac:dyDescent="0.25">
      <c r="A9" t="s">
        <v>28</v>
      </c>
      <c r="B9">
        <v>237245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16280</v>
      </c>
      <c r="J9">
        <v>0</v>
      </c>
      <c r="K9">
        <v>66190</v>
      </c>
      <c r="L9">
        <v>93234</v>
      </c>
      <c r="M9">
        <v>0</v>
      </c>
      <c r="N9">
        <v>0</v>
      </c>
      <c r="O9" t="s">
        <v>471</v>
      </c>
      <c r="P9" t="s">
        <v>472</v>
      </c>
    </row>
    <row r="10" spans="1:21" x14ac:dyDescent="0.25">
      <c r="A10" t="s">
        <v>52</v>
      </c>
      <c r="B10">
        <v>73719</v>
      </c>
      <c r="C10">
        <v>77812</v>
      </c>
      <c r="D10">
        <v>0</v>
      </c>
      <c r="E10">
        <v>133044</v>
      </c>
      <c r="F10">
        <v>0</v>
      </c>
      <c r="G10">
        <v>0</v>
      </c>
      <c r="H10">
        <v>80268</v>
      </c>
      <c r="I10">
        <v>66415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471</v>
      </c>
      <c r="P10" t="s">
        <v>472</v>
      </c>
    </row>
    <row r="11" spans="1:21" x14ac:dyDescent="0.25">
      <c r="A11" t="s">
        <v>222</v>
      </c>
      <c r="B11">
        <v>0</v>
      </c>
      <c r="C11">
        <v>0</v>
      </c>
      <c r="D11">
        <v>0</v>
      </c>
      <c r="E11">
        <v>23480</v>
      </c>
      <c r="F11">
        <v>86170</v>
      </c>
      <c r="G11">
        <v>0</v>
      </c>
      <c r="H11">
        <v>123313</v>
      </c>
      <c r="I11">
        <v>0</v>
      </c>
      <c r="J11">
        <v>0</v>
      </c>
      <c r="K11">
        <v>0</v>
      </c>
      <c r="L11">
        <v>64410</v>
      </c>
      <c r="M11">
        <v>0</v>
      </c>
      <c r="N11">
        <v>0</v>
      </c>
      <c r="O11" t="s">
        <v>471</v>
      </c>
      <c r="P11" t="s">
        <v>472</v>
      </c>
    </row>
    <row r="12" spans="1:21" x14ac:dyDescent="0.25">
      <c r="A12" t="s">
        <v>24</v>
      </c>
      <c r="B12">
        <v>78553</v>
      </c>
      <c r="C12">
        <v>0</v>
      </c>
      <c r="D12">
        <v>0</v>
      </c>
      <c r="E12">
        <v>0</v>
      </c>
      <c r="F12">
        <v>84460</v>
      </c>
      <c r="G12">
        <v>0</v>
      </c>
      <c r="H12">
        <v>0</v>
      </c>
      <c r="I12">
        <v>46122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474</v>
      </c>
      <c r="P12" t="s">
        <v>472</v>
      </c>
    </row>
    <row r="13" spans="1:21" x14ac:dyDescent="0.25">
      <c r="A13" t="s">
        <v>61</v>
      </c>
      <c r="B13">
        <v>21518</v>
      </c>
      <c r="C13">
        <v>0</v>
      </c>
      <c r="D13">
        <v>0</v>
      </c>
      <c r="E13">
        <v>28737</v>
      </c>
      <c r="F13">
        <v>0</v>
      </c>
      <c r="G13">
        <v>0</v>
      </c>
      <c r="H13">
        <v>0</v>
      </c>
      <c r="I13">
        <v>59806</v>
      </c>
      <c r="J13">
        <v>0</v>
      </c>
      <c r="K13">
        <v>0</v>
      </c>
      <c r="L13">
        <v>0</v>
      </c>
      <c r="M13">
        <v>101183</v>
      </c>
      <c r="N13">
        <v>0</v>
      </c>
      <c r="O13" t="s">
        <v>474</v>
      </c>
      <c r="P13" t="s">
        <v>472</v>
      </c>
    </row>
    <row r="14" spans="1:21" x14ac:dyDescent="0.25">
      <c r="A14" t="s">
        <v>352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62932</v>
      </c>
      <c r="J14">
        <v>24655</v>
      </c>
      <c r="K14">
        <v>93379</v>
      </c>
      <c r="L14">
        <v>50576</v>
      </c>
      <c r="M14">
        <v>82617</v>
      </c>
      <c r="N14">
        <v>0</v>
      </c>
      <c r="O14" t="s">
        <v>471</v>
      </c>
      <c r="P14" t="s">
        <v>472</v>
      </c>
      <c r="R14" t="s">
        <v>476</v>
      </c>
    </row>
    <row r="15" spans="1:21" x14ac:dyDescent="0.25">
      <c r="A15" t="s">
        <v>283</v>
      </c>
      <c r="B15">
        <v>0</v>
      </c>
      <c r="C15">
        <v>0</v>
      </c>
      <c r="D15">
        <v>0</v>
      </c>
      <c r="E15">
        <v>0</v>
      </c>
      <c r="F15">
        <v>34416</v>
      </c>
      <c r="G15">
        <v>0</v>
      </c>
      <c r="H15">
        <v>67464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478</v>
      </c>
      <c r="P15" t="s">
        <v>472</v>
      </c>
      <c r="R15" t="s">
        <v>477</v>
      </c>
    </row>
    <row r="16" spans="1:21" x14ac:dyDescent="0.25">
      <c r="A16" t="s">
        <v>56</v>
      </c>
      <c r="B16">
        <v>139244</v>
      </c>
      <c r="C16">
        <v>0</v>
      </c>
      <c r="D16">
        <v>0</v>
      </c>
      <c r="E16">
        <v>0</v>
      </c>
      <c r="F16">
        <v>0</v>
      </c>
      <c r="G16">
        <v>118844</v>
      </c>
      <c r="H16">
        <v>0</v>
      </c>
      <c r="I16">
        <v>0</v>
      </c>
      <c r="J16">
        <v>66873</v>
      </c>
      <c r="K16">
        <v>0</v>
      </c>
      <c r="L16">
        <v>0</v>
      </c>
      <c r="M16">
        <v>69661</v>
      </c>
      <c r="N16">
        <v>0</v>
      </c>
      <c r="O16" t="s">
        <v>471</v>
      </c>
      <c r="P16" t="s">
        <v>472</v>
      </c>
      <c r="R16" s="4"/>
      <c r="S16" s="4" t="s">
        <v>475</v>
      </c>
      <c r="T16" s="4" t="s">
        <v>473</v>
      </c>
      <c r="U16" s="4" t="s">
        <v>472</v>
      </c>
    </row>
    <row r="17" spans="1:21" x14ac:dyDescent="0.25">
      <c r="A17" t="s">
        <v>226</v>
      </c>
      <c r="B17">
        <v>0</v>
      </c>
      <c r="C17">
        <v>0</v>
      </c>
      <c r="D17">
        <v>0</v>
      </c>
      <c r="E17">
        <v>79157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478</v>
      </c>
      <c r="P17" t="s">
        <v>472</v>
      </c>
      <c r="R17" s="4" t="s">
        <v>471</v>
      </c>
      <c r="S17" s="4">
        <f>COUNTIFS($O:$O,$R17,$P:$P,S$16)</f>
        <v>0</v>
      </c>
      <c r="T17" s="4">
        <f t="shared" ref="T17" si="0">COUNTIFS($O:$O,$R17,$P:$P,T$16)</f>
        <v>0</v>
      </c>
      <c r="U17" s="4">
        <f>COUNTIFS($O:$O,$R17,$P:$P,U$16)</f>
        <v>115</v>
      </c>
    </row>
    <row r="18" spans="1:21" x14ac:dyDescent="0.25">
      <c r="A18" t="s">
        <v>183</v>
      </c>
      <c r="B18">
        <v>0</v>
      </c>
      <c r="C18">
        <v>0</v>
      </c>
      <c r="D18">
        <v>18479</v>
      </c>
      <c r="E18">
        <v>0</v>
      </c>
      <c r="F18">
        <v>187816</v>
      </c>
      <c r="G18">
        <v>0</v>
      </c>
      <c r="H18">
        <v>0</v>
      </c>
      <c r="I18">
        <v>112157</v>
      </c>
      <c r="J18">
        <v>282927</v>
      </c>
      <c r="K18">
        <v>0</v>
      </c>
      <c r="L18">
        <v>121694</v>
      </c>
      <c r="M18">
        <v>0</v>
      </c>
      <c r="N18">
        <v>0</v>
      </c>
      <c r="O18" t="s">
        <v>471</v>
      </c>
      <c r="P18" t="s">
        <v>472</v>
      </c>
      <c r="R18" s="4" t="s">
        <v>474</v>
      </c>
      <c r="S18" s="4">
        <f t="shared" ref="S18:U19" si="1">COUNTIFS($O:$O,$R18,$P:$P,S$16)</f>
        <v>0</v>
      </c>
      <c r="T18" s="4">
        <f t="shared" si="1"/>
        <v>0</v>
      </c>
      <c r="U18" s="4">
        <f t="shared" si="1"/>
        <v>46</v>
      </c>
    </row>
    <row r="19" spans="1:21" x14ac:dyDescent="0.25">
      <c r="A19" t="s">
        <v>158</v>
      </c>
      <c r="B19">
        <v>0</v>
      </c>
      <c r="C19">
        <v>87546</v>
      </c>
      <c r="D19">
        <v>0</v>
      </c>
      <c r="E19">
        <v>90020</v>
      </c>
      <c r="F19">
        <v>106409</v>
      </c>
      <c r="G19">
        <v>0</v>
      </c>
      <c r="H19">
        <v>0</v>
      </c>
      <c r="I19">
        <v>29679</v>
      </c>
      <c r="J19">
        <v>158540</v>
      </c>
      <c r="K19">
        <v>16739</v>
      </c>
      <c r="L19">
        <v>77392</v>
      </c>
      <c r="M19">
        <v>33592</v>
      </c>
      <c r="N19">
        <v>0</v>
      </c>
      <c r="O19" t="s">
        <v>471</v>
      </c>
      <c r="P19" t="s">
        <v>472</v>
      </c>
      <c r="R19" s="4" t="s">
        <v>478</v>
      </c>
      <c r="S19" s="4">
        <f t="shared" si="1"/>
        <v>0</v>
      </c>
      <c r="T19" s="4">
        <f t="shared" si="1"/>
        <v>0</v>
      </c>
      <c r="U19" s="4">
        <f t="shared" si="1"/>
        <v>37</v>
      </c>
    </row>
    <row r="20" spans="1:21" x14ac:dyDescent="0.25">
      <c r="A20" t="s">
        <v>174</v>
      </c>
      <c r="B20">
        <v>0</v>
      </c>
      <c r="C20">
        <v>0</v>
      </c>
      <c r="D20">
        <v>44197</v>
      </c>
      <c r="E20">
        <v>75509</v>
      </c>
      <c r="F20">
        <v>0</v>
      </c>
      <c r="G20">
        <v>0</v>
      </c>
      <c r="H20">
        <v>0</v>
      </c>
      <c r="I20">
        <v>0</v>
      </c>
      <c r="J20">
        <v>96960</v>
      </c>
      <c r="K20">
        <v>125654</v>
      </c>
      <c r="L20">
        <v>0</v>
      </c>
      <c r="M20">
        <v>59849</v>
      </c>
      <c r="N20">
        <v>0</v>
      </c>
      <c r="O20" t="s">
        <v>471</v>
      </c>
      <c r="P20" t="s">
        <v>472</v>
      </c>
    </row>
    <row r="21" spans="1:21" x14ac:dyDescent="0.25">
      <c r="A21" t="s">
        <v>384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46574</v>
      </c>
      <c r="K21">
        <v>0</v>
      </c>
      <c r="L21">
        <v>0</v>
      </c>
      <c r="M21">
        <v>0</v>
      </c>
      <c r="N21">
        <v>0</v>
      </c>
      <c r="O21" t="s">
        <v>478</v>
      </c>
      <c r="P21" t="s">
        <v>472</v>
      </c>
      <c r="R21" t="s">
        <v>479</v>
      </c>
    </row>
    <row r="22" spans="1:21" x14ac:dyDescent="0.25">
      <c r="A22" t="s">
        <v>225</v>
      </c>
      <c r="B22">
        <v>0</v>
      </c>
      <c r="C22">
        <v>0</v>
      </c>
      <c r="D22">
        <v>0</v>
      </c>
      <c r="E22">
        <v>35209</v>
      </c>
      <c r="F22">
        <v>54723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478</v>
      </c>
      <c r="P22" t="s">
        <v>472</v>
      </c>
      <c r="R22" s="4"/>
      <c r="S22" s="4" t="s">
        <v>475</v>
      </c>
      <c r="T22" s="4" t="s">
        <v>473</v>
      </c>
      <c r="U22" s="4" t="s">
        <v>472</v>
      </c>
    </row>
    <row r="23" spans="1:21" x14ac:dyDescent="0.25">
      <c r="A23" t="s">
        <v>229</v>
      </c>
      <c r="B23">
        <v>0</v>
      </c>
      <c r="C23">
        <v>0</v>
      </c>
      <c r="D23">
        <v>0</v>
      </c>
      <c r="E23">
        <v>76066</v>
      </c>
      <c r="F23">
        <v>56932</v>
      </c>
      <c r="G23">
        <v>35748</v>
      </c>
      <c r="H23">
        <v>0</v>
      </c>
      <c r="I23">
        <v>20929</v>
      </c>
      <c r="J23">
        <v>0</v>
      </c>
      <c r="K23">
        <v>0</v>
      </c>
      <c r="L23">
        <v>82385</v>
      </c>
      <c r="M23">
        <v>0</v>
      </c>
      <c r="N23">
        <v>0</v>
      </c>
      <c r="O23" t="s">
        <v>471</v>
      </c>
      <c r="P23" t="s">
        <v>472</v>
      </c>
      <c r="R23" s="4" t="s">
        <v>471</v>
      </c>
      <c r="S23" s="4">
        <v>0</v>
      </c>
      <c r="T23" s="4">
        <v>0</v>
      </c>
      <c r="U23" s="4">
        <v>43586971</v>
      </c>
    </row>
    <row r="24" spans="1:21" x14ac:dyDescent="0.25">
      <c r="A24" t="s">
        <v>281</v>
      </c>
      <c r="B24">
        <v>0</v>
      </c>
      <c r="C24">
        <v>0</v>
      </c>
      <c r="D24">
        <v>0</v>
      </c>
      <c r="E24">
        <v>0</v>
      </c>
      <c r="F24">
        <v>50614</v>
      </c>
      <c r="G24">
        <v>0</v>
      </c>
      <c r="H24">
        <v>94620</v>
      </c>
      <c r="I24">
        <v>0</v>
      </c>
      <c r="J24">
        <v>0</v>
      </c>
      <c r="K24">
        <v>70036</v>
      </c>
      <c r="L24">
        <v>0</v>
      </c>
      <c r="M24">
        <v>0</v>
      </c>
      <c r="N24">
        <v>0</v>
      </c>
      <c r="O24" t="s">
        <v>474</v>
      </c>
      <c r="P24" t="s">
        <v>472</v>
      </c>
      <c r="R24" s="4" t="s">
        <v>474</v>
      </c>
      <c r="S24" s="4">
        <v>0</v>
      </c>
      <c r="T24" s="4">
        <v>0</v>
      </c>
      <c r="U24" s="4">
        <v>8069389</v>
      </c>
    </row>
    <row r="25" spans="1:21" x14ac:dyDescent="0.25">
      <c r="A25" t="s">
        <v>255</v>
      </c>
      <c r="B25">
        <v>0</v>
      </c>
      <c r="C25">
        <v>0</v>
      </c>
      <c r="D25">
        <v>0</v>
      </c>
      <c r="E25">
        <v>0</v>
      </c>
      <c r="F25">
        <v>72863</v>
      </c>
      <c r="G25">
        <v>0</v>
      </c>
      <c r="H25">
        <v>0</v>
      </c>
      <c r="I25">
        <v>38600</v>
      </c>
      <c r="J25">
        <v>0</v>
      </c>
      <c r="K25">
        <v>0</v>
      </c>
      <c r="L25">
        <v>0</v>
      </c>
      <c r="M25">
        <v>40600</v>
      </c>
      <c r="N25">
        <v>0</v>
      </c>
      <c r="O25" t="s">
        <v>474</v>
      </c>
      <c r="P25" t="s">
        <v>472</v>
      </c>
      <c r="R25" s="4" t="s">
        <v>478</v>
      </c>
      <c r="S25" s="4">
        <v>0</v>
      </c>
      <c r="T25" s="4">
        <v>0</v>
      </c>
      <c r="U25" s="4">
        <v>2840198</v>
      </c>
    </row>
    <row r="26" spans="1:21" x14ac:dyDescent="0.25">
      <c r="A26" t="s">
        <v>147</v>
      </c>
      <c r="B26">
        <v>0</v>
      </c>
      <c r="C26">
        <v>63853</v>
      </c>
      <c r="D26">
        <v>58737</v>
      </c>
      <c r="E26">
        <v>0</v>
      </c>
      <c r="F26">
        <v>0</v>
      </c>
      <c r="G26">
        <v>0</v>
      </c>
      <c r="H26">
        <v>73749</v>
      </c>
      <c r="I26">
        <v>0</v>
      </c>
      <c r="J26">
        <v>22922</v>
      </c>
      <c r="K26">
        <v>94737</v>
      </c>
      <c r="L26">
        <v>0</v>
      </c>
      <c r="M26">
        <v>0</v>
      </c>
      <c r="N26">
        <v>0</v>
      </c>
      <c r="O26" t="s">
        <v>471</v>
      </c>
      <c r="P26" t="s">
        <v>472</v>
      </c>
    </row>
    <row r="27" spans="1:21" x14ac:dyDescent="0.25">
      <c r="A27" t="s">
        <v>180</v>
      </c>
      <c r="B27">
        <v>0</v>
      </c>
      <c r="C27">
        <v>0</v>
      </c>
      <c r="D27">
        <v>59204</v>
      </c>
      <c r="E27">
        <v>0</v>
      </c>
      <c r="F27">
        <v>0</v>
      </c>
      <c r="G27">
        <v>82676</v>
      </c>
      <c r="H27">
        <v>0</v>
      </c>
      <c r="I27">
        <v>91271</v>
      </c>
      <c r="J27">
        <v>41094</v>
      </c>
      <c r="K27">
        <v>68510</v>
      </c>
      <c r="L27">
        <v>0</v>
      </c>
      <c r="M27">
        <v>48429</v>
      </c>
      <c r="N27">
        <v>74244</v>
      </c>
      <c r="O27" t="s">
        <v>471</v>
      </c>
      <c r="P27" t="s">
        <v>472</v>
      </c>
    </row>
    <row r="28" spans="1:21" x14ac:dyDescent="0.25">
      <c r="A28" t="s">
        <v>236</v>
      </c>
      <c r="B28">
        <v>0</v>
      </c>
      <c r="C28">
        <v>0</v>
      </c>
      <c r="D28">
        <v>0</v>
      </c>
      <c r="E28">
        <v>19599</v>
      </c>
      <c r="F28">
        <v>0</v>
      </c>
      <c r="G28">
        <v>0</v>
      </c>
      <c r="H28">
        <v>32412</v>
      </c>
      <c r="I28">
        <v>33850</v>
      </c>
      <c r="J28">
        <v>17328</v>
      </c>
      <c r="K28">
        <v>0</v>
      </c>
      <c r="L28">
        <v>0</v>
      </c>
      <c r="M28">
        <v>0</v>
      </c>
      <c r="N28">
        <v>0</v>
      </c>
      <c r="O28" t="s">
        <v>478</v>
      </c>
      <c r="P28" t="s">
        <v>472</v>
      </c>
    </row>
    <row r="29" spans="1:21" x14ac:dyDescent="0.25">
      <c r="A29" t="s">
        <v>290</v>
      </c>
      <c r="B29">
        <v>0</v>
      </c>
      <c r="C29">
        <v>0</v>
      </c>
      <c r="D29">
        <v>0</v>
      </c>
      <c r="E29">
        <v>0</v>
      </c>
      <c r="F29">
        <v>0</v>
      </c>
      <c r="G29">
        <v>178057</v>
      </c>
      <c r="H29">
        <v>26196</v>
      </c>
      <c r="I29">
        <v>0</v>
      </c>
      <c r="J29">
        <v>50672</v>
      </c>
      <c r="K29">
        <v>0</v>
      </c>
      <c r="L29">
        <v>0</v>
      </c>
      <c r="M29">
        <v>0</v>
      </c>
      <c r="N29">
        <v>0</v>
      </c>
      <c r="O29" t="s">
        <v>471</v>
      </c>
      <c r="P29" t="s">
        <v>472</v>
      </c>
    </row>
    <row r="30" spans="1:21" x14ac:dyDescent="0.25">
      <c r="A30" t="s">
        <v>213</v>
      </c>
      <c r="B30">
        <v>0</v>
      </c>
      <c r="C30">
        <v>0</v>
      </c>
      <c r="D30">
        <v>0</v>
      </c>
      <c r="E30">
        <v>27645</v>
      </c>
      <c r="F30">
        <v>78057</v>
      </c>
      <c r="G30">
        <v>0</v>
      </c>
      <c r="H30">
        <v>0</v>
      </c>
      <c r="I30">
        <v>0</v>
      </c>
      <c r="J30">
        <v>83365</v>
      </c>
      <c r="K30">
        <v>12350</v>
      </c>
      <c r="L30">
        <v>0</v>
      </c>
      <c r="M30">
        <v>0</v>
      </c>
      <c r="N30">
        <v>0</v>
      </c>
      <c r="O30" t="s">
        <v>474</v>
      </c>
      <c r="P30" t="s">
        <v>472</v>
      </c>
    </row>
    <row r="31" spans="1:21" x14ac:dyDescent="0.25">
      <c r="A31" t="s">
        <v>46</v>
      </c>
      <c r="B31">
        <v>66960</v>
      </c>
      <c r="C31">
        <v>39421</v>
      </c>
      <c r="D31">
        <v>0</v>
      </c>
      <c r="E31">
        <v>0</v>
      </c>
      <c r="F31">
        <v>0</v>
      </c>
      <c r="G31">
        <v>0</v>
      </c>
      <c r="H31">
        <v>34665</v>
      </c>
      <c r="I31">
        <v>17134</v>
      </c>
      <c r="J31">
        <v>81445</v>
      </c>
      <c r="K31">
        <v>0</v>
      </c>
      <c r="L31">
        <v>0</v>
      </c>
      <c r="M31">
        <v>0</v>
      </c>
      <c r="N31">
        <v>0</v>
      </c>
      <c r="O31" t="s">
        <v>471</v>
      </c>
      <c r="P31" t="s">
        <v>472</v>
      </c>
    </row>
    <row r="32" spans="1:21" x14ac:dyDescent="0.25">
      <c r="A32" t="s">
        <v>104</v>
      </c>
      <c r="B32">
        <v>0</v>
      </c>
      <c r="C32">
        <v>12327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84199</v>
      </c>
      <c r="K32">
        <v>43160</v>
      </c>
      <c r="L32">
        <v>84855</v>
      </c>
      <c r="M32">
        <v>49357</v>
      </c>
      <c r="N32">
        <v>0</v>
      </c>
      <c r="O32" t="s">
        <v>471</v>
      </c>
      <c r="P32" t="s">
        <v>472</v>
      </c>
    </row>
    <row r="33" spans="1:16" x14ac:dyDescent="0.25">
      <c r="A33" t="s">
        <v>393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87879</v>
      </c>
      <c r="L33">
        <v>0</v>
      </c>
      <c r="M33">
        <v>0</v>
      </c>
      <c r="N33">
        <v>0</v>
      </c>
      <c r="O33" t="s">
        <v>478</v>
      </c>
      <c r="P33" t="s">
        <v>472</v>
      </c>
    </row>
    <row r="34" spans="1:16" x14ac:dyDescent="0.25">
      <c r="A34" t="s">
        <v>129</v>
      </c>
      <c r="B34">
        <v>0</v>
      </c>
      <c r="C34">
        <v>34110</v>
      </c>
      <c r="D34">
        <v>83330</v>
      </c>
      <c r="E34">
        <v>98496</v>
      </c>
      <c r="F34">
        <v>73813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18712</v>
      </c>
      <c r="N34">
        <v>0</v>
      </c>
      <c r="O34" t="s">
        <v>471</v>
      </c>
      <c r="P34" t="s">
        <v>472</v>
      </c>
    </row>
    <row r="35" spans="1:16" x14ac:dyDescent="0.25">
      <c r="A35" t="s">
        <v>9</v>
      </c>
      <c r="B35">
        <v>67379</v>
      </c>
      <c r="C35">
        <v>0</v>
      </c>
      <c r="D35">
        <v>0</v>
      </c>
      <c r="E35">
        <v>0</v>
      </c>
      <c r="F35">
        <v>0</v>
      </c>
      <c r="G35">
        <v>11950</v>
      </c>
      <c r="H35">
        <v>0</v>
      </c>
      <c r="I35">
        <v>16824</v>
      </c>
      <c r="J35">
        <v>158421</v>
      </c>
      <c r="K35">
        <v>0</v>
      </c>
      <c r="L35">
        <v>72799</v>
      </c>
      <c r="M35">
        <v>0</v>
      </c>
      <c r="N35">
        <v>0</v>
      </c>
      <c r="O35" t="s">
        <v>471</v>
      </c>
      <c r="P35" t="s">
        <v>472</v>
      </c>
    </row>
    <row r="36" spans="1:16" x14ac:dyDescent="0.25">
      <c r="A36" t="s">
        <v>85</v>
      </c>
      <c r="B36">
        <v>30900</v>
      </c>
      <c r="C36">
        <v>78721</v>
      </c>
      <c r="D36">
        <v>0</v>
      </c>
      <c r="E36">
        <v>0</v>
      </c>
      <c r="F36">
        <v>0</v>
      </c>
      <c r="G36">
        <v>87934</v>
      </c>
      <c r="H36">
        <v>0</v>
      </c>
      <c r="I36">
        <v>27512</v>
      </c>
      <c r="J36">
        <v>0</v>
      </c>
      <c r="K36">
        <v>0</v>
      </c>
      <c r="L36">
        <v>75819</v>
      </c>
      <c r="M36">
        <v>67217</v>
      </c>
      <c r="N36">
        <v>0</v>
      </c>
      <c r="O36" t="s">
        <v>471</v>
      </c>
      <c r="P36" t="s">
        <v>472</v>
      </c>
    </row>
    <row r="37" spans="1:16" x14ac:dyDescent="0.25">
      <c r="A37" t="s">
        <v>202</v>
      </c>
      <c r="B37">
        <v>0</v>
      </c>
      <c r="C37">
        <v>0</v>
      </c>
      <c r="D37">
        <v>68024</v>
      </c>
      <c r="E37">
        <v>0</v>
      </c>
      <c r="F37">
        <v>0</v>
      </c>
      <c r="G37">
        <v>83897</v>
      </c>
      <c r="H37">
        <v>0</v>
      </c>
      <c r="I37">
        <v>37907</v>
      </c>
      <c r="J37">
        <v>0</v>
      </c>
      <c r="K37">
        <v>78715</v>
      </c>
      <c r="L37">
        <v>0</v>
      </c>
      <c r="M37">
        <v>0</v>
      </c>
      <c r="N37">
        <v>0</v>
      </c>
      <c r="O37" t="s">
        <v>471</v>
      </c>
      <c r="P37" t="s">
        <v>472</v>
      </c>
    </row>
    <row r="38" spans="1:16" x14ac:dyDescent="0.25">
      <c r="A38" t="s">
        <v>11</v>
      </c>
      <c r="B38">
        <v>89306</v>
      </c>
      <c r="C38">
        <v>55064</v>
      </c>
      <c r="D38">
        <v>0</v>
      </c>
      <c r="E38">
        <v>0</v>
      </c>
      <c r="F38">
        <v>0</v>
      </c>
      <c r="G38">
        <v>0</v>
      </c>
      <c r="H38">
        <v>0</v>
      </c>
      <c r="I38">
        <v>30978</v>
      </c>
      <c r="J38">
        <v>116993</v>
      </c>
      <c r="K38">
        <v>0</v>
      </c>
      <c r="L38">
        <v>106852</v>
      </c>
      <c r="M38">
        <v>0</v>
      </c>
      <c r="N38">
        <v>0</v>
      </c>
      <c r="O38" t="s">
        <v>471</v>
      </c>
      <c r="P38" t="s">
        <v>472</v>
      </c>
    </row>
    <row r="39" spans="1:16" x14ac:dyDescent="0.25">
      <c r="A39" t="s">
        <v>296</v>
      </c>
      <c r="B39">
        <v>0</v>
      </c>
      <c r="C39">
        <v>0</v>
      </c>
      <c r="D39">
        <v>0</v>
      </c>
      <c r="E39">
        <v>0</v>
      </c>
      <c r="F39">
        <v>0</v>
      </c>
      <c r="G39">
        <v>99692</v>
      </c>
      <c r="H39">
        <v>0</v>
      </c>
      <c r="I39">
        <v>0</v>
      </c>
      <c r="J39">
        <v>22991</v>
      </c>
      <c r="K39">
        <v>87694</v>
      </c>
      <c r="L39">
        <v>0</v>
      </c>
      <c r="M39">
        <v>163276</v>
      </c>
      <c r="N39">
        <v>0</v>
      </c>
      <c r="O39" t="s">
        <v>471</v>
      </c>
      <c r="P39" t="s">
        <v>472</v>
      </c>
    </row>
    <row r="40" spans="1:16" x14ac:dyDescent="0.25">
      <c r="A40" t="s">
        <v>48</v>
      </c>
      <c r="B40">
        <v>76797</v>
      </c>
      <c r="C40">
        <v>0</v>
      </c>
      <c r="D40">
        <v>179924</v>
      </c>
      <c r="E40">
        <v>27487</v>
      </c>
      <c r="F40">
        <v>52204</v>
      </c>
      <c r="G40">
        <v>40137</v>
      </c>
      <c r="H40">
        <v>36362</v>
      </c>
      <c r="I40">
        <v>98023</v>
      </c>
      <c r="J40">
        <v>96838</v>
      </c>
      <c r="K40">
        <v>0</v>
      </c>
      <c r="L40">
        <v>52164</v>
      </c>
      <c r="M40">
        <v>0</v>
      </c>
      <c r="N40">
        <v>0</v>
      </c>
      <c r="O40" t="s">
        <v>471</v>
      </c>
      <c r="P40" t="s">
        <v>472</v>
      </c>
    </row>
    <row r="41" spans="1:16" x14ac:dyDescent="0.25">
      <c r="A41" t="s">
        <v>195</v>
      </c>
      <c r="B41">
        <v>0</v>
      </c>
      <c r="C41">
        <v>0</v>
      </c>
      <c r="D41">
        <v>69567</v>
      </c>
      <c r="E41">
        <v>0</v>
      </c>
      <c r="F41">
        <v>0</v>
      </c>
      <c r="G41">
        <v>53843</v>
      </c>
      <c r="H41">
        <v>0</v>
      </c>
      <c r="I41">
        <v>121807</v>
      </c>
      <c r="J41">
        <v>0</v>
      </c>
      <c r="K41">
        <v>87749</v>
      </c>
      <c r="L41">
        <v>0</v>
      </c>
      <c r="M41">
        <v>31868</v>
      </c>
      <c r="N41">
        <v>0</v>
      </c>
      <c r="O41" t="s">
        <v>471</v>
      </c>
      <c r="P41" t="s">
        <v>472</v>
      </c>
    </row>
    <row r="42" spans="1:16" x14ac:dyDescent="0.25">
      <c r="A42" t="s">
        <v>150</v>
      </c>
      <c r="B42">
        <v>0</v>
      </c>
      <c r="C42">
        <v>90008</v>
      </c>
      <c r="D42">
        <v>0</v>
      </c>
      <c r="E42">
        <v>0</v>
      </c>
      <c r="F42">
        <v>0</v>
      </c>
      <c r="G42">
        <v>0</v>
      </c>
      <c r="H42">
        <v>54946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474</v>
      </c>
      <c r="P42" t="s">
        <v>472</v>
      </c>
    </row>
    <row r="43" spans="1:16" x14ac:dyDescent="0.25">
      <c r="A43" t="s">
        <v>133</v>
      </c>
      <c r="B43">
        <v>0</v>
      </c>
      <c r="C43">
        <v>16779</v>
      </c>
      <c r="D43">
        <v>0</v>
      </c>
      <c r="E43">
        <v>0</v>
      </c>
      <c r="F43">
        <v>123383</v>
      </c>
      <c r="G43">
        <v>0</v>
      </c>
      <c r="H43">
        <v>54634</v>
      </c>
      <c r="I43">
        <v>0</v>
      </c>
      <c r="J43">
        <v>49172</v>
      </c>
      <c r="K43">
        <v>0</v>
      </c>
      <c r="L43">
        <v>0</v>
      </c>
      <c r="M43">
        <v>33037</v>
      </c>
      <c r="N43">
        <v>0</v>
      </c>
      <c r="O43" t="s">
        <v>471</v>
      </c>
      <c r="P43" t="s">
        <v>472</v>
      </c>
    </row>
    <row r="44" spans="1:16" x14ac:dyDescent="0.25">
      <c r="A44" t="s">
        <v>65</v>
      </c>
      <c r="B44">
        <v>18681</v>
      </c>
      <c r="C44">
        <v>0</v>
      </c>
      <c r="D44">
        <v>0</v>
      </c>
      <c r="E44">
        <v>0</v>
      </c>
      <c r="F44">
        <v>32417</v>
      </c>
      <c r="G44">
        <v>0</v>
      </c>
      <c r="H44">
        <v>0</v>
      </c>
      <c r="I44">
        <v>90883</v>
      </c>
      <c r="J44">
        <v>0</v>
      </c>
      <c r="K44">
        <v>0</v>
      </c>
      <c r="L44">
        <v>86954</v>
      </c>
      <c r="M44">
        <v>24178</v>
      </c>
      <c r="N44">
        <v>0</v>
      </c>
      <c r="O44" t="s">
        <v>471</v>
      </c>
      <c r="P44" t="s">
        <v>472</v>
      </c>
    </row>
    <row r="45" spans="1:16" x14ac:dyDescent="0.25">
      <c r="A45" t="s">
        <v>199</v>
      </c>
      <c r="B45">
        <v>0</v>
      </c>
      <c r="C45">
        <v>0</v>
      </c>
      <c r="D45">
        <v>42065</v>
      </c>
      <c r="E45">
        <v>44093</v>
      </c>
      <c r="F45">
        <v>0</v>
      </c>
      <c r="G45">
        <v>17785</v>
      </c>
      <c r="H45">
        <v>86814</v>
      </c>
      <c r="I45">
        <v>0</v>
      </c>
      <c r="J45">
        <v>81355</v>
      </c>
      <c r="K45">
        <v>0</v>
      </c>
      <c r="L45">
        <v>0</v>
      </c>
      <c r="M45">
        <v>10879</v>
      </c>
      <c r="N45">
        <v>0</v>
      </c>
      <c r="O45" t="s">
        <v>471</v>
      </c>
      <c r="P45" t="s">
        <v>472</v>
      </c>
    </row>
    <row r="46" spans="1:16" x14ac:dyDescent="0.25">
      <c r="A46" t="s">
        <v>233</v>
      </c>
      <c r="B46">
        <v>0</v>
      </c>
      <c r="C46">
        <v>0</v>
      </c>
      <c r="D46">
        <v>0</v>
      </c>
      <c r="E46">
        <v>40349</v>
      </c>
      <c r="F46">
        <v>0</v>
      </c>
      <c r="G46">
        <v>0</v>
      </c>
      <c r="H46">
        <v>0</v>
      </c>
      <c r="I46">
        <v>94875</v>
      </c>
      <c r="J46">
        <v>0</v>
      </c>
      <c r="K46">
        <v>0</v>
      </c>
      <c r="L46">
        <v>30306</v>
      </c>
      <c r="M46">
        <v>0</v>
      </c>
      <c r="N46">
        <v>0</v>
      </c>
      <c r="O46" t="s">
        <v>474</v>
      </c>
      <c r="P46" t="s">
        <v>472</v>
      </c>
    </row>
    <row r="47" spans="1:16" x14ac:dyDescent="0.25">
      <c r="A47" t="s">
        <v>54</v>
      </c>
      <c r="B47">
        <v>82090</v>
      </c>
      <c r="C47">
        <v>0</v>
      </c>
      <c r="D47">
        <v>0</v>
      </c>
      <c r="E47">
        <v>0</v>
      </c>
      <c r="F47">
        <v>52592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49148</v>
      </c>
      <c r="N47">
        <v>0</v>
      </c>
      <c r="O47" t="s">
        <v>474</v>
      </c>
      <c r="P47" t="s">
        <v>472</v>
      </c>
    </row>
    <row r="48" spans="1:16" x14ac:dyDescent="0.25">
      <c r="A48" t="s">
        <v>82</v>
      </c>
      <c r="B48">
        <v>74053</v>
      </c>
      <c r="C48">
        <v>12540</v>
      </c>
      <c r="D48">
        <v>28128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90121</v>
      </c>
      <c r="M48">
        <v>74075</v>
      </c>
      <c r="N48">
        <v>0</v>
      </c>
      <c r="O48" t="s">
        <v>471</v>
      </c>
      <c r="P48" t="s">
        <v>472</v>
      </c>
    </row>
    <row r="49" spans="1:16" x14ac:dyDescent="0.25">
      <c r="A49" t="s">
        <v>249</v>
      </c>
      <c r="B49">
        <v>0</v>
      </c>
      <c r="C49">
        <v>0</v>
      </c>
      <c r="D49">
        <v>0</v>
      </c>
      <c r="E49">
        <v>22947</v>
      </c>
      <c r="F49">
        <v>0</v>
      </c>
      <c r="G49">
        <v>26909</v>
      </c>
      <c r="H49">
        <v>0</v>
      </c>
      <c r="I49">
        <v>0</v>
      </c>
      <c r="J49">
        <v>57900</v>
      </c>
      <c r="K49">
        <v>13859</v>
      </c>
      <c r="L49">
        <v>0</v>
      </c>
      <c r="M49">
        <v>0</v>
      </c>
      <c r="N49">
        <v>0</v>
      </c>
      <c r="O49" t="s">
        <v>474</v>
      </c>
      <c r="P49" t="s">
        <v>472</v>
      </c>
    </row>
    <row r="50" spans="1:16" x14ac:dyDescent="0.25">
      <c r="A50" t="s">
        <v>156</v>
      </c>
      <c r="B50">
        <v>0</v>
      </c>
      <c r="C50">
        <v>34160</v>
      </c>
      <c r="D50">
        <v>0</v>
      </c>
      <c r="E50">
        <v>47042</v>
      </c>
      <c r="F50">
        <v>10391</v>
      </c>
      <c r="G50">
        <v>61773</v>
      </c>
      <c r="H50">
        <v>19692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474</v>
      </c>
      <c r="P50" t="s">
        <v>472</v>
      </c>
    </row>
    <row r="51" spans="1:16" x14ac:dyDescent="0.25">
      <c r="A51" t="s">
        <v>121</v>
      </c>
      <c r="B51">
        <v>0</v>
      </c>
      <c r="C51">
        <v>16119</v>
      </c>
      <c r="D51">
        <v>0</v>
      </c>
      <c r="E51">
        <v>0</v>
      </c>
      <c r="F51">
        <v>120152</v>
      </c>
      <c r="G51">
        <v>0</v>
      </c>
      <c r="H51">
        <v>0</v>
      </c>
      <c r="I51">
        <v>0</v>
      </c>
      <c r="J51">
        <v>162592</v>
      </c>
      <c r="K51">
        <v>0</v>
      </c>
      <c r="L51">
        <v>0</v>
      </c>
      <c r="M51">
        <v>0</v>
      </c>
      <c r="N51">
        <v>0</v>
      </c>
      <c r="O51" t="s">
        <v>471</v>
      </c>
      <c r="P51" t="s">
        <v>472</v>
      </c>
    </row>
    <row r="52" spans="1:16" x14ac:dyDescent="0.25">
      <c r="A52" t="s">
        <v>63</v>
      </c>
      <c r="B52">
        <v>86606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478</v>
      </c>
      <c r="P52" t="s">
        <v>472</v>
      </c>
    </row>
    <row r="53" spans="1:16" x14ac:dyDescent="0.25">
      <c r="A53" t="s">
        <v>259</v>
      </c>
      <c r="B53">
        <v>0</v>
      </c>
      <c r="C53">
        <v>0</v>
      </c>
      <c r="D53">
        <v>0</v>
      </c>
      <c r="E53">
        <v>0</v>
      </c>
      <c r="F53">
        <v>43010</v>
      </c>
      <c r="G53">
        <v>0</v>
      </c>
      <c r="H53">
        <v>0</v>
      </c>
      <c r="I53">
        <v>12384</v>
      </c>
      <c r="J53">
        <v>0</v>
      </c>
      <c r="K53">
        <v>0</v>
      </c>
      <c r="L53">
        <v>114023</v>
      </c>
      <c r="M53">
        <v>11038</v>
      </c>
      <c r="N53">
        <v>0</v>
      </c>
      <c r="O53" t="s">
        <v>474</v>
      </c>
      <c r="P53" t="s">
        <v>472</v>
      </c>
    </row>
    <row r="54" spans="1:16" x14ac:dyDescent="0.25">
      <c r="A54" t="s">
        <v>87</v>
      </c>
      <c r="B54">
        <v>13036</v>
      </c>
      <c r="C54">
        <v>139592</v>
      </c>
      <c r="D54">
        <v>0</v>
      </c>
      <c r="E54">
        <v>30355</v>
      </c>
      <c r="F54">
        <v>31317</v>
      </c>
      <c r="G54">
        <v>0</v>
      </c>
      <c r="H54">
        <v>31571</v>
      </c>
      <c r="I54">
        <v>0</v>
      </c>
      <c r="J54">
        <v>20372</v>
      </c>
      <c r="K54">
        <v>0</v>
      </c>
      <c r="L54">
        <v>82606</v>
      </c>
      <c r="M54">
        <v>62713</v>
      </c>
      <c r="N54">
        <v>0</v>
      </c>
      <c r="O54" t="s">
        <v>471</v>
      </c>
      <c r="P54" t="s">
        <v>472</v>
      </c>
    </row>
    <row r="55" spans="1:16" x14ac:dyDescent="0.25">
      <c r="A55" t="s">
        <v>67</v>
      </c>
      <c r="B55">
        <v>51077</v>
      </c>
      <c r="C55">
        <v>50047</v>
      </c>
      <c r="D55">
        <v>0</v>
      </c>
      <c r="E55">
        <v>0</v>
      </c>
      <c r="F55">
        <v>0</v>
      </c>
      <c r="G55">
        <v>40591</v>
      </c>
      <c r="H55">
        <v>83404</v>
      </c>
      <c r="I55">
        <v>0</v>
      </c>
      <c r="J55">
        <v>13635</v>
      </c>
      <c r="K55">
        <v>0</v>
      </c>
      <c r="L55">
        <v>0</v>
      </c>
      <c r="M55">
        <v>62653</v>
      </c>
      <c r="N55">
        <v>0</v>
      </c>
      <c r="O55" t="s">
        <v>471</v>
      </c>
      <c r="P55" t="s">
        <v>472</v>
      </c>
    </row>
    <row r="56" spans="1:16" x14ac:dyDescent="0.25">
      <c r="A56" t="s">
        <v>139</v>
      </c>
      <c r="B56">
        <v>0</v>
      </c>
      <c r="C56">
        <v>50952</v>
      </c>
      <c r="D56">
        <v>0</v>
      </c>
      <c r="E56">
        <v>0</v>
      </c>
      <c r="F56">
        <v>29481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478</v>
      </c>
      <c r="P56" t="s">
        <v>472</v>
      </c>
    </row>
    <row r="57" spans="1:16" x14ac:dyDescent="0.25">
      <c r="A57" t="s">
        <v>231</v>
      </c>
      <c r="B57">
        <v>0</v>
      </c>
      <c r="C57">
        <v>0</v>
      </c>
      <c r="D57">
        <v>0</v>
      </c>
      <c r="E57">
        <v>49551</v>
      </c>
      <c r="F57">
        <v>35173</v>
      </c>
      <c r="G57">
        <v>81175</v>
      </c>
      <c r="H57">
        <v>0</v>
      </c>
      <c r="I57">
        <v>82553</v>
      </c>
      <c r="J57">
        <v>42282</v>
      </c>
      <c r="K57">
        <v>0</v>
      </c>
      <c r="L57">
        <v>60177</v>
      </c>
      <c r="M57">
        <v>0</v>
      </c>
      <c r="N57">
        <v>0</v>
      </c>
      <c r="O57" t="s">
        <v>471</v>
      </c>
      <c r="P57" t="s">
        <v>472</v>
      </c>
    </row>
    <row r="58" spans="1:16" x14ac:dyDescent="0.25">
      <c r="A58" t="s">
        <v>334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26311</v>
      </c>
      <c r="I58">
        <v>62961</v>
      </c>
      <c r="J58">
        <v>0</v>
      </c>
      <c r="K58">
        <v>0</v>
      </c>
      <c r="L58">
        <v>0</v>
      </c>
      <c r="M58">
        <v>98093</v>
      </c>
      <c r="N58">
        <v>0</v>
      </c>
      <c r="O58" t="s">
        <v>474</v>
      </c>
      <c r="P58" t="s">
        <v>472</v>
      </c>
    </row>
    <row r="59" spans="1:16" x14ac:dyDescent="0.25">
      <c r="A59" t="s">
        <v>114</v>
      </c>
      <c r="B59">
        <v>0</v>
      </c>
      <c r="C59">
        <v>19652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87842</v>
      </c>
      <c r="K59">
        <v>66405</v>
      </c>
      <c r="L59">
        <v>0</v>
      </c>
      <c r="M59">
        <v>51606</v>
      </c>
      <c r="N59">
        <v>0</v>
      </c>
      <c r="O59" t="s">
        <v>471</v>
      </c>
      <c r="P59" t="s">
        <v>472</v>
      </c>
    </row>
    <row r="60" spans="1:16" x14ac:dyDescent="0.25">
      <c r="A60" t="s">
        <v>215</v>
      </c>
      <c r="B60">
        <v>0</v>
      </c>
      <c r="C60">
        <v>0</v>
      </c>
      <c r="D60">
        <v>0</v>
      </c>
      <c r="E60">
        <v>38637</v>
      </c>
      <c r="F60">
        <v>0</v>
      </c>
      <c r="G60">
        <v>51068</v>
      </c>
      <c r="H60">
        <v>0</v>
      </c>
      <c r="I60">
        <v>91977</v>
      </c>
      <c r="J60">
        <v>0</v>
      </c>
      <c r="K60">
        <v>59903</v>
      </c>
      <c r="L60">
        <v>67363</v>
      </c>
      <c r="M60">
        <v>0</v>
      </c>
      <c r="N60">
        <v>0</v>
      </c>
      <c r="O60" t="s">
        <v>471</v>
      </c>
      <c r="P60" t="s">
        <v>472</v>
      </c>
    </row>
    <row r="61" spans="1:16" x14ac:dyDescent="0.25">
      <c r="A61" t="s">
        <v>37</v>
      </c>
      <c r="B61">
        <v>13331</v>
      </c>
      <c r="C61">
        <v>98753</v>
      </c>
      <c r="D61">
        <v>36866</v>
      </c>
      <c r="E61">
        <v>0</v>
      </c>
      <c r="F61">
        <v>0</v>
      </c>
      <c r="G61">
        <v>0</v>
      </c>
      <c r="H61">
        <v>0</v>
      </c>
      <c r="I61">
        <v>61769</v>
      </c>
      <c r="J61">
        <v>0</v>
      </c>
      <c r="K61">
        <v>0</v>
      </c>
      <c r="L61">
        <v>26732</v>
      </c>
      <c r="M61">
        <v>0</v>
      </c>
      <c r="N61">
        <v>0</v>
      </c>
      <c r="O61" t="s">
        <v>471</v>
      </c>
      <c r="P61" t="s">
        <v>472</v>
      </c>
    </row>
    <row r="62" spans="1:16" x14ac:dyDescent="0.25">
      <c r="A62" t="s">
        <v>57</v>
      </c>
      <c r="B62">
        <v>129153</v>
      </c>
      <c r="C62">
        <v>0</v>
      </c>
      <c r="D62">
        <v>79022</v>
      </c>
      <c r="E62">
        <v>0</v>
      </c>
      <c r="F62">
        <v>0</v>
      </c>
      <c r="G62">
        <v>0</v>
      </c>
      <c r="H62">
        <v>0</v>
      </c>
      <c r="I62">
        <v>0</v>
      </c>
      <c r="J62">
        <v>41328</v>
      </c>
      <c r="K62">
        <v>0</v>
      </c>
      <c r="L62">
        <v>0</v>
      </c>
      <c r="M62">
        <v>0</v>
      </c>
      <c r="N62">
        <v>0</v>
      </c>
      <c r="O62" t="s">
        <v>471</v>
      </c>
      <c r="P62" t="s">
        <v>472</v>
      </c>
    </row>
    <row r="63" spans="1:16" x14ac:dyDescent="0.25">
      <c r="A63" t="s">
        <v>109</v>
      </c>
      <c r="B63">
        <v>0</v>
      </c>
      <c r="C63">
        <v>15831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90950</v>
      </c>
      <c r="N63">
        <v>0</v>
      </c>
      <c r="O63" t="s">
        <v>478</v>
      </c>
      <c r="P63" t="s">
        <v>472</v>
      </c>
    </row>
    <row r="64" spans="1:16" x14ac:dyDescent="0.25">
      <c r="A64" t="s">
        <v>316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47710</v>
      </c>
      <c r="I64">
        <v>11097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478</v>
      </c>
      <c r="P64" t="s">
        <v>472</v>
      </c>
    </row>
    <row r="65" spans="1:16" x14ac:dyDescent="0.25">
      <c r="A65" t="s">
        <v>103</v>
      </c>
      <c r="B65">
        <v>0</v>
      </c>
      <c r="C65">
        <v>130974</v>
      </c>
      <c r="D65">
        <v>0</v>
      </c>
      <c r="E65">
        <v>31649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474</v>
      </c>
      <c r="P65" t="s">
        <v>472</v>
      </c>
    </row>
    <row r="66" spans="1:16" x14ac:dyDescent="0.25">
      <c r="A66" t="s">
        <v>214</v>
      </c>
      <c r="B66">
        <v>0</v>
      </c>
      <c r="C66">
        <v>0</v>
      </c>
      <c r="D66">
        <v>0</v>
      </c>
      <c r="E66">
        <v>144508</v>
      </c>
      <c r="F66">
        <v>0</v>
      </c>
      <c r="G66">
        <v>0</v>
      </c>
      <c r="H66">
        <v>65397</v>
      </c>
      <c r="I66">
        <v>77779</v>
      </c>
      <c r="J66">
        <v>0</v>
      </c>
      <c r="K66">
        <v>80794</v>
      </c>
      <c r="L66">
        <v>0</v>
      </c>
      <c r="M66">
        <v>183085</v>
      </c>
      <c r="N66">
        <v>0</v>
      </c>
      <c r="O66" t="s">
        <v>471</v>
      </c>
      <c r="P66" t="s">
        <v>472</v>
      </c>
    </row>
    <row r="67" spans="1:16" x14ac:dyDescent="0.25">
      <c r="A67" t="s">
        <v>325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52312</v>
      </c>
      <c r="I67">
        <v>0</v>
      </c>
      <c r="J67">
        <v>0</v>
      </c>
      <c r="K67">
        <v>88880</v>
      </c>
      <c r="L67">
        <v>0</v>
      </c>
      <c r="M67">
        <v>16815</v>
      </c>
      <c r="N67">
        <v>0</v>
      </c>
      <c r="O67" t="s">
        <v>474</v>
      </c>
      <c r="P67" t="s">
        <v>472</v>
      </c>
    </row>
    <row r="68" spans="1:16" x14ac:dyDescent="0.25">
      <c r="A68" t="s">
        <v>138</v>
      </c>
      <c r="B68">
        <v>0</v>
      </c>
      <c r="C68">
        <v>71980</v>
      </c>
      <c r="D68">
        <v>0</v>
      </c>
      <c r="E68">
        <v>0</v>
      </c>
      <c r="F68">
        <v>98145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474</v>
      </c>
      <c r="P68" t="s">
        <v>472</v>
      </c>
    </row>
    <row r="69" spans="1:16" x14ac:dyDescent="0.25">
      <c r="A69" t="s">
        <v>451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71474</v>
      </c>
      <c r="N69">
        <v>0</v>
      </c>
      <c r="O69" t="s">
        <v>478</v>
      </c>
      <c r="P69" t="s">
        <v>472</v>
      </c>
    </row>
    <row r="70" spans="1:16" x14ac:dyDescent="0.25">
      <c r="A70" t="s">
        <v>203</v>
      </c>
      <c r="B70">
        <v>0</v>
      </c>
      <c r="C70">
        <v>0</v>
      </c>
      <c r="D70">
        <v>32316</v>
      </c>
      <c r="E70">
        <v>0</v>
      </c>
      <c r="F70">
        <v>0</v>
      </c>
      <c r="G70">
        <v>28193</v>
      </c>
      <c r="H70">
        <v>0</v>
      </c>
      <c r="I70">
        <v>0</v>
      </c>
      <c r="J70">
        <v>49499</v>
      </c>
      <c r="K70">
        <v>0</v>
      </c>
      <c r="L70">
        <v>0</v>
      </c>
      <c r="M70">
        <v>0</v>
      </c>
      <c r="N70">
        <v>0</v>
      </c>
      <c r="O70" t="s">
        <v>478</v>
      </c>
      <c r="P70" t="s">
        <v>472</v>
      </c>
    </row>
    <row r="71" spans="1:16" x14ac:dyDescent="0.25">
      <c r="A71" t="s">
        <v>254</v>
      </c>
      <c r="B71">
        <v>0</v>
      </c>
      <c r="C71">
        <v>0</v>
      </c>
      <c r="D71">
        <v>0</v>
      </c>
      <c r="E71">
        <v>0</v>
      </c>
      <c r="F71">
        <v>70886</v>
      </c>
      <c r="G71">
        <v>83514</v>
      </c>
      <c r="H71">
        <v>51955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474</v>
      </c>
      <c r="P71" t="s">
        <v>472</v>
      </c>
    </row>
    <row r="72" spans="1:16" x14ac:dyDescent="0.25">
      <c r="A72" t="s">
        <v>62</v>
      </c>
      <c r="B72">
        <v>94451</v>
      </c>
      <c r="C72">
        <v>45478</v>
      </c>
      <c r="D72">
        <v>0</v>
      </c>
      <c r="E72">
        <v>0</v>
      </c>
      <c r="F72">
        <v>58525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474</v>
      </c>
      <c r="P72" t="s">
        <v>472</v>
      </c>
    </row>
    <row r="73" spans="1:16" x14ac:dyDescent="0.25">
      <c r="A73" t="s">
        <v>193</v>
      </c>
      <c r="B73">
        <v>0</v>
      </c>
      <c r="C73">
        <v>0</v>
      </c>
      <c r="D73">
        <v>10026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478</v>
      </c>
      <c r="P73" t="s">
        <v>472</v>
      </c>
    </row>
    <row r="74" spans="1:16" x14ac:dyDescent="0.25">
      <c r="A74" t="s">
        <v>303</v>
      </c>
      <c r="B74">
        <v>0</v>
      </c>
      <c r="C74">
        <v>0</v>
      </c>
      <c r="D74">
        <v>0</v>
      </c>
      <c r="E74">
        <v>0</v>
      </c>
      <c r="F74">
        <v>0</v>
      </c>
      <c r="G74">
        <v>81393</v>
      </c>
      <c r="H74">
        <v>29176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478</v>
      </c>
      <c r="P74" t="s">
        <v>472</v>
      </c>
    </row>
    <row r="75" spans="1:16" x14ac:dyDescent="0.25">
      <c r="A75" t="s">
        <v>151</v>
      </c>
      <c r="B75">
        <v>0</v>
      </c>
      <c r="C75">
        <v>26006</v>
      </c>
      <c r="D75">
        <v>0</v>
      </c>
      <c r="E75">
        <v>0</v>
      </c>
      <c r="F75">
        <v>51341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478</v>
      </c>
      <c r="P75" t="s">
        <v>472</v>
      </c>
    </row>
    <row r="76" spans="1:16" x14ac:dyDescent="0.25">
      <c r="A76" t="s">
        <v>163</v>
      </c>
      <c r="B76">
        <v>0</v>
      </c>
      <c r="C76">
        <v>0</v>
      </c>
      <c r="D76">
        <v>82423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478</v>
      </c>
      <c r="P76" t="s">
        <v>472</v>
      </c>
    </row>
    <row r="77" spans="1:16" x14ac:dyDescent="0.25">
      <c r="A77" t="s">
        <v>196</v>
      </c>
      <c r="B77">
        <v>0</v>
      </c>
      <c r="C77">
        <v>0</v>
      </c>
      <c r="D77">
        <v>97118</v>
      </c>
      <c r="E77">
        <v>32347</v>
      </c>
      <c r="F77">
        <v>0</v>
      </c>
      <c r="G77">
        <v>0</v>
      </c>
      <c r="H77">
        <v>97998</v>
      </c>
      <c r="I77">
        <v>13809</v>
      </c>
      <c r="J77">
        <v>58279</v>
      </c>
      <c r="K77">
        <v>98953</v>
      </c>
      <c r="L77">
        <v>91886</v>
      </c>
      <c r="M77">
        <v>99913</v>
      </c>
      <c r="N77">
        <v>0</v>
      </c>
      <c r="O77" t="s">
        <v>471</v>
      </c>
      <c r="P77" t="s">
        <v>472</v>
      </c>
    </row>
    <row r="78" spans="1:16" x14ac:dyDescent="0.25">
      <c r="A78" t="s">
        <v>41</v>
      </c>
      <c r="B78">
        <v>101395</v>
      </c>
      <c r="C78">
        <v>43215</v>
      </c>
      <c r="D78">
        <v>0</v>
      </c>
      <c r="E78">
        <v>0</v>
      </c>
      <c r="F78">
        <v>160275</v>
      </c>
      <c r="G78">
        <v>149240</v>
      </c>
      <c r="H78">
        <v>0</v>
      </c>
      <c r="I78">
        <v>0</v>
      </c>
      <c r="J78">
        <v>0</v>
      </c>
      <c r="K78">
        <v>87543</v>
      </c>
      <c r="L78">
        <v>90959</v>
      </c>
      <c r="M78">
        <v>31146</v>
      </c>
      <c r="N78">
        <v>0</v>
      </c>
      <c r="O78" t="s">
        <v>471</v>
      </c>
      <c r="P78" t="s">
        <v>472</v>
      </c>
    </row>
    <row r="79" spans="1:16" x14ac:dyDescent="0.25">
      <c r="A79" t="s">
        <v>263</v>
      </c>
      <c r="B79">
        <v>0</v>
      </c>
      <c r="C79">
        <v>0</v>
      </c>
      <c r="D79">
        <v>0</v>
      </c>
      <c r="E79">
        <v>0</v>
      </c>
      <c r="F79">
        <v>94376</v>
      </c>
      <c r="G79">
        <v>83003</v>
      </c>
      <c r="H79">
        <v>45223</v>
      </c>
      <c r="I79">
        <v>0</v>
      </c>
      <c r="J79">
        <v>117499</v>
      </c>
      <c r="K79">
        <v>0</v>
      </c>
      <c r="L79">
        <v>0</v>
      </c>
      <c r="M79">
        <v>0</v>
      </c>
      <c r="N79">
        <v>0</v>
      </c>
      <c r="O79" t="s">
        <v>471</v>
      </c>
      <c r="P79" t="s">
        <v>472</v>
      </c>
    </row>
    <row r="80" spans="1:16" x14ac:dyDescent="0.25">
      <c r="A80" t="s">
        <v>327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45847</v>
      </c>
      <c r="I80">
        <v>0</v>
      </c>
      <c r="J80">
        <v>74595</v>
      </c>
      <c r="K80">
        <v>0</v>
      </c>
      <c r="L80">
        <v>75170</v>
      </c>
      <c r="M80">
        <v>75772</v>
      </c>
      <c r="N80">
        <v>0</v>
      </c>
      <c r="O80" t="s">
        <v>471</v>
      </c>
      <c r="P80" t="s">
        <v>472</v>
      </c>
    </row>
    <row r="81" spans="1:16" x14ac:dyDescent="0.25">
      <c r="A81" t="s">
        <v>341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54839</v>
      </c>
      <c r="J81">
        <v>0</v>
      </c>
      <c r="K81">
        <v>0</v>
      </c>
      <c r="L81">
        <v>85130</v>
      </c>
      <c r="M81">
        <v>0</v>
      </c>
      <c r="N81">
        <v>0</v>
      </c>
      <c r="O81" t="s">
        <v>474</v>
      </c>
      <c r="P81" t="s">
        <v>472</v>
      </c>
    </row>
    <row r="82" spans="1:16" x14ac:dyDescent="0.25">
      <c r="A82" t="s">
        <v>238</v>
      </c>
      <c r="B82">
        <v>0</v>
      </c>
      <c r="C82">
        <v>0</v>
      </c>
      <c r="D82">
        <v>0</v>
      </c>
      <c r="E82">
        <v>43139</v>
      </c>
      <c r="F82">
        <v>0</v>
      </c>
      <c r="G82">
        <v>0</v>
      </c>
      <c r="H82">
        <v>32047</v>
      </c>
      <c r="I82">
        <v>91332</v>
      </c>
      <c r="J82">
        <v>80993</v>
      </c>
      <c r="K82">
        <v>0</v>
      </c>
      <c r="L82">
        <v>0</v>
      </c>
      <c r="M82">
        <v>68513</v>
      </c>
      <c r="N82">
        <v>0</v>
      </c>
      <c r="O82" t="s">
        <v>471</v>
      </c>
      <c r="P82" t="s">
        <v>472</v>
      </c>
    </row>
    <row r="83" spans="1:16" x14ac:dyDescent="0.25">
      <c r="A83" t="s">
        <v>311</v>
      </c>
      <c r="B83">
        <v>0</v>
      </c>
      <c r="C83">
        <v>0</v>
      </c>
      <c r="D83">
        <v>0</v>
      </c>
      <c r="E83">
        <v>0</v>
      </c>
      <c r="F83">
        <v>0</v>
      </c>
      <c r="G83">
        <v>68339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478</v>
      </c>
      <c r="P83" t="s">
        <v>472</v>
      </c>
    </row>
    <row r="84" spans="1:16" x14ac:dyDescent="0.25">
      <c r="A84" t="s">
        <v>69</v>
      </c>
      <c r="B84">
        <v>59331</v>
      </c>
      <c r="C84">
        <v>0</v>
      </c>
      <c r="D84">
        <v>0</v>
      </c>
      <c r="E84">
        <v>109721</v>
      </c>
      <c r="F84">
        <v>166966</v>
      </c>
      <c r="G84">
        <v>60228</v>
      </c>
      <c r="H84">
        <v>0</v>
      </c>
      <c r="I84">
        <v>0</v>
      </c>
      <c r="J84">
        <v>41287</v>
      </c>
      <c r="K84">
        <v>0</v>
      </c>
      <c r="L84">
        <v>0</v>
      </c>
      <c r="M84">
        <v>0</v>
      </c>
      <c r="N84">
        <v>0</v>
      </c>
      <c r="O84" t="s">
        <v>471</v>
      </c>
      <c r="P84" t="s">
        <v>472</v>
      </c>
    </row>
    <row r="85" spans="1:16" x14ac:dyDescent="0.25">
      <c r="A85" t="s">
        <v>245</v>
      </c>
      <c r="B85">
        <v>0</v>
      </c>
      <c r="C85">
        <v>0</v>
      </c>
      <c r="D85">
        <v>0</v>
      </c>
      <c r="E85">
        <v>66502</v>
      </c>
      <c r="F85">
        <v>0</v>
      </c>
      <c r="G85">
        <v>40859</v>
      </c>
      <c r="H85">
        <v>12836</v>
      </c>
      <c r="I85">
        <v>31668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474</v>
      </c>
      <c r="P85" t="s">
        <v>472</v>
      </c>
    </row>
    <row r="86" spans="1:16" x14ac:dyDescent="0.25">
      <c r="A86" t="s">
        <v>175</v>
      </c>
      <c r="B86">
        <v>0</v>
      </c>
      <c r="C86">
        <v>0</v>
      </c>
      <c r="D86">
        <v>45774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478</v>
      </c>
      <c r="P86" t="s">
        <v>472</v>
      </c>
    </row>
    <row r="87" spans="1:16" x14ac:dyDescent="0.25">
      <c r="A87" t="s">
        <v>152</v>
      </c>
      <c r="B87">
        <v>0</v>
      </c>
      <c r="C87">
        <v>40254</v>
      </c>
      <c r="D87">
        <v>0</v>
      </c>
      <c r="E87">
        <v>0</v>
      </c>
      <c r="F87">
        <v>22344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478</v>
      </c>
      <c r="P87" t="s">
        <v>472</v>
      </c>
    </row>
    <row r="88" spans="1:16" x14ac:dyDescent="0.25">
      <c r="A88" t="s">
        <v>308</v>
      </c>
      <c r="B88">
        <v>0</v>
      </c>
      <c r="C88">
        <v>0</v>
      </c>
      <c r="D88">
        <v>0</v>
      </c>
      <c r="E88">
        <v>0</v>
      </c>
      <c r="F88">
        <v>0</v>
      </c>
      <c r="G88">
        <v>77177</v>
      </c>
      <c r="H88">
        <v>0</v>
      </c>
      <c r="I88">
        <v>0</v>
      </c>
      <c r="J88">
        <v>0</v>
      </c>
      <c r="K88">
        <v>44493</v>
      </c>
      <c r="L88">
        <v>0</v>
      </c>
      <c r="M88">
        <v>0</v>
      </c>
      <c r="N88">
        <v>0</v>
      </c>
      <c r="O88" t="s">
        <v>474</v>
      </c>
      <c r="P88" t="s">
        <v>472</v>
      </c>
    </row>
    <row r="89" spans="1:16" x14ac:dyDescent="0.25">
      <c r="A89" t="s">
        <v>166</v>
      </c>
      <c r="B89">
        <v>0</v>
      </c>
      <c r="C89">
        <v>0</v>
      </c>
      <c r="D89">
        <v>18544</v>
      </c>
      <c r="E89">
        <v>137538</v>
      </c>
      <c r="F89">
        <v>0</v>
      </c>
      <c r="G89">
        <v>51789</v>
      </c>
      <c r="H89">
        <v>0</v>
      </c>
      <c r="I89">
        <v>0</v>
      </c>
      <c r="J89">
        <v>0</v>
      </c>
      <c r="K89">
        <v>77005</v>
      </c>
      <c r="L89">
        <v>0</v>
      </c>
      <c r="M89">
        <v>0</v>
      </c>
      <c r="N89">
        <v>0</v>
      </c>
      <c r="O89" t="s">
        <v>471</v>
      </c>
      <c r="P89" t="s">
        <v>472</v>
      </c>
    </row>
    <row r="90" spans="1:16" x14ac:dyDescent="0.25">
      <c r="A90" t="s">
        <v>118</v>
      </c>
      <c r="B90">
        <v>0</v>
      </c>
      <c r="C90">
        <v>69272</v>
      </c>
      <c r="D90">
        <v>0</v>
      </c>
      <c r="E90">
        <v>0</v>
      </c>
      <c r="F90">
        <v>0</v>
      </c>
      <c r="G90">
        <v>82916</v>
      </c>
      <c r="H90">
        <v>0</v>
      </c>
      <c r="I90">
        <v>0</v>
      </c>
      <c r="J90">
        <v>0</v>
      </c>
      <c r="K90">
        <v>0</v>
      </c>
      <c r="L90">
        <v>0</v>
      </c>
      <c r="M90">
        <v>128660</v>
      </c>
      <c r="N90">
        <v>0</v>
      </c>
      <c r="O90" t="s">
        <v>471</v>
      </c>
      <c r="P90" t="s">
        <v>472</v>
      </c>
    </row>
    <row r="91" spans="1:16" x14ac:dyDescent="0.25">
      <c r="A91" t="s">
        <v>111</v>
      </c>
      <c r="B91">
        <v>0</v>
      </c>
      <c r="C91">
        <v>17174</v>
      </c>
      <c r="D91">
        <v>0</v>
      </c>
      <c r="E91">
        <v>0</v>
      </c>
      <c r="F91">
        <v>33252</v>
      </c>
      <c r="G91">
        <v>0</v>
      </c>
      <c r="H91">
        <v>0</v>
      </c>
      <c r="I91">
        <v>0</v>
      </c>
      <c r="J91">
        <v>0</v>
      </c>
      <c r="K91">
        <v>19726</v>
      </c>
      <c r="L91">
        <v>12376</v>
      </c>
      <c r="M91">
        <v>0</v>
      </c>
      <c r="N91">
        <v>0</v>
      </c>
      <c r="O91" t="s">
        <v>478</v>
      </c>
      <c r="P91" t="s">
        <v>472</v>
      </c>
    </row>
    <row r="92" spans="1:16" x14ac:dyDescent="0.25">
      <c r="A92" t="s">
        <v>79</v>
      </c>
      <c r="B92">
        <v>95434</v>
      </c>
      <c r="C92">
        <v>88933</v>
      </c>
      <c r="D92">
        <v>0</v>
      </c>
      <c r="E92">
        <v>0</v>
      </c>
      <c r="F92">
        <v>0</v>
      </c>
      <c r="G92">
        <v>46369</v>
      </c>
      <c r="H92">
        <v>0</v>
      </c>
      <c r="I92">
        <v>74890</v>
      </c>
      <c r="J92">
        <v>0</v>
      </c>
      <c r="K92">
        <v>0</v>
      </c>
      <c r="L92">
        <v>46862</v>
      </c>
      <c r="M92">
        <v>0</v>
      </c>
      <c r="N92">
        <v>0</v>
      </c>
      <c r="O92" t="s">
        <v>471</v>
      </c>
      <c r="P92" t="s">
        <v>472</v>
      </c>
    </row>
    <row r="93" spans="1:16" x14ac:dyDescent="0.25">
      <c r="A93" t="s">
        <v>191</v>
      </c>
      <c r="B93">
        <v>0</v>
      </c>
      <c r="C93">
        <v>0</v>
      </c>
      <c r="D93">
        <v>81688</v>
      </c>
      <c r="E93">
        <v>0</v>
      </c>
      <c r="F93">
        <v>84442</v>
      </c>
      <c r="G93">
        <v>0</v>
      </c>
      <c r="H93">
        <v>0</v>
      </c>
      <c r="I93">
        <v>0</v>
      </c>
      <c r="J93">
        <v>0</v>
      </c>
      <c r="K93">
        <v>73805</v>
      </c>
      <c r="L93">
        <v>0</v>
      </c>
      <c r="M93">
        <v>0</v>
      </c>
      <c r="N93">
        <v>0</v>
      </c>
      <c r="O93" t="s">
        <v>471</v>
      </c>
      <c r="P93" t="s">
        <v>472</v>
      </c>
    </row>
    <row r="94" spans="1:16" x14ac:dyDescent="0.25">
      <c r="A94" t="s">
        <v>276</v>
      </c>
      <c r="B94">
        <v>0</v>
      </c>
      <c r="C94">
        <v>0</v>
      </c>
      <c r="D94">
        <v>0</v>
      </c>
      <c r="E94">
        <v>0</v>
      </c>
      <c r="F94">
        <v>38822</v>
      </c>
      <c r="G94">
        <v>62267</v>
      </c>
      <c r="H94">
        <v>129635</v>
      </c>
      <c r="I94">
        <v>0</v>
      </c>
      <c r="J94">
        <v>55724</v>
      </c>
      <c r="K94">
        <v>0</v>
      </c>
      <c r="L94">
        <v>0</v>
      </c>
      <c r="M94">
        <v>0</v>
      </c>
      <c r="N94">
        <v>0</v>
      </c>
      <c r="O94" t="s">
        <v>471</v>
      </c>
      <c r="P94" t="s">
        <v>472</v>
      </c>
    </row>
    <row r="95" spans="1:16" x14ac:dyDescent="0.25">
      <c r="A95" t="s">
        <v>364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54141</v>
      </c>
      <c r="K95">
        <v>12451</v>
      </c>
      <c r="L95">
        <v>0</v>
      </c>
      <c r="M95">
        <v>0</v>
      </c>
      <c r="N95">
        <v>0</v>
      </c>
      <c r="O95" t="s">
        <v>478</v>
      </c>
      <c r="P95" t="s">
        <v>472</v>
      </c>
    </row>
    <row r="96" spans="1:16" x14ac:dyDescent="0.25">
      <c r="A96" t="s">
        <v>162</v>
      </c>
      <c r="B96">
        <v>0</v>
      </c>
      <c r="C96">
        <v>0</v>
      </c>
      <c r="D96">
        <v>46859</v>
      </c>
      <c r="E96">
        <v>0</v>
      </c>
      <c r="F96">
        <v>0</v>
      </c>
      <c r="G96">
        <v>138320</v>
      </c>
      <c r="H96">
        <v>10750</v>
      </c>
      <c r="I96">
        <v>0</v>
      </c>
      <c r="J96">
        <v>22765</v>
      </c>
      <c r="K96">
        <v>0</v>
      </c>
      <c r="L96">
        <v>0</v>
      </c>
      <c r="M96">
        <v>0</v>
      </c>
      <c r="N96">
        <v>0</v>
      </c>
      <c r="O96" t="s">
        <v>474</v>
      </c>
      <c r="P96" t="s">
        <v>472</v>
      </c>
    </row>
    <row r="97" spans="1:16" x14ac:dyDescent="0.25">
      <c r="A97" t="s">
        <v>88</v>
      </c>
      <c r="B97">
        <v>51776</v>
      </c>
      <c r="C97">
        <v>129525</v>
      </c>
      <c r="D97">
        <v>111724</v>
      </c>
      <c r="E97">
        <v>0</v>
      </c>
      <c r="F97">
        <v>0</v>
      </c>
      <c r="G97">
        <v>0</v>
      </c>
      <c r="H97">
        <v>37901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471</v>
      </c>
      <c r="P97" t="s">
        <v>472</v>
      </c>
    </row>
    <row r="98" spans="1:16" x14ac:dyDescent="0.25">
      <c r="A98" t="s">
        <v>171</v>
      </c>
      <c r="B98">
        <v>0</v>
      </c>
      <c r="C98">
        <v>0</v>
      </c>
      <c r="D98">
        <v>54889</v>
      </c>
      <c r="E98">
        <v>0</v>
      </c>
      <c r="F98">
        <v>0</v>
      </c>
      <c r="G98">
        <v>79426</v>
      </c>
      <c r="H98">
        <v>0</v>
      </c>
      <c r="I98">
        <v>0</v>
      </c>
      <c r="J98">
        <v>0</v>
      </c>
      <c r="K98">
        <v>33349</v>
      </c>
      <c r="L98">
        <v>0</v>
      </c>
      <c r="M98">
        <v>62499</v>
      </c>
      <c r="N98">
        <v>0</v>
      </c>
      <c r="O98" t="s">
        <v>471</v>
      </c>
      <c r="P98" t="s">
        <v>472</v>
      </c>
    </row>
    <row r="99" spans="1:16" x14ac:dyDescent="0.25">
      <c r="A99" t="s">
        <v>220</v>
      </c>
      <c r="B99">
        <v>0</v>
      </c>
      <c r="C99">
        <v>0</v>
      </c>
      <c r="D99">
        <v>0</v>
      </c>
      <c r="E99">
        <v>78223</v>
      </c>
      <c r="F99">
        <v>0</v>
      </c>
      <c r="G99">
        <v>51384</v>
      </c>
      <c r="H99">
        <v>0</v>
      </c>
      <c r="I99">
        <v>0</v>
      </c>
      <c r="J99">
        <v>0</v>
      </c>
      <c r="K99">
        <v>55672</v>
      </c>
      <c r="L99">
        <v>0</v>
      </c>
      <c r="M99">
        <v>79185</v>
      </c>
      <c r="N99">
        <v>0</v>
      </c>
      <c r="O99" t="s">
        <v>471</v>
      </c>
      <c r="P99" t="s">
        <v>472</v>
      </c>
    </row>
    <row r="100" spans="1:16" x14ac:dyDescent="0.25">
      <c r="A100" t="s">
        <v>155</v>
      </c>
      <c r="B100">
        <v>0</v>
      </c>
      <c r="C100">
        <v>24736</v>
      </c>
      <c r="D100">
        <v>0</v>
      </c>
      <c r="E100">
        <v>0</v>
      </c>
      <c r="F100">
        <v>0</v>
      </c>
      <c r="G100">
        <v>63914</v>
      </c>
      <c r="H100">
        <v>21362</v>
      </c>
      <c r="I100">
        <v>0</v>
      </c>
      <c r="J100">
        <v>13149</v>
      </c>
      <c r="K100">
        <v>0</v>
      </c>
      <c r="L100">
        <v>0</v>
      </c>
      <c r="M100">
        <v>0</v>
      </c>
      <c r="N100">
        <v>0</v>
      </c>
      <c r="O100" t="s">
        <v>474</v>
      </c>
      <c r="P100" t="s">
        <v>472</v>
      </c>
    </row>
    <row r="101" spans="1:16" x14ac:dyDescent="0.25">
      <c r="A101" t="s">
        <v>132</v>
      </c>
      <c r="B101">
        <v>0</v>
      </c>
      <c r="C101">
        <v>86872</v>
      </c>
      <c r="D101">
        <v>56274</v>
      </c>
      <c r="E101">
        <v>0</v>
      </c>
      <c r="F101">
        <v>0</v>
      </c>
      <c r="G101">
        <v>0</v>
      </c>
      <c r="H101">
        <v>172643</v>
      </c>
      <c r="I101">
        <v>59753</v>
      </c>
      <c r="J101">
        <v>0</v>
      </c>
      <c r="K101">
        <v>0</v>
      </c>
      <c r="L101">
        <v>0</v>
      </c>
      <c r="M101">
        <v>91906</v>
      </c>
      <c r="N101">
        <v>0</v>
      </c>
      <c r="O101" t="s">
        <v>471</v>
      </c>
      <c r="P101" t="s">
        <v>472</v>
      </c>
    </row>
    <row r="102" spans="1:16" x14ac:dyDescent="0.25">
      <c r="A102" t="s">
        <v>120</v>
      </c>
      <c r="B102">
        <v>0</v>
      </c>
      <c r="C102">
        <v>38844</v>
      </c>
      <c r="D102">
        <v>0</v>
      </c>
      <c r="E102">
        <v>0</v>
      </c>
      <c r="F102">
        <v>0</v>
      </c>
      <c r="G102">
        <v>165674</v>
      </c>
      <c r="H102">
        <v>174286</v>
      </c>
      <c r="I102">
        <v>0</v>
      </c>
      <c r="J102">
        <v>107741</v>
      </c>
      <c r="K102">
        <v>0</v>
      </c>
      <c r="L102">
        <v>58559</v>
      </c>
      <c r="M102">
        <v>0</v>
      </c>
      <c r="N102">
        <v>0</v>
      </c>
      <c r="O102" t="s">
        <v>471</v>
      </c>
      <c r="P102" t="s">
        <v>472</v>
      </c>
    </row>
    <row r="103" spans="1:16" x14ac:dyDescent="0.25">
      <c r="A103" t="s">
        <v>143</v>
      </c>
      <c r="B103">
        <v>0</v>
      </c>
      <c r="C103">
        <v>13457</v>
      </c>
      <c r="D103">
        <v>72266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18434</v>
      </c>
      <c r="K103">
        <v>69158</v>
      </c>
      <c r="L103">
        <v>75099</v>
      </c>
      <c r="M103">
        <v>0</v>
      </c>
      <c r="N103">
        <v>0</v>
      </c>
      <c r="O103" t="s">
        <v>471</v>
      </c>
      <c r="P103" t="s">
        <v>472</v>
      </c>
    </row>
    <row r="104" spans="1:16" x14ac:dyDescent="0.25">
      <c r="A104" t="s">
        <v>127</v>
      </c>
      <c r="B104">
        <v>0</v>
      </c>
      <c r="C104">
        <v>29487</v>
      </c>
      <c r="D104">
        <v>0</v>
      </c>
      <c r="E104">
        <v>73882</v>
      </c>
      <c r="F104">
        <v>0</v>
      </c>
      <c r="G104">
        <v>0</v>
      </c>
      <c r="H104">
        <v>0</v>
      </c>
      <c r="I104">
        <v>52188</v>
      </c>
      <c r="J104">
        <v>0</v>
      </c>
      <c r="K104">
        <v>0</v>
      </c>
      <c r="L104">
        <v>43197</v>
      </c>
      <c r="M104">
        <v>93523</v>
      </c>
      <c r="N104">
        <v>0</v>
      </c>
      <c r="O104" t="s">
        <v>471</v>
      </c>
      <c r="P104" t="s">
        <v>472</v>
      </c>
    </row>
    <row r="105" spans="1:16" x14ac:dyDescent="0.25">
      <c r="A105" t="s">
        <v>76</v>
      </c>
      <c r="B105">
        <v>146236</v>
      </c>
      <c r="C105">
        <v>0</v>
      </c>
      <c r="D105">
        <v>0</v>
      </c>
      <c r="E105">
        <v>0</v>
      </c>
      <c r="F105">
        <v>0</v>
      </c>
      <c r="G105">
        <v>54046</v>
      </c>
      <c r="H105">
        <v>0</v>
      </c>
      <c r="I105">
        <v>30781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471</v>
      </c>
      <c r="P105" t="s">
        <v>472</v>
      </c>
    </row>
    <row r="106" spans="1:16" x14ac:dyDescent="0.25">
      <c r="A106" t="s">
        <v>124</v>
      </c>
      <c r="B106">
        <v>0</v>
      </c>
      <c r="C106">
        <v>43653</v>
      </c>
      <c r="D106">
        <v>0</v>
      </c>
      <c r="E106">
        <v>0</v>
      </c>
      <c r="F106">
        <v>0</v>
      </c>
      <c r="G106">
        <v>47010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40198</v>
      </c>
      <c r="N106">
        <v>0</v>
      </c>
      <c r="O106" t="s">
        <v>474</v>
      </c>
      <c r="P106" t="s">
        <v>472</v>
      </c>
    </row>
    <row r="107" spans="1:16" x14ac:dyDescent="0.25">
      <c r="A107" t="s">
        <v>100</v>
      </c>
      <c r="B107">
        <v>41208</v>
      </c>
      <c r="C107">
        <v>0</v>
      </c>
      <c r="D107">
        <v>24896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51783</v>
      </c>
      <c r="N107">
        <v>0</v>
      </c>
      <c r="O107" t="s">
        <v>478</v>
      </c>
      <c r="P107" t="s">
        <v>472</v>
      </c>
    </row>
    <row r="108" spans="1:16" x14ac:dyDescent="0.25">
      <c r="A108" t="s">
        <v>294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11526</v>
      </c>
      <c r="H108">
        <v>45832</v>
      </c>
      <c r="I108">
        <v>0</v>
      </c>
      <c r="J108">
        <v>0</v>
      </c>
      <c r="K108">
        <v>38535</v>
      </c>
      <c r="L108">
        <v>0</v>
      </c>
      <c r="M108">
        <v>0</v>
      </c>
      <c r="N108">
        <v>0</v>
      </c>
      <c r="O108" t="s">
        <v>478</v>
      </c>
      <c r="P108" t="s">
        <v>472</v>
      </c>
    </row>
    <row r="109" spans="1:16" x14ac:dyDescent="0.25">
      <c r="A109" t="s">
        <v>75</v>
      </c>
      <c r="B109">
        <v>29443</v>
      </c>
      <c r="C109">
        <v>85183</v>
      </c>
      <c r="D109">
        <v>0</v>
      </c>
      <c r="E109">
        <v>0</v>
      </c>
      <c r="F109">
        <v>0</v>
      </c>
      <c r="G109">
        <v>0</v>
      </c>
      <c r="H109">
        <v>43477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474</v>
      </c>
      <c r="P109" t="s">
        <v>472</v>
      </c>
    </row>
    <row r="110" spans="1:16" x14ac:dyDescent="0.25">
      <c r="A110" t="s">
        <v>181</v>
      </c>
      <c r="B110">
        <v>0</v>
      </c>
      <c r="C110">
        <v>0</v>
      </c>
      <c r="D110">
        <v>162077</v>
      </c>
      <c r="E110">
        <v>0</v>
      </c>
      <c r="F110">
        <v>24784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83451</v>
      </c>
      <c r="M110">
        <v>0</v>
      </c>
      <c r="N110">
        <v>0</v>
      </c>
      <c r="O110" t="s">
        <v>471</v>
      </c>
      <c r="P110" t="s">
        <v>472</v>
      </c>
    </row>
    <row r="111" spans="1:16" x14ac:dyDescent="0.25">
      <c r="A111" t="s">
        <v>98</v>
      </c>
      <c r="B111">
        <v>70262</v>
      </c>
      <c r="C111">
        <v>0</v>
      </c>
      <c r="D111">
        <v>0</v>
      </c>
      <c r="E111">
        <v>153035</v>
      </c>
      <c r="F111">
        <v>59520</v>
      </c>
      <c r="G111">
        <v>0</v>
      </c>
      <c r="H111">
        <v>190677</v>
      </c>
      <c r="I111">
        <v>60421</v>
      </c>
      <c r="J111">
        <v>48172</v>
      </c>
      <c r="K111">
        <v>0</v>
      </c>
      <c r="L111">
        <v>0</v>
      </c>
      <c r="M111">
        <v>0</v>
      </c>
      <c r="N111">
        <v>0</v>
      </c>
      <c r="O111" t="s">
        <v>471</v>
      </c>
      <c r="P111" t="s">
        <v>472</v>
      </c>
    </row>
    <row r="112" spans="1:16" x14ac:dyDescent="0.25">
      <c r="A112" t="s">
        <v>216</v>
      </c>
      <c r="B112">
        <v>0</v>
      </c>
      <c r="C112">
        <v>0</v>
      </c>
      <c r="D112">
        <v>0</v>
      </c>
      <c r="E112">
        <v>112383</v>
      </c>
      <c r="F112">
        <v>0</v>
      </c>
      <c r="G112">
        <v>0</v>
      </c>
      <c r="H112">
        <v>0</v>
      </c>
      <c r="I112">
        <v>0</v>
      </c>
      <c r="J112">
        <v>30601</v>
      </c>
      <c r="K112">
        <v>0</v>
      </c>
      <c r="L112">
        <v>33199</v>
      </c>
      <c r="M112">
        <v>0</v>
      </c>
      <c r="N112">
        <v>0</v>
      </c>
      <c r="O112" t="s">
        <v>474</v>
      </c>
      <c r="P112" t="s">
        <v>472</v>
      </c>
    </row>
    <row r="113" spans="1:16" x14ac:dyDescent="0.25">
      <c r="A113" t="s">
        <v>182</v>
      </c>
      <c r="B113">
        <v>0</v>
      </c>
      <c r="C113">
        <v>0</v>
      </c>
      <c r="D113">
        <v>65278</v>
      </c>
      <c r="E113">
        <v>14230</v>
      </c>
      <c r="F113">
        <v>0</v>
      </c>
      <c r="G113">
        <v>88601</v>
      </c>
      <c r="H113">
        <v>48100</v>
      </c>
      <c r="I113">
        <v>20996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471</v>
      </c>
      <c r="P113" t="s">
        <v>472</v>
      </c>
    </row>
    <row r="114" spans="1:16" x14ac:dyDescent="0.25">
      <c r="A114" t="s">
        <v>51</v>
      </c>
      <c r="B114">
        <v>38184</v>
      </c>
      <c r="C114">
        <v>114747</v>
      </c>
      <c r="D114">
        <v>80382</v>
      </c>
      <c r="E114">
        <v>0</v>
      </c>
      <c r="F114">
        <v>18242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58045</v>
      </c>
      <c r="N114">
        <v>0</v>
      </c>
      <c r="O114" t="s">
        <v>471</v>
      </c>
      <c r="P114" t="s">
        <v>472</v>
      </c>
    </row>
    <row r="115" spans="1:16" x14ac:dyDescent="0.25">
      <c r="A115" t="s">
        <v>148</v>
      </c>
      <c r="B115">
        <v>0</v>
      </c>
      <c r="C115">
        <v>48754</v>
      </c>
      <c r="D115">
        <v>0</v>
      </c>
      <c r="E115">
        <v>0</v>
      </c>
      <c r="F115">
        <v>39487</v>
      </c>
      <c r="G115">
        <v>0</v>
      </c>
      <c r="H115">
        <v>0</v>
      </c>
      <c r="I115">
        <v>0</v>
      </c>
      <c r="J115">
        <v>54729</v>
      </c>
      <c r="K115">
        <v>0</v>
      </c>
      <c r="L115">
        <v>0</v>
      </c>
      <c r="M115">
        <v>0</v>
      </c>
      <c r="N115">
        <v>0</v>
      </c>
      <c r="O115" t="s">
        <v>474</v>
      </c>
      <c r="P115" t="s">
        <v>472</v>
      </c>
    </row>
    <row r="116" spans="1:16" x14ac:dyDescent="0.25">
      <c r="A116" t="s">
        <v>74</v>
      </c>
      <c r="B116">
        <v>71018</v>
      </c>
      <c r="C116">
        <v>0</v>
      </c>
      <c r="D116">
        <v>62332</v>
      </c>
      <c r="E116">
        <v>68065</v>
      </c>
      <c r="F116">
        <v>36532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471</v>
      </c>
      <c r="P116" t="s">
        <v>472</v>
      </c>
    </row>
    <row r="117" spans="1:16" x14ac:dyDescent="0.25">
      <c r="A117" t="s">
        <v>55</v>
      </c>
      <c r="B117">
        <v>41519</v>
      </c>
      <c r="C117">
        <v>0</v>
      </c>
      <c r="D117">
        <v>0</v>
      </c>
      <c r="E117">
        <v>0</v>
      </c>
      <c r="F117">
        <v>0</v>
      </c>
      <c r="G117">
        <v>21382</v>
      </c>
      <c r="H117">
        <v>0</v>
      </c>
      <c r="I117">
        <v>89713</v>
      </c>
      <c r="J117">
        <v>110608</v>
      </c>
      <c r="K117">
        <v>0</v>
      </c>
      <c r="L117">
        <v>0</v>
      </c>
      <c r="M117">
        <v>66668</v>
      </c>
      <c r="N117">
        <v>0</v>
      </c>
      <c r="O117" t="s">
        <v>471</v>
      </c>
      <c r="P117" t="s">
        <v>472</v>
      </c>
    </row>
    <row r="118" spans="1:16" x14ac:dyDescent="0.25">
      <c r="A118" t="s">
        <v>319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96206</v>
      </c>
      <c r="I118">
        <v>23859</v>
      </c>
      <c r="J118">
        <v>20268</v>
      </c>
      <c r="K118">
        <v>18405</v>
      </c>
      <c r="L118">
        <v>10381</v>
      </c>
      <c r="M118">
        <v>54427</v>
      </c>
      <c r="N118">
        <v>0</v>
      </c>
      <c r="O118" t="s">
        <v>474</v>
      </c>
      <c r="P118" t="s">
        <v>472</v>
      </c>
    </row>
    <row r="119" spans="1:16" x14ac:dyDescent="0.25">
      <c r="A119" t="s">
        <v>47</v>
      </c>
      <c r="B119">
        <v>175725</v>
      </c>
      <c r="C119">
        <v>0</v>
      </c>
      <c r="D119">
        <v>28243</v>
      </c>
      <c r="E119">
        <v>0</v>
      </c>
      <c r="F119">
        <v>148976</v>
      </c>
      <c r="G119">
        <v>79058</v>
      </c>
      <c r="H119">
        <v>73702</v>
      </c>
      <c r="I119">
        <v>0</v>
      </c>
      <c r="J119">
        <v>0</v>
      </c>
      <c r="K119">
        <v>0</v>
      </c>
      <c r="L119">
        <v>0</v>
      </c>
      <c r="M119">
        <v>99619</v>
      </c>
      <c r="N119">
        <v>0</v>
      </c>
      <c r="O119" t="s">
        <v>471</v>
      </c>
      <c r="P119" t="s">
        <v>472</v>
      </c>
    </row>
    <row r="120" spans="1:16" x14ac:dyDescent="0.25">
      <c r="A120" t="s">
        <v>35</v>
      </c>
      <c r="B120">
        <v>81268</v>
      </c>
      <c r="C120">
        <v>91649</v>
      </c>
      <c r="D120">
        <v>123919</v>
      </c>
      <c r="E120">
        <v>0</v>
      </c>
      <c r="F120">
        <v>0</v>
      </c>
      <c r="G120">
        <v>83530</v>
      </c>
      <c r="H120">
        <v>0</v>
      </c>
      <c r="I120">
        <v>34835</v>
      </c>
      <c r="J120">
        <v>49480</v>
      </c>
      <c r="K120">
        <v>118223</v>
      </c>
      <c r="L120">
        <v>45311</v>
      </c>
      <c r="M120">
        <v>0</v>
      </c>
      <c r="N120">
        <v>0</v>
      </c>
      <c r="O120" t="s">
        <v>471</v>
      </c>
      <c r="P120" t="s">
        <v>472</v>
      </c>
    </row>
    <row r="121" spans="1:16" x14ac:dyDescent="0.25">
      <c r="A121" t="s">
        <v>58</v>
      </c>
      <c r="B121">
        <v>71216</v>
      </c>
      <c r="C121">
        <v>0</v>
      </c>
      <c r="D121">
        <v>0</v>
      </c>
      <c r="E121">
        <v>0</v>
      </c>
      <c r="F121">
        <v>85152</v>
      </c>
      <c r="G121">
        <v>0</v>
      </c>
      <c r="H121">
        <v>0</v>
      </c>
      <c r="I121">
        <v>81789</v>
      </c>
      <c r="J121">
        <v>0</v>
      </c>
      <c r="K121">
        <v>62582</v>
      </c>
      <c r="L121">
        <v>0</v>
      </c>
      <c r="M121">
        <v>0</v>
      </c>
      <c r="N121">
        <v>0</v>
      </c>
      <c r="O121" t="s">
        <v>471</v>
      </c>
      <c r="P121" t="s">
        <v>472</v>
      </c>
    </row>
    <row r="122" spans="1:16" x14ac:dyDescent="0.25">
      <c r="A122" t="s">
        <v>287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89651</v>
      </c>
      <c r="H122">
        <v>0</v>
      </c>
      <c r="I122">
        <v>0</v>
      </c>
      <c r="J122">
        <v>0</v>
      </c>
      <c r="K122">
        <v>75381</v>
      </c>
      <c r="L122">
        <v>75460</v>
      </c>
      <c r="M122">
        <v>28606</v>
      </c>
      <c r="N122">
        <v>0</v>
      </c>
      <c r="O122" t="s">
        <v>471</v>
      </c>
      <c r="P122" t="s">
        <v>472</v>
      </c>
    </row>
    <row r="123" spans="1:16" x14ac:dyDescent="0.25">
      <c r="A123" t="s">
        <v>101</v>
      </c>
      <c r="B123">
        <v>0</v>
      </c>
      <c r="C123">
        <v>154124</v>
      </c>
      <c r="D123">
        <v>19972</v>
      </c>
      <c r="E123">
        <v>0</v>
      </c>
      <c r="F123">
        <v>0</v>
      </c>
      <c r="G123">
        <v>21249</v>
      </c>
      <c r="H123">
        <v>0</v>
      </c>
      <c r="I123">
        <v>133791</v>
      </c>
      <c r="J123">
        <v>14276</v>
      </c>
      <c r="K123">
        <v>40101</v>
      </c>
      <c r="L123">
        <v>0</v>
      </c>
      <c r="M123">
        <v>0</v>
      </c>
      <c r="N123">
        <v>0</v>
      </c>
      <c r="O123" t="s">
        <v>471</v>
      </c>
      <c r="P123" t="s">
        <v>472</v>
      </c>
    </row>
    <row r="124" spans="1:16" x14ac:dyDescent="0.25">
      <c r="A124" t="s">
        <v>45</v>
      </c>
      <c r="B124">
        <v>24177</v>
      </c>
      <c r="C124">
        <v>84544</v>
      </c>
      <c r="D124">
        <v>0</v>
      </c>
      <c r="E124">
        <v>0</v>
      </c>
      <c r="F124">
        <v>79184</v>
      </c>
      <c r="G124">
        <v>86652</v>
      </c>
      <c r="H124">
        <v>0</v>
      </c>
      <c r="I124">
        <v>0</v>
      </c>
      <c r="J124">
        <v>0</v>
      </c>
      <c r="K124">
        <v>0</v>
      </c>
      <c r="L124">
        <v>100752</v>
      </c>
      <c r="M124">
        <v>0</v>
      </c>
      <c r="N124">
        <v>0</v>
      </c>
      <c r="O124" t="s">
        <v>471</v>
      </c>
      <c r="P124" t="s">
        <v>472</v>
      </c>
    </row>
    <row r="125" spans="1:16" x14ac:dyDescent="0.25">
      <c r="A125" t="s">
        <v>307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57668</v>
      </c>
      <c r="H125">
        <v>0</v>
      </c>
      <c r="I125">
        <v>53730</v>
      </c>
      <c r="J125">
        <v>0</v>
      </c>
      <c r="K125">
        <v>0</v>
      </c>
      <c r="L125">
        <v>49360</v>
      </c>
      <c r="M125">
        <v>0</v>
      </c>
      <c r="N125">
        <v>0</v>
      </c>
      <c r="O125" t="s">
        <v>474</v>
      </c>
      <c r="P125" t="s">
        <v>472</v>
      </c>
    </row>
    <row r="126" spans="1:16" x14ac:dyDescent="0.25">
      <c r="A126" t="s">
        <v>336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21847</v>
      </c>
      <c r="I126">
        <v>0</v>
      </c>
      <c r="J126">
        <v>0</v>
      </c>
      <c r="K126">
        <v>0</v>
      </c>
      <c r="L126">
        <v>0</v>
      </c>
      <c r="M126">
        <v>179952</v>
      </c>
      <c r="N126">
        <v>0</v>
      </c>
      <c r="O126" t="s">
        <v>474</v>
      </c>
      <c r="P126" t="s">
        <v>472</v>
      </c>
    </row>
    <row r="127" spans="1:16" x14ac:dyDescent="0.25">
      <c r="A127" t="s">
        <v>274</v>
      </c>
      <c r="B127">
        <v>0</v>
      </c>
      <c r="C127">
        <v>0</v>
      </c>
      <c r="D127">
        <v>0</v>
      </c>
      <c r="E127">
        <v>0</v>
      </c>
      <c r="F127">
        <v>108423</v>
      </c>
      <c r="G127">
        <v>0</v>
      </c>
      <c r="H127">
        <v>43288</v>
      </c>
      <c r="I127">
        <v>56449</v>
      </c>
      <c r="J127">
        <v>74686</v>
      </c>
      <c r="K127">
        <v>37128</v>
      </c>
      <c r="L127">
        <v>0</v>
      </c>
      <c r="M127">
        <v>0</v>
      </c>
      <c r="N127">
        <v>0</v>
      </c>
      <c r="O127" t="s">
        <v>471</v>
      </c>
      <c r="P127" t="s">
        <v>472</v>
      </c>
    </row>
    <row r="128" spans="1:16" x14ac:dyDescent="0.25">
      <c r="A128" t="s">
        <v>110</v>
      </c>
      <c r="B128">
        <v>0</v>
      </c>
      <c r="C128">
        <v>67283</v>
      </c>
      <c r="D128">
        <v>122733</v>
      </c>
      <c r="E128">
        <v>50182</v>
      </c>
      <c r="F128">
        <v>70083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471</v>
      </c>
      <c r="P128" t="s">
        <v>472</v>
      </c>
    </row>
    <row r="129" spans="1:16" x14ac:dyDescent="0.25">
      <c r="A129" t="s">
        <v>91</v>
      </c>
      <c r="B129">
        <v>16470</v>
      </c>
      <c r="C129">
        <v>60470</v>
      </c>
      <c r="D129">
        <v>0</v>
      </c>
      <c r="E129">
        <v>89831</v>
      </c>
      <c r="F129">
        <v>17985</v>
      </c>
      <c r="G129">
        <v>0</v>
      </c>
      <c r="H129">
        <v>77642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471</v>
      </c>
      <c r="P129" t="s">
        <v>472</v>
      </c>
    </row>
    <row r="130" spans="1:16" x14ac:dyDescent="0.25">
      <c r="A130" t="s">
        <v>278</v>
      </c>
      <c r="B130">
        <v>0</v>
      </c>
      <c r="C130">
        <v>0</v>
      </c>
      <c r="D130">
        <v>0</v>
      </c>
      <c r="E130">
        <v>0</v>
      </c>
      <c r="F130">
        <v>73054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478</v>
      </c>
      <c r="P130" t="s">
        <v>472</v>
      </c>
    </row>
    <row r="131" spans="1:16" x14ac:dyDescent="0.25">
      <c r="A131" t="s">
        <v>266</v>
      </c>
      <c r="B131">
        <v>0</v>
      </c>
      <c r="C131">
        <v>0</v>
      </c>
      <c r="D131">
        <v>0</v>
      </c>
      <c r="E131">
        <v>0</v>
      </c>
      <c r="F131">
        <v>43308</v>
      </c>
      <c r="G131">
        <v>75168</v>
      </c>
      <c r="H131">
        <v>92745</v>
      </c>
      <c r="I131">
        <v>88348</v>
      </c>
      <c r="J131">
        <v>0</v>
      </c>
      <c r="K131">
        <v>0</v>
      </c>
      <c r="L131">
        <v>90039</v>
      </c>
      <c r="M131">
        <v>92451</v>
      </c>
      <c r="N131">
        <v>0</v>
      </c>
      <c r="O131" t="s">
        <v>471</v>
      </c>
      <c r="P131" t="s">
        <v>472</v>
      </c>
    </row>
    <row r="132" spans="1:16" x14ac:dyDescent="0.25">
      <c r="A132" t="s">
        <v>44</v>
      </c>
      <c r="B132">
        <v>38155</v>
      </c>
      <c r="C132">
        <v>0</v>
      </c>
      <c r="D132">
        <v>74351</v>
      </c>
      <c r="E132">
        <v>74728</v>
      </c>
      <c r="F132">
        <v>0</v>
      </c>
      <c r="G132">
        <v>0</v>
      </c>
      <c r="H132">
        <v>0</v>
      </c>
      <c r="I132">
        <v>98190</v>
      </c>
      <c r="J132">
        <v>133609</v>
      </c>
      <c r="K132">
        <v>0</v>
      </c>
      <c r="L132">
        <v>0</v>
      </c>
      <c r="M132">
        <v>70697</v>
      </c>
      <c r="N132">
        <v>0</v>
      </c>
      <c r="O132" t="s">
        <v>471</v>
      </c>
      <c r="P132" t="s">
        <v>472</v>
      </c>
    </row>
    <row r="133" spans="1:16" x14ac:dyDescent="0.25">
      <c r="A133" t="s">
        <v>25</v>
      </c>
      <c r="B133">
        <v>87463</v>
      </c>
      <c r="C133">
        <v>0</v>
      </c>
      <c r="D133">
        <v>13269</v>
      </c>
      <c r="E133">
        <v>76331</v>
      </c>
      <c r="F133">
        <v>0</v>
      </c>
      <c r="G133">
        <v>0</v>
      </c>
      <c r="H133">
        <v>13313</v>
      </c>
      <c r="I133">
        <v>0</v>
      </c>
      <c r="J133">
        <v>0</v>
      </c>
      <c r="K133">
        <v>84883</v>
      </c>
      <c r="L133">
        <v>52335</v>
      </c>
      <c r="M133">
        <v>0</v>
      </c>
      <c r="N133">
        <v>0</v>
      </c>
      <c r="O133" t="s">
        <v>471</v>
      </c>
      <c r="P133" t="s">
        <v>472</v>
      </c>
    </row>
    <row r="134" spans="1:16" x14ac:dyDescent="0.25">
      <c r="A134" t="s">
        <v>241</v>
      </c>
      <c r="B134">
        <v>0</v>
      </c>
      <c r="C134">
        <v>0</v>
      </c>
      <c r="D134">
        <v>0</v>
      </c>
      <c r="E134">
        <v>51582</v>
      </c>
      <c r="F134">
        <v>0</v>
      </c>
      <c r="G134">
        <v>0</v>
      </c>
      <c r="H134">
        <v>62295</v>
      </c>
      <c r="I134">
        <v>0</v>
      </c>
      <c r="J134">
        <v>70059</v>
      </c>
      <c r="K134">
        <v>0</v>
      </c>
      <c r="L134">
        <v>0</v>
      </c>
      <c r="M134">
        <v>0</v>
      </c>
      <c r="N134">
        <v>0</v>
      </c>
      <c r="O134" t="s">
        <v>474</v>
      </c>
      <c r="P134" t="s">
        <v>472</v>
      </c>
    </row>
    <row r="135" spans="1:16" x14ac:dyDescent="0.25">
      <c r="A135" t="s">
        <v>144</v>
      </c>
      <c r="B135">
        <v>0</v>
      </c>
      <c r="C135">
        <v>18331</v>
      </c>
      <c r="D135">
        <v>85589</v>
      </c>
      <c r="E135">
        <v>0</v>
      </c>
      <c r="F135">
        <v>43217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45801</v>
      </c>
      <c r="M135">
        <v>0</v>
      </c>
      <c r="N135">
        <v>0</v>
      </c>
      <c r="O135" t="s">
        <v>474</v>
      </c>
      <c r="P135" t="s">
        <v>472</v>
      </c>
    </row>
    <row r="136" spans="1:16" x14ac:dyDescent="0.25">
      <c r="A136" t="s">
        <v>97</v>
      </c>
      <c r="B136">
        <v>95253</v>
      </c>
      <c r="C136">
        <v>0</v>
      </c>
      <c r="D136">
        <v>0</v>
      </c>
      <c r="E136">
        <v>0</v>
      </c>
      <c r="F136">
        <v>0</v>
      </c>
      <c r="G136">
        <v>38875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474</v>
      </c>
      <c r="P136" t="s">
        <v>472</v>
      </c>
    </row>
    <row r="137" spans="1:16" x14ac:dyDescent="0.25">
      <c r="A137" t="s">
        <v>177</v>
      </c>
      <c r="B137">
        <v>0</v>
      </c>
      <c r="C137">
        <v>0</v>
      </c>
      <c r="D137">
        <v>42281</v>
      </c>
      <c r="E137">
        <v>93020</v>
      </c>
      <c r="F137">
        <v>54430</v>
      </c>
      <c r="G137">
        <v>0</v>
      </c>
      <c r="H137">
        <v>31080</v>
      </c>
      <c r="I137">
        <v>94037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471</v>
      </c>
      <c r="P137" t="s">
        <v>472</v>
      </c>
    </row>
    <row r="138" spans="1:16" x14ac:dyDescent="0.25">
      <c r="A138" t="s">
        <v>142</v>
      </c>
      <c r="B138">
        <v>0</v>
      </c>
      <c r="C138">
        <v>57563</v>
      </c>
      <c r="D138">
        <v>0</v>
      </c>
      <c r="E138">
        <v>0</v>
      </c>
      <c r="F138">
        <v>29595</v>
      </c>
      <c r="G138">
        <v>0</v>
      </c>
      <c r="H138">
        <v>0</v>
      </c>
      <c r="I138">
        <v>0</v>
      </c>
      <c r="J138">
        <v>13819</v>
      </c>
      <c r="K138">
        <v>0</v>
      </c>
      <c r="L138">
        <v>0</v>
      </c>
      <c r="M138">
        <v>65313</v>
      </c>
      <c r="N138">
        <v>0</v>
      </c>
      <c r="O138" t="s">
        <v>474</v>
      </c>
      <c r="P138" t="s">
        <v>472</v>
      </c>
    </row>
    <row r="139" spans="1:16" x14ac:dyDescent="0.25">
      <c r="A139" t="s">
        <v>297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15953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478</v>
      </c>
      <c r="P139" t="s">
        <v>472</v>
      </c>
    </row>
    <row r="140" spans="1:16" x14ac:dyDescent="0.25">
      <c r="A140" t="s">
        <v>396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10858</v>
      </c>
      <c r="L140">
        <v>94828</v>
      </c>
      <c r="M140">
        <v>214632</v>
      </c>
      <c r="N140">
        <v>0</v>
      </c>
      <c r="O140" t="s">
        <v>471</v>
      </c>
      <c r="P140" t="s">
        <v>472</v>
      </c>
    </row>
    <row r="141" spans="1:16" x14ac:dyDescent="0.25">
      <c r="A141" t="s">
        <v>53</v>
      </c>
      <c r="B141">
        <v>151967</v>
      </c>
      <c r="C141">
        <v>114388</v>
      </c>
      <c r="D141">
        <v>82180</v>
      </c>
      <c r="E141">
        <v>0</v>
      </c>
      <c r="F141">
        <v>0</v>
      </c>
      <c r="G141">
        <v>109155</v>
      </c>
      <c r="H141">
        <v>0</v>
      </c>
      <c r="I141">
        <v>0</v>
      </c>
      <c r="J141">
        <v>65547</v>
      </c>
      <c r="K141">
        <v>223337</v>
      </c>
      <c r="L141">
        <v>98650</v>
      </c>
      <c r="M141">
        <v>111806</v>
      </c>
      <c r="N141">
        <v>0</v>
      </c>
      <c r="O141" t="s">
        <v>471</v>
      </c>
      <c r="P141" t="s">
        <v>472</v>
      </c>
    </row>
    <row r="142" spans="1:16" x14ac:dyDescent="0.25">
      <c r="A142" t="s">
        <v>445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42749</v>
      </c>
      <c r="N142">
        <v>0</v>
      </c>
      <c r="O142" t="s">
        <v>478</v>
      </c>
      <c r="P142" t="s">
        <v>472</v>
      </c>
    </row>
    <row r="143" spans="1:16" x14ac:dyDescent="0.25">
      <c r="A143" t="s">
        <v>50</v>
      </c>
      <c r="B143">
        <v>149406</v>
      </c>
      <c r="C143">
        <v>53224</v>
      </c>
      <c r="D143">
        <v>0</v>
      </c>
      <c r="E143">
        <v>0</v>
      </c>
      <c r="F143">
        <v>0</v>
      </c>
      <c r="G143">
        <v>0</v>
      </c>
      <c r="H143">
        <v>46118</v>
      </c>
      <c r="I143">
        <v>0</v>
      </c>
      <c r="J143">
        <v>46438</v>
      </c>
      <c r="K143">
        <v>0</v>
      </c>
      <c r="L143">
        <v>0</v>
      </c>
      <c r="M143">
        <v>0</v>
      </c>
      <c r="N143">
        <v>0</v>
      </c>
      <c r="O143" t="s">
        <v>471</v>
      </c>
      <c r="P143" t="s">
        <v>472</v>
      </c>
    </row>
    <row r="144" spans="1:16" x14ac:dyDescent="0.25">
      <c r="A144" t="s">
        <v>212</v>
      </c>
      <c r="B144">
        <v>0</v>
      </c>
      <c r="C144">
        <v>0</v>
      </c>
      <c r="D144">
        <v>0</v>
      </c>
      <c r="E144">
        <v>25641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43227</v>
      </c>
      <c r="N144">
        <v>0</v>
      </c>
      <c r="O144" t="s">
        <v>478</v>
      </c>
      <c r="P144" t="s">
        <v>472</v>
      </c>
    </row>
    <row r="145" spans="1:16" x14ac:dyDescent="0.25">
      <c r="A145" t="s">
        <v>70</v>
      </c>
      <c r="B145">
        <v>57831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15723</v>
      </c>
      <c r="I145">
        <v>0</v>
      </c>
      <c r="J145">
        <v>78666</v>
      </c>
      <c r="K145">
        <v>0</v>
      </c>
      <c r="L145">
        <v>65462</v>
      </c>
      <c r="M145">
        <v>0</v>
      </c>
      <c r="N145">
        <v>0</v>
      </c>
      <c r="O145" t="s">
        <v>474</v>
      </c>
      <c r="P145" t="s">
        <v>472</v>
      </c>
    </row>
    <row r="146" spans="1:16" x14ac:dyDescent="0.25">
      <c r="A146" t="s">
        <v>112</v>
      </c>
      <c r="B146">
        <v>0</v>
      </c>
      <c r="C146">
        <v>93197</v>
      </c>
      <c r="D146">
        <v>0</v>
      </c>
      <c r="E146">
        <v>43107</v>
      </c>
      <c r="F146">
        <v>0</v>
      </c>
      <c r="G146">
        <v>0</v>
      </c>
      <c r="H146">
        <v>43277</v>
      </c>
      <c r="I146">
        <v>23608</v>
      </c>
      <c r="J146">
        <v>84845</v>
      </c>
      <c r="K146">
        <v>0</v>
      </c>
      <c r="L146">
        <v>0</v>
      </c>
      <c r="M146">
        <v>50305</v>
      </c>
      <c r="N146">
        <v>0</v>
      </c>
      <c r="O146" t="s">
        <v>471</v>
      </c>
      <c r="P146" t="s">
        <v>472</v>
      </c>
    </row>
    <row r="147" spans="1:16" x14ac:dyDescent="0.25">
      <c r="A147" t="s">
        <v>106</v>
      </c>
      <c r="B147">
        <v>0</v>
      </c>
      <c r="C147">
        <v>20248</v>
      </c>
      <c r="D147">
        <v>0</v>
      </c>
      <c r="E147">
        <v>66402</v>
      </c>
      <c r="F147">
        <v>81864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474</v>
      </c>
      <c r="P147" t="s">
        <v>472</v>
      </c>
    </row>
    <row r="148" spans="1:16" x14ac:dyDescent="0.25">
      <c r="A148" t="s">
        <v>190</v>
      </c>
      <c r="B148">
        <v>0</v>
      </c>
      <c r="C148">
        <v>0</v>
      </c>
      <c r="D148">
        <v>28924</v>
      </c>
      <c r="E148">
        <v>0</v>
      </c>
      <c r="F148">
        <v>0</v>
      </c>
      <c r="G148">
        <v>24162</v>
      </c>
      <c r="H148">
        <v>0</v>
      </c>
      <c r="I148">
        <v>0</v>
      </c>
      <c r="J148">
        <v>85329</v>
      </c>
      <c r="K148">
        <v>49332</v>
      </c>
      <c r="L148">
        <v>0</v>
      </c>
      <c r="M148">
        <v>0</v>
      </c>
      <c r="N148">
        <v>0</v>
      </c>
      <c r="O148" t="s">
        <v>474</v>
      </c>
      <c r="P148" t="s">
        <v>472</v>
      </c>
    </row>
    <row r="149" spans="1:16" x14ac:dyDescent="0.25">
      <c r="A149" t="s">
        <v>244</v>
      </c>
      <c r="B149">
        <v>0</v>
      </c>
      <c r="C149">
        <v>0</v>
      </c>
      <c r="D149">
        <v>0</v>
      </c>
      <c r="E149">
        <v>73979</v>
      </c>
      <c r="F149">
        <v>20342</v>
      </c>
      <c r="G149">
        <v>138826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471</v>
      </c>
      <c r="P149" t="s">
        <v>472</v>
      </c>
    </row>
    <row r="150" spans="1:16" x14ac:dyDescent="0.25">
      <c r="A150" t="s">
        <v>21</v>
      </c>
      <c r="B150">
        <v>96127</v>
      </c>
      <c r="C150">
        <v>0</v>
      </c>
      <c r="D150">
        <v>15568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43792</v>
      </c>
      <c r="K150">
        <v>111715</v>
      </c>
      <c r="L150">
        <v>0</v>
      </c>
      <c r="M150">
        <v>0</v>
      </c>
      <c r="N150">
        <v>0</v>
      </c>
      <c r="O150" t="s">
        <v>471</v>
      </c>
      <c r="P150" t="s">
        <v>472</v>
      </c>
    </row>
    <row r="151" spans="1:16" x14ac:dyDescent="0.25">
      <c r="A151" t="s">
        <v>392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55148</v>
      </c>
      <c r="L151">
        <v>36611</v>
      </c>
      <c r="M151">
        <v>0</v>
      </c>
      <c r="N151">
        <v>0</v>
      </c>
      <c r="O151" t="s">
        <v>478</v>
      </c>
      <c r="P151" t="s">
        <v>472</v>
      </c>
    </row>
    <row r="152" spans="1:16" x14ac:dyDescent="0.25">
      <c r="A152" t="s">
        <v>42</v>
      </c>
      <c r="B152">
        <v>14427</v>
      </c>
      <c r="C152">
        <v>0</v>
      </c>
      <c r="D152">
        <v>46700</v>
      </c>
      <c r="E152">
        <v>0</v>
      </c>
      <c r="F152">
        <v>96261</v>
      </c>
      <c r="G152">
        <v>34584</v>
      </c>
      <c r="H152">
        <v>0</v>
      </c>
      <c r="I152">
        <v>0</v>
      </c>
      <c r="J152">
        <v>84838</v>
      </c>
      <c r="K152">
        <v>26537</v>
      </c>
      <c r="L152">
        <v>0</v>
      </c>
      <c r="M152">
        <v>27053</v>
      </c>
      <c r="N152">
        <v>0</v>
      </c>
      <c r="O152" t="s">
        <v>471</v>
      </c>
      <c r="P152" t="s">
        <v>472</v>
      </c>
    </row>
    <row r="153" spans="1:16" x14ac:dyDescent="0.25">
      <c r="A153" t="s">
        <v>116</v>
      </c>
      <c r="B153">
        <v>0</v>
      </c>
      <c r="C153">
        <v>54276</v>
      </c>
      <c r="D153">
        <v>42285</v>
      </c>
      <c r="E153">
        <v>0</v>
      </c>
      <c r="F153">
        <v>66111</v>
      </c>
      <c r="G153">
        <v>0</v>
      </c>
      <c r="H153">
        <v>103903</v>
      </c>
      <c r="I153">
        <v>85187</v>
      </c>
      <c r="J153">
        <v>65887</v>
      </c>
      <c r="K153">
        <v>0</v>
      </c>
      <c r="L153">
        <v>0</v>
      </c>
      <c r="M153">
        <v>0</v>
      </c>
      <c r="N153">
        <v>0</v>
      </c>
      <c r="O153" t="s">
        <v>471</v>
      </c>
      <c r="P153" t="s">
        <v>472</v>
      </c>
    </row>
    <row r="154" spans="1:16" x14ac:dyDescent="0.25">
      <c r="A154" t="s">
        <v>186</v>
      </c>
      <c r="B154">
        <v>0</v>
      </c>
      <c r="C154">
        <v>0</v>
      </c>
      <c r="D154">
        <v>72508</v>
      </c>
      <c r="E154">
        <v>0</v>
      </c>
      <c r="F154">
        <v>0</v>
      </c>
      <c r="G154">
        <v>0</v>
      </c>
      <c r="H154">
        <v>0</v>
      </c>
      <c r="I154">
        <v>90177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474</v>
      </c>
      <c r="P154" t="s">
        <v>472</v>
      </c>
    </row>
    <row r="155" spans="1:16" x14ac:dyDescent="0.25">
      <c r="A155" t="s">
        <v>286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43744</v>
      </c>
      <c r="H155">
        <v>27568</v>
      </c>
      <c r="I155">
        <v>87904</v>
      </c>
      <c r="J155">
        <v>0</v>
      </c>
      <c r="K155">
        <v>0</v>
      </c>
      <c r="L155">
        <v>65539</v>
      </c>
      <c r="M155">
        <v>0</v>
      </c>
      <c r="N155">
        <v>0</v>
      </c>
      <c r="O155" t="s">
        <v>471</v>
      </c>
      <c r="P155" t="s">
        <v>472</v>
      </c>
    </row>
    <row r="156" spans="1:16" x14ac:dyDescent="0.25">
      <c r="A156" t="s">
        <v>26</v>
      </c>
      <c r="B156">
        <v>81333</v>
      </c>
      <c r="C156">
        <v>209758</v>
      </c>
      <c r="D156">
        <v>43730</v>
      </c>
      <c r="E156">
        <v>88120</v>
      </c>
      <c r="F156">
        <v>0</v>
      </c>
      <c r="G156">
        <v>82646</v>
      </c>
      <c r="H156">
        <v>0</v>
      </c>
      <c r="I156">
        <v>0</v>
      </c>
      <c r="J156">
        <v>0</v>
      </c>
      <c r="K156">
        <v>28153</v>
      </c>
      <c r="L156">
        <v>0</v>
      </c>
      <c r="M156">
        <v>20720</v>
      </c>
      <c r="N156">
        <v>0</v>
      </c>
      <c r="O156" t="s">
        <v>471</v>
      </c>
      <c r="P156" t="s">
        <v>472</v>
      </c>
    </row>
    <row r="157" spans="1:16" x14ac:dyDescent="0.25">
      <c r="A157" t="s">
        <v>89</v>
      </c>
      <c r="B157">
        <v>21510</v>
      </c>
      <c r="C157">
        <v>0</v>
      </c>
      <c r="D157">
        <v>158496</v>
      </c>
      <c r="E157">
        <v>162836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23001</v>
      </c>
      <c r="L157">
        <v>94599</v>
      </c>
      <c r="M157">
        <v>0</v>
      </c>
      <c r="N157">
        <v>0</v>
      </c>
      <c r="O157" t="s">
        <v>471</v>
      </c>
      <c r="P157" t="s">
        <v>472</v>
      </c>
    </row>
    <row r="158" spans="1:16" x14ac:dyDescent="0.25">
      <c r="A158" t="s">
        <v>173</v>
      </c>
      <c r="B158">
        <v>0</v>
      </c>
      <c r="C158">
        <v>0</v>
      </c>
      <c r="D158">
        <v>93535</v>
      </c>
      <c r="E158">
        <v>72215</v>
      </c>
      <c r="F158">
        <v>162100</v>
      </c>
      <c r="G158">
        <v>54038</v>
      </c>
      <c r="H158">
        <v>31461</v>
      </c>
      <c r="I158">
        <v>176184</v>
      </c>
      <c r="J158">
        <v>275866</v>
      </c>
      <c r="K158">
        <v>0</v>
      </c>
      <c r="L158">
        <v>238062</v>
      </c>
      <c r="M158">
        <v>132053</v>
      </c>
      <c r="N158">
        <v>0</v>
      </c>
      <c r="O158" t="s">
        <v>471</v>
      </c>
      <c r="P158" t="s">
        <v>472</v>
      </c>
    </row>
    <row r="159" spans="1:16" x14ac:dyDescent="0.25">
      <c r="A159" t="s">
        <v>188</v>
      </c>
      <c r="B159">
        <v>0</v>
      </c>
      <c r="C159">
        <v>0</v>
      </c>
      <c r="D159">
        <v>82828</v>
      </c>
      <c r="E159">
        <v>0</v>
      </c>
      <c r="F159">
        <v>0</v>
      </c>
      <c r="G159">
        <v>0</v>
      </c>
      <c r="H159">
        <v>43681</v>
      </c>
      <c r="I159">
        <v>86335</v>
      </c>
      <c r="J159">
        <v>0</v>
      </c>
      <c r="K159">
        <v>57544</v>
      </c>
      <c r="L159">
        <v>68619</v>
      </c>
      <c r="M159">
        <v>0</v>
      </c>
      <c r="N159">
        <v>0</v>
      </c>
      <c r="O159" t="s">
        <v>471</v>
      </c>
      <c r="P159" t="s">
        <v>472</v>
      </c>
    </row>
    <row r="160" spans="1:16" x14ac:dyDescent="0.25">
      <c r="A160" t="s">
        <v>125</v>
      </c>
      <c r="B160">
        <v>0</v>
      </c>
      <c r="C160">
        <v>42835</v>
      </c>
      <c r="D160">
        <v>0</v>
      </c>
      <c r="E160">
        <v>0</v>
      </c>
      <c r="F160">
        <v>15123</v>
      </c>
      <c r="G160">
        <v>39452</v>
      </c>
      <c r="H160">
        <v>0</v>
      </c>
      <c r="I160">
        <v>0</v>
      </c>
      <c r="J160">
        <v>71179</v>
      </c>
      <c r="K160">
        <v>0</v>
      </c>
      <c r="L160">
        <v>0</v>
      </c>
      <c r="M160">
        <v>0</v>
      </c>
      <c r="N160">
        <v>0</v>
      </c>
      <c r="O160" t="s">
        <v>474</v>
      </c>
      <c r="P160" t="s">
        <v>472</v>
      </c>
    </row>
    <row r="161" spans="1:16" x14ac:dyDescent="0.25">
      <c r="A161" t="s">
        <v>15</v>
      </c>
      <c r="B161">
        <v>67588</v>
      </c>
      <c r="C161">
        <v>0</v>
      </c>
      <c r="D161">
        <v>0</v>
      </c>
      <c r="E161">
        <v>43448</v>
      </c>
      <c r="F161">
        <v>0</v>
      </c>
      <c r="G161">
        <v>0</v>
      </c>
      <c r="H161">
        <v>0</v>
      </c>
      <c r="I161">
        <v>74519</v>
      </c>
      <c r="J161">
        <v>0</v>
      </c>
      <c r="K161">
        <v>0</v>
      </c>
      <c r="L161">
        <v>162740</v>
      </c>
      <c r="M161">
        <v>0</v>
      </c>
      <c r="N161">
        <v>0</v>
      </c>
      <c r="O161" t="s">
        <v>471</v>
      </c>
      <c r="P161" t="s">
        <v>472</v>
      </c>
    </row>
    <row r="162" spans="1:16" x14ac:dyDescent="0.25">
      <c r="A162" t="s">
        <v>279</v>
      </c>
      <c r="B162">
        <v>0</v>
      </c>
      <c r="C162">
        <v>0</v>
      </c>
      <c r="D162">
        <v>0</v>
      </c>
      <c r="E162">
        <v>0</v>
      </c>
      <c r="F162">
        <v>76727</v>
      </c>
      <c r="G162">
        <v>0</v>
      </c>
      <c r="H162">
        <v>0</v>
      </c>
      <c r="I162">
        <v>68259</v>
      </c>
      <c r="J162">
        <v>67515</v>
      </c>
      <c r="K162">
        <v>0</v>
      </c>
      <c r="L162">
        <v>0</v>
      </c>
      <c r="M162">
        <v>30425</v>
      </c>
      <c r="N162">
        <v>0</v>
      </c>
      <c r="O162" t="s">
        <v>471</v>
      </c>
      <c r="P162" t="s">
        <v>472</v>
      </c>
    </row>
    <row r="163" spans="1:16" x14ac:dyDescent="0.25">
      <c r="A163" t="s">
        <v>131</v>
      </c>
      <c r="B163">
        <v>0</v>
      </c>
      <c r="C163">
        <v>92661</v>
      </c>
      <c r="D163">
        <v>0</v>
      </c>
      <c r="E163">
        <v>0</v>
      </c>
      <c r="F163">
        <v>0</v>
      </c>
      <c r="G163">
        <v>17012</v>
      </c>
      <c r="H163">
        <v>13226</v>
      </c>
      <c r="I163">
        <v>0</v>
      </c>
      <c r="J163">
        <v>0</v>
      </c>
      <c r="K163">
        <v>69262</v>
      </c>
      <c r="L163">
        <v>53285</v>
      </c>
      <c r="M163">
        <v>137000</v>
      </c>
      <c r="N163">
        <v>0</v>
      </c>
      <c r="O163" t="s">
        <v>471</v>
      </c>
      <c r="P163" t="s">
        <v>472</v>
      </c>
    </row>
    <row r="164" spans="1:16" x14ac:dyDescent="0.25">
      <c r="A164" t="s">
        <v>242</v>
      </c>
      <c r="B164">
        <v>0</v>
      </c>
      <c r="C164">
        <v>0</v>
      </c>
      <c r="D164">
        <v>0</v>
      </c>
      <c r="E164">
        <v>42924</v>
      </c>
      <c r="F164">
        <v>0</v>
      </c>
      <c r="G164">
        <v>0</v>
      </c>
      <c r="H164">
        <v>0</v>
      </c>
      <c r="I164">
        <v>0</v>
      </c>
      <c r="J164">
        <v>24417</v>
      </c>
      <c r="K164">
        <v>0</v>
      </c>
      <c r="L164">
        <v>113313</v>
      </c>
      <c r="M164">
        <v>84158</v>
      </c>
      <c r="N164">
        <v>0</v>
      </c>
      <c r="O164" t="s">
        <v>471</v>
      </c>
      <c r="P164" t="s">
        <v>472</v>
      </c>
    </row>
    <row r="165" spans="1:16" x14ac:dyDescent="0.25">
      <c r="A165" t="s">
        <v>77</v>
      </c>
      <c r="B165">
        <v>53543</v>
      </c>
      <c r="C165">
        <v>0</v>
      </c>
      <c r="D165">
        <v>0</v>
      </c>
      <c r="E165">
        <v>98688</v>
      </c>
      <c r="F165">
        <v>0</v>
      </c>
      <c r="G165">
        <v>0</v>
      </c>
      <c r="H165">
        <v>0</v>
      </c>
      <c r="I165">
        <v>41241</v>
      </c>
      <c r="J165">
        <v>0</v>
      </c>
      <c r="K165">
        <v>62698</v>
      </c>
      <c r="L165">
        <v>0</v>
      </c>
      <c r="M165">
        <v>0</v>
      </c>
      <c r="N165">
        <v>0</v>
      </c>
      <c r="O165" t="s">
        <v>471</v>
      </c>
      <c r="P165" t="s">
        <v>472</v>
      </c>
    </row>
    <row r="166" spans="1:16" x14ac:dyDescent="0.25">
      <c r="A166" t="s">
        <v>237</v>
      </c>
      <c r="B166">
        <v>0</v>
      </c>
      <c r="C166">
        <v>0</v>
      </c>
      <c r="D166">
        <v>0</v>
      </c>
      <c r="E166">
        <v>26961</v>
      </c>
      <c r="F166">
        <v>0</v>
      </c>
      <c r="G166">
        <v>0</v>
      </c>
      <c r="H166">
        <v>67201</v>
      </c>
      <c r="I166">
        <v>0</v>
      </c>
      <c r="J166">
        <v>0</v>
      </c>
      <c r="K166">
        <v>0</v>
      </c>
      <c r="L166">
        <v>22186</v>
      </c>
      <c r="M166">
        <v>72366</v>
      </c>
      <c r="N166">
        <v>0</v>
      </c>
      <c r="O166" t="s">
        <v>474</v>
      </c>
      <c r="P166" t="s">
        <v>472</v>
      </c>
    </row>
    <row r="167" spans="1:16" x14ac:dyDescent="0.25">
      <c r="A167" t="s">
        <v>90</v>
      </c>
      <c r="B167">
        <v>23967</v>
      </c>
      <c r="C167">
        <v>70450</v>
      </c>
      <c r="D167">
        <v>57313</v>
      </c>
      <c r="E167">
        <v>71491</v>
      </c>
      <c r="F167">
        <v>0</v>
      </c>
      <c r="G167">
        <v>0</v>
      </c>
      <c r="H167">
        <v>0</v>
      </c>
      <c r="I167">
        <v>84086</v>
      </c>
      <c r="J167">
        <v>248712</v>
      </c>
      <c r="K167">
        <v>0</v>
      </c>
      <c r="L167">
        <v>0</v>
      </c>
      <c r="M167">
        <v>89010</v>
      </c>
      <c r="N167">
        <v>0</v>
      </c>
      <c r="O167" t="s">
        <v>471</v>
      </c>
      <c r="P167" t="s">
        <v>472</v>
      </c>
    </row>
    <row r="168" spans="1:16" x14ac:dyDescent="0.25">
      <c r="A168" t="s">
        <v>18</v>
      </c>
      <c r="B168">
        <v>39172</v>
      </c>
      <c r="C168">
        <v>78724</v>
      </c>
      <c r="D168">
        <v>0</v>
      </c>
      <c r="E168">
        <v>0</v>
      </c>
      <c r="F168">
        <v>38841</v>
      </c>
      <c r="G168">
        <v>0</v>
      </c>
      <c r="H168">
        <v>29833</v>
      </c>
      <c r="I168">
        <v>42875</v>
      </c>
      <c r="J168">
        <v>98644</v>
      </c>
      <c r="K168">
        <v>53858</v>
      </c>
      <c r="L168">
        <v>84357</v>
      </c>
      <c r="M168">
        <v>87916</v>
      </c>
      <c r="N168">
        <v>0</v>
      </c>
      <c r="O168" t="s">
        <v>471</v>
      </c>
      <c r="P168" t="s">
        <v>472</v>
      </c>
    </row>
    <row r="169" spans="1:16" x14ac:dyDescent="0.25">
      <c r="A169" t="s">
        <v>72</v>
      </c>
      <c r="B169">
        <v>91703</v>
      </c>
      <c r="C169">
        <v>0</v>
      </c>
      <c r="D169">
        <v>107118</v>
      </c>
      <c r="E169">
        <v>36556</v>
      </c>
      <c r="F169">
        <v>0</v>
      </c>
      <c r="G169">
        <v>0</v>
      </c>
      <c r="H169">
        <v>98460</v>
      </c>
      <c r="I169">
        <v>0</v>
      </c>
      <c r="J169">
        <v>32787</v>
      </c>
      <c r="K169">
        <v>133516</v>
      </c>
      <c r="L169">
        <v>0</v>
      </c>
      <c r="M169">
        <v>51331</v>
      </c>
      <c r="N169">
        <v>0</v>
      </c>
      <c r="O169" t="s">
        <v>471</v>
      </c>
      <c r="P169" t="s">
        <v>472</v>
      </c>
    </row>
    <row r="170" spans="1:16" x14ac:dyDescent="0.25">
      <c r="A170" t="s">
        <v>135</v>
      </c>
      <c r="B170">
        <v>0</v>
      </c>
      <c r="C170">
        <v>40887</v>
      </c>
      <c r="D170">
        <v>25652</v>
      </c>
      <c r="E170">
        <v>67398</v>
      </c>
      <c r="F170">
        <v>50474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25921</v>
      </c>
      <c r="N170">
        <v>0</v>
      </c>
      <c r="O170" t="s">
        <v>474</v>
      </c>
      <c r="P170" t="s">
        <v>472</v>
      </c>
    </row>
    <row r="171" spans="1:16" x14ac:dyDescent="0.25">
      <c r="A171" t="s">
        <v>161</v>
      </c>
      <c r="B171">
        <v>0</v>
      </c>
      <c r="C171">
        <v>0</v>
      </c>
      <c r="D171">
        <v>107721</v>
      </c>
      <c r="E171">
        <v>75640</v>
      </c>
      <c r="F171">
        <v>0</v>
      </c>
      <c r="G171">
        <v>92805</v>
      </c>
      <c r="H171">
        <v>0</v>
      </c>
      <c r="I171">
        <v>218178</v>
      </c>
      <c r="J171">
        <v>0</v>
      </c>
      <c r="K171">
        <v>0</v>
      </c>
      <c r="L171">
        <v>63154</v>
      </c>
      <c r="M171">
        <v>0</v>
      </c>
      <c r="N171">
        <v>0</v>
      </c>
      <c r="O171" t="s">
        <v>471</v>
      </c>
      <c r="P171" t="s">
        <v>472</v>
      </c>
    </row>
    <row r="172" spans="1:16" x14ac:dyDescent="0.25">
      <c r="A172" t="s">
        <v>247</v>
      </c>
      <c r="B172">
        <v>0</v>
      </c>
      <c r="C172">
        <v>0</v>
      </c>
      <c r="D172">
        <v>0</v>
      </c>
      <c r="E172">
        <v>56529</v>
      </c>
      <c r="F172">
        <v>0</v>
      </c>
      <c r="G172">
        <v>0</v>
      </c>
      <c r="H172">
        <v>0</v>
      </c>
      <c r="I172">
        <v>141053</v>
      </c>
      <c r="J172">
        <v>69480</v>
      </c>
      <c r="K172">
        <v>0</v>
      </c>
      <c r="L172">
        <v>156781</v>
      </c>
      <c r="M172">
        <v>0</v>
      </c>
      <c r="N172">
        <v>0</v>
      </c>
      <c r="O172" t="s">
        <v>471</v>
      </c>
      <c r="P172" t="s">
        <v>472</v>
      </c>
    </row>
    <row r="173" spans="1:16" x14ac:dyDescent="0.25">
      <c r="A173" t="s">
        <v>19</v>
      </c>
      <c r="B173">
        <v>12495</v>
      </c>
      <c r="C173">
        <v>54060</v>
      </c>
      <c r="D173">
        <v>39905</v>
      </c>
      <c r="E173">
        <v>48804</v>
      </c>
      <c r="F173">
        <v>142246</v>
      </c>
      <c r="G173">
        <v>0</v>
      </c>
      <c r="H173">
        <v>74047</v>
      </c>
      <c r="I173">
        <v>34246</v>
      </c>
      <c r="J173">
        <v>0</v>
      </c>
      <c r="K173">
        <v>31673</v>
      </c>
      <c r="L173">
        <v>86002</v>
      </c>
      <c r="M173">
        <v>0</v>
      </c>
      <c r="N173">
        <v>0</v>
      </c>
      <c r="O173" t="s">
        <v>471</v>
      </c>
      <c r="P173" t="s">
        <v>472</v>
      </c>
    </row>
    <row r="174" spans="1:16" x14ac:dyDescent="0.25">
      <c r="A174" t="s">
        <v>29</v>
      </c>
      <c r="B174">
        <v>79493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14684</v>
      </c>
      <c r="K174">
        <v>75890</v>
      </c>
      <c r="L174">
        <v>0</v>
      </c>
      <c r="M174">
        <v>55486</v>
      </c>
      <c r="N174">
        <v>0</v>
      </c>
      <c r="O174" t="s">
        <v>471</v>
      </c>
      <c r="P174" t="s">
        <v>472</v>
      </c>
    </row>
    <row r="175" spans="1:16" x14ac:dyDescent="0.25">
      <c r="A175" t="s">
        <v>92</v>
      </c>
      <c r="B175">
        <v>63968</v>
      </c>
      <c r="C175">
        <v>16046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96841</v>
      </c>
      <c r="K175">
        <v>0</v>
      </c>
      <c r="L175">
        <v>12354</v>
      </c>
      <c r="M175">
        <v>45508</v>
      </c>
      <c r="N175">
        <v>0</v>
      </c>
      <c r="O175" t="s">
        <v>471</v>
      </c>
      <c r="P175" t="s">
        <v>472</v>
      </c>
    </row>
    <row r="176" spans="1:16" x14ac:dyDescent="0.25">
      <c r="A176" t="s">
        <v>154</v>
      </c>
      <c r="B176">
        <v>0</v>
      </c>
      <c r="C176">
        <v>90135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478</v>
      </c>
      <c r="P176" t="s">
        <v>472</v>
      </c>
    </row>
    <row r="177" spans="1:16" x14ac:dyDescent="0.25">
      <c r="A177" t="s">
        <v>81</v>
      </c>
      <c r="B177">
        <v>13954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61104</v>
      </c>
      <c r="I177">
        <v>78380</v>
      </c>
      <c r="J177">
        <v>10572</v>
      </c>
      <c r="K177">
        <v>39671</v>
      </c>
      <c r="L177">
        <v>34193</v>
      </c>
      <c r="M177">
        <v>61279</v>
      </c>
      <c r="N177">
        <v>0</v>
      </c>
      <c r="O177" t="s">
        <v>471</v>
      </c>
      <c r="P177" t="s">
        <v>472</v>
      </c>
    </row>
    <row r="178" spans="1:16" x14ac:dyDescent="0.25">
      <c r="A178" t="s">
        <v>95</v>
      </c>
      <c r="B178">
        <v>40487</v>
      </c>
      <c r="C178">
        <v>64149</v>
      </c>
      <c r="D178">
        <v>0</v>
      </c>
      <c r="E178">
        <v>0</v>
      </c>
      <c r="F178">
        <v>18518</v>
      </c>
      <c r="G178">
        <v>0</v>
      </c>
      <c r="H178">
        <v>24089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474</v>
      </c>
      <c r="P178" t="s">
        <v>472</v>
      </c>
    </row>
    <row r="179" spans="1:16" x14ac:dyDescent="0.25">
      <c r="A179" t="s">
        <v>434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62214</v>
      </c>
      <c r="N179">
        <v>0</v>
      </c>
      <c r="O179" t="s">
        <v>478</v>
      </c>
      <c r="P179" t="s">
        <v>472</v>
      </c>
    </row>
    <row r="180" spans="1:16" x14ac:dyDescent="0.25">
      <c r="A180" t="s">
        <v>68</v>
      </c>
      <c r="B180">
        <v>12642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86079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478</v>
      </c>
      <c r="P180" t="s">
        <v>472</v>
      </c>
    </row>
    <row r="181" spans="1:16" x14ac:dyDescent="0.25">
      <c r="A181" t="s">
        <v>22</v>
      </c>
      <c r="B181">
        <v>10817</v>
      </c>
      <c r="C181">
        <v>0</v>
      </c>
      <c r="D181">
        <v>0</v>
      </c>
      <c r="E181">
        <v>0</v>
      </c>
      <c r="F181">
        <v>0</v>
      </c>
      <c r="G181">
        <v>51116</v>
      </c>
      <c r="H181">
        <v>28732</v>
      </c>
      <c r="I181">
        <v>71609</v>
      </c>
      <c r="J181">
        <v>0</v>
      </c>
      <c r="K181">
        <v>0</v>
      </c>
      <c r="L181">
        <v>60911</v>
      </c>
      <c r="M181">
        <v>103805</v>
      </c>
      <c r="N181">
        <v>0</v>
      </c>
      <c r="O181" t="s">
        <v>471</v>
      </c>
      <c r="P181" t="s">
        <v>472</v>
      </c>
    </row>
    <row r="182" spans="1:16" x14ac:dyDescent="0.25">
      <c r="A182" t="s">
        <v>13</v>
      </c>
      <c r="B182">
        <v>76223</v>
      </c>
      <c r="C182">
        <v>20745</v>
      </c>
      <c r="D182">
        <v>0</v>
      </c>
      <c r="E182">
        <v>0</v>
      </c>
      <c r="F182">
        <v>84258</v>
      </c>
      <c r="G182">
        <v>0</v>
      </c>
      <c r="H182">
        <v>0</v>
      </c>
      <c r="I182">
        <v>0</v>
      </c>
      <c r="J182">
        <v>45400</v>
      </c>
      <c r="K182">
        <v>161080</v>
      </c>
      <c r="L182">
        <v>0</v>
      </c>
      <c r="M182">
        <v>0</v>
      </c>
      <c r="N182">
        <v>0</v>
      </c>
      <c r="O182" t="s">
        <v>471</v>
      </c>
      <c r="P182" t="s">
        <v>472</v>
      </c>
    </row>
    <row r="183" spans="1:16" x14ac:dyDescent="0.25">
      <c r="A183" t="s">
        <v>6</v>
      </c>
      <c r="B183">
        <v>221998</v>
      </c>
      <c r="C183">
        <v>0</v>
      </c>
      <c r="D183">
        <v>0</v>
      </c>
      <c r="E183">
        <v>0</v>
      </c>
      <c r="F183">
        <v>0</v>
      </c>
      <c r="G183">
        <v>93788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471</v>
      </c>
      <c r="P183" t="s">
        <v>472</v>
      </c>
    </row>
    <row r="184" spans="1:16" x14ac:dyDescent="0.25">
      <c r="A184" t="s">
        <v>253</v>
      </c>
      <c r="B184">
        <v>0</v>
      </c>
      <c r="C184">
        <v>0</v>
      </c>
      <c r="D184">
        <v>0</v>
      </c>
      <c r="E184">
        <v>0</v>
      </c>
      <c r="F184">
        <v>76230</v>
      </c>
      <c r="G184">
        <v>33136</v>
      </c>
      <c r="H184">
        <v>64263</v>
      </c>
      <c r="I184">
        <v>0</v>
      </c>
      <c r="J184">
        <v>0</v>
      </c>
      <c r="K184">
        <v>0</v>
      </c>
      <c r="L184">
        <v>10118</v>
      </c>
      <c r="M184">
        <v>104347</v>
      </c>
      <c r="N184">
        <v>0</v>
      </c>
      <c r="O184" t="s">
        <v>471</v>
      </c>
      <c r="P184" t="s">
        <v>472</v>
      </c>
    </row>
    <row r="185" spans="1:16" x14ac:dyDescent="0.25">
      <c r="A185" t="s">
        <v>369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59371</v>
      </c>
      <c r="K185">
        <v>0</v>
      </c>
      <c r="L185">
        <v>0</v>
      </c>
      <c r="M185">
        <v>17603</v>
      </c>
      <c r="N185">
        <v>0</v>
      </c>
      <c r="O185" t="s">
        <v>478</v>
      </c>
      <c r="P185" t="s">
        <v>472</v>
      </c>
    </row>
    <row r="186" spans="1:16" x14ac:dyDescent="0.25">
      <c r="A186" t="s">
        <v>169</v>
      </c>
      <c r="B186">
        <v>0</v>
      </c>
      <c r="C186">
        <v>0</v>
      </c>
      <c r="D186">
        <v>122155</v>
      </c>
      <c r="E186">
        <v>0</v>
      </c>
      <c r="F186">
        <v>0</v>
      </c>
      <c r="G186">
        <v>0</v>
      </c>
      <c r="H186">
        <v>0</v>
      </c>
      <c r="I186">
        <v>67320</v>
      </c>
      <c r="J186">
        <v>0</v>
      </c>
      <c r="K186">
        <v>12479</v>
      </c>
      <c r="L186">
        <v>0</v>
      </c>
      <c r="M186">
        <v>0</v>
      </c>
      <c r="N186">
        <v>0</v>
      </c>
      <c r="O186" t="s">
        <v>474</v>
      </c>
      <c r="P186" t="s">
        <v>472</v>
      </c>
    </row>
    <row r="187" spans="1:16" x14ac:dyDescent="0.25">
      <c r="A187" t="s">
        <v>30</v>
      </c>
      <c r="B187">
        <v>43060</v>
      </c>
      <c r="C187">
        <v>246347</v>
      </c>
      <c r="D187">
        <v>0</v>
      </c>
      <c r="E187">
        <v>159239</v>
      </c>
      <c r="F187">
        <v>86564</v>
      </c>
      <c r="G187">
        <v>14224</v>
      </c>
      <c r="H187">
        <v>39792</v>
      </c>
      <c r="I187">
        <v>0</v>
      </c>
      <c r="J187">
        <v>63201</v>
      </c>
      <c r="K187">
        <v>62877</v>
      </c>
      <c r="L187">
        <v>148246</v>
      </c>
      <c r="M187">
        <v>0</v>
      </c>
      <c r="N187">
        <v>0</v>
      </c>
      <c r="O187" t="s">
        <v>471</v>
      </c>
      <c r="P187" t="s">
        <v>472</v>
      </c>
    </row>
    <row r="188" spans="1:16" x14ac:dyDescent="0.25">
      <c r="A188" t="s">
        <v>39</v>
      </c>
      <c r="B188">
        <v>82207</v>
      </c>
      <c r="C188">
        <v>0</v>
      </c>
      <c r="D188">
        <v>0</v>
      </c>
      <c r="E188">
        <v>47290</v>
      </c>
      <c r="F188">
        <v>0</v>
      </c>
      <c r="G188">
        <v>80690</v>
      </c>
      <c r="H188">
        <v>0</v>
      </c>
      <c r="I188">
        <v>0</v>
      </c>
      <c r="J188">
        <v>0</v>
      </c>
      <c r="K188">
        <v>62725</v>
      </c>
      <c r="L188">
        <v>0</v>
      </c>
      <c r="M188">
        <v>51330</v>
      </c>
      <c r="N188">
        <v>0</v>
      </c>
      <c r="O188" t="s">
        <v>471</v>
      </c>
      <c r="P188" t="s">
        <v>472</v>
      </c>
    </row>
    <row r="189" spans="1:16" x14ac:dyDescent="0.25">
      <c r="A189" t="s">
        <v>60</v>
      </c>
      <c r="B189">
        <v>77723</v>
      </c>
      <c r="C189">
        <v>0</v>
      </c>
      <c r="D189">
        <v>0</v>
      </c>
      <c r="E189">
        <v>56948</v>
      </c>
      <c r="F189">
        <v>0</v>
      </c>
      <c r="G189">
        <v>43997</v>
      </c>
      <c r="H189">
        <v>123445</v>
      </c>
      <c r="I189">
        <v>0</v>
      </c>
      <c r="J189">
        <v>0</v>
      </c>
      <c r="K189">
        <v>0</v>
      </c>
      <c r="L189">
        <v>96106</v>
      </c>
      <c r="M189">
        <v>0</v>
      </c>
      <c r="N189">
        <v>0</v>
      </c>
      <c r="O189" t="s">
        <v>471</v>
      </c>
      <c r="P189" t="s">
        <v>472</v>
      </c>
    </row>
    <row r="190" spans="1:16" x14ac:dyDescent="0.25">
      <c r="A190" t="s">
        <v>107</v>
      </c>
      <c r="B190">
        <v>0</v>
      </c>
      <c r="C190">
        <v>61586</v>
      </c>
      <c r="D190">
        <v>0</v>
      </c>
      <c r="E190">
        <v>0</v>
      </c>
      <c r="F190">
        <v>95020</v>
      </c>
      <c r="G190">
        <v>0</v>
      </c>
      <c r="H190">
        <v>28775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474</v>
      </c>
      <c r="P190" t="s">
        <v>472</v>
      </c>
    </row>
    <row r="191" spans="1:16" x14ac:dyDescent="0.25">
      <c r="A191" t="s">
        <v>136</v>
      </c>
      <c r="B191">
        <v>0</v>
      </c>
      <c r="C191">
        <v>56621</v>
      </c>
      <c r="D191">
        <v>0</v>
      </c>
      <c r="E191">
        <v>0</v>
      </c>
      <c r="F191">
        <v>65326</v>
      </c>
      <c r="G191">
        <v>0</v>
      </c>
      <c r="H191">
        <v>0</v>
      </c>
      <c r="I191">
        <v>0</v>
      </c>
      <c r="J191">
        <v>40830</v>
      </c>
      <c r="K191">
        <v>43231</v>
      </c>
      <c r="L191">
        <v>0</v>
      </c>
      <c r="M191">
        <v>0</v>
      </c>
      <c r="N191">
        <v>0</v>
      </c>
      <c r="O191" t="s">
        <v>474</v>
      </c>
      <c r="P191" t="s">
        <v>472</v>
      </c>
    </row>
    <row r="192" spans="1:16" x14ac:dyDescent="0.25">
      <c r="A192" t="s">
        <v>228</v>
      </c>
      <c r="B192">
        <v>0</v>
      </c>
      <c r="C192">
        <v>0</v>
      </c>
      <c r="D192">
        <v>0</v>
      </c>
      <c r="E192">
        <v>16870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74443</v>
      </c>
      <c r="M192">
        <v>0</v>
      </c>
      <c r="N192">
        <v>0</v>
      </c>
      <c r="O192" t="s">
        <v>478</v>
      </c>
      <c r="P192" t="s">
        <v>472</v>
      </c>
    </row>
    <row r="193" spans="1:16" x14ac:dyDescent="0.25">
      <c r="A193" t="s">
        <v>269</v>
      </c>
      <c r="B193">
        <v>0</v>
      </c>
      <c r="C193">
        <v>0</v>
      </c>
      <c r="D193">
        <v>0</v>
      </c>
      <c r="E193">
        <v>0</v>
      </c>
      <c r="F193">
        <v>80818</v>
      </c>
      <c r="G193">
        <v>172145</v>
      </c>
      <c r="H193">
        <v>71847</v>
      </c>
      <c r="I193">
        <v>0</v>
      </c>
      <c r="J193">
        <v>99358</v>
      </c>
      <c r="K193">
        <v>0</v>
      </c>
      <c r="L193">
        <v>60677</v>
      </c>
      <c r="M193">
        <v>0</v>
      </c>
      <c r="N193">
        <v>0</v>
      </c>
      <c r="O193" t="s">
        <v>471</v>
      </c>
      <c r="P193" t="s">
        <v>472</v>
      </c>
    </row>
    <row r="194" spans="1:16" x14ac:dyDescent="0.25">
      <c r="A194" t="s">
        <v>93</v>
      </c>
      <c r="B194">
        <v>85174</v>
      </c>
      <c r="C194">
        <v>0</v>
      </c>
      <c r="D194">
        <v>45461</v>
      </c>
      <c r="E194">
        <v>0</v>
      </c>
      <c r="F194">
        <v>50818</v>
      </c>
      <c r="G194">
        <v>0</v>
      </c>
      <c r="H194">
        <v>78376</v>
      </c>
      <c r="I194">
        <v>19616</v>
      </c>
      <c r="J194">
        <v>152256</v>
      </c>
      <c r="K194">
        <v>0</v>
      </c>
      <c r="L194">
        <v>0</v>
      </c>
      <c r="M194">
        <v>95306</v>
      </c>
      <c r="N194">
        <v>0</v>
      </c>
      <c r="O194" t="s">
        <v>471</v>
      </c>
      <c r="P194" t="s">
        <v>472</v>
      </c>
    </row>
    <row r="195" spans="1:16" x14ac:dyDescent="0.25">
      <c r="A195" t="s">
        <v>34</v>
      </c>
      <c r="B195">
        <v>113274</v>
      </c>
      <c r="C195">
        <v>0</v>
      </c>
      <c r="D195">
        <v>91657</v>
      </c>
      <c r="E195">
        <v>0</v>
      </c>
      <c r="F195">
        <v>0</v>
      </c>
      <c r="G195">
        <v>38983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77976</v>
      </c>
      <c r="N195">
        <v>0</v>
      </c>
      <c r="O195" t="s">
        <v>471</v>
      </c>
      <c r="P195" t="s">
        <v>472</v>
      </c>
    </row>
    <row r="196" spans="1:16" x14ac:dyDescent="0.25">
      <c r="A196" t="s">
        <v>184</v>
      </c>
      <c r="B196">
        <v>0</v>
      </c>
      <c r="C196">
        <v>0</v>
      </c>
      <c r="D196">
        <v>97546</v>
      </c>
      <c r="E196">
        <v>57058</v>
      </c>
      <c r="F196">
        <v>25423</v>
      </c>
      <c r="G196">
        <v>0</v>
      </c>
      <c r="H196">
        <v>0</v>
      </c>
      <c r="I196">
        <v>0</v>
      </c>
      <c r="J196">
        <v>0</v>
      </c>
      <c r="K196">
        <v>42334</v>
      </c>
      <c r="L196">
        <v>121051</v>
      </c>
      <c r="M196">
        <v>32967</v>
      </c>
      <c r="N196">
        <v>0</v>
      </c>
      <c r="O196" t="s">
        <v>471</v>
      </c>
      <c r="P196" t="s">
        <v>472</v>
      </c>
    </row>
    <row r="197" spans="1:16" x14ac:dyDescent="0.25">
      <c r="A197" t="s">
        <v>206</v>
      </c>
      <c r="B197">
        <v>0</v>
      </c>
      <c r="C197">
        <v>0</v>
      </c>
      <c r="D197">
        <v>53006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32465</v>
      </c>
      <c r="N197">
        <v>0</v>
      </c>
      <c r="O197" t="s">
        <v>478</v>
      </c>
      <c r="P197" t="s">
        <v>472</v>
      </c>
    </row>
    <row r="198" spans="1:16" x14ac:dyDescent="0.25">
      <c r="A198" t="s">
        <v>361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51719</v>
      </c>
      <c r="J198">
        <v>0</v>
      </c>
      <c r="K198">
        <v>0</v>
      </c>
      <c r="L198">
        <v>0</v>
      </c>
      <c r="M198">
        <v>0</v>
      </c>
      <c r="N198">
        <v>0</v>
      </c>
      <c r="O198" t="s">
        <v>478</v>
      </c>
      <c r="P198" t="s">
        <v>472</v>
      </c>
    </row>
    <row r="199" spans="1:16" x14ac:dyDescent="0.25">
      <c r="A199" t="s">
        <v>256</v>
      </c>
      <c r="B199">
        <v>0</v>
      </c>
      <c r="C199">
        <v>0</v>
      </c>
      <c r="D199">
        <v>0</v>
      </c>
      <c r="E199">
        <v>0</v>
      </c>
      <c r="F199">
        <v>158156</v>
      </c>
      <c r="G199">
        <v>0</v>
      </c>
      <c r="H199">
        <v>96841</v>
      </c>
      <c r="I199">
        <v>94063</v>
      </c>
      <c r="J199">
        <v>45301</v>
      </c>
      <c r="K199">
        <v>32971</v>
      </c>
      <c r="L199">
        <v>0</v>
      </c>
      <c r="M199">
        <v>0</v>
      </c>
      <c r="N199">
        <v>0</v>
      </c>
      <c r="O199" t="s">
        <v>471</v>
      </c>
      <c r="P199" t="s">
        <v>472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Артём Макаров</cp:lastModifiedBy>
  <dcterms:created xsi:type="dcterms:W3CDTF">2025-11-13T20:18:35Z</dcterms:created>
  <dcterms:modified xsi:type="dcterms:W3CDTF">2026-10-03T23:00:49Z</dcterms:modified>
</cp:coreProperties>
</file>